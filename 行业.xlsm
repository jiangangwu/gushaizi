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autoCompressPictures="0"/>
  <bookViews>
    <workbookView xWindow="480" yWindow="80" windowWidth="20420" windowHeight="11140" activeTab="1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0001" calcMode="manual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4" i="2" l="1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  <c r="GT4" i="2"/>
  <c r="GU4" i="2"/>
  <c r="GV4" i="2"/>
  <c r="GW4" i="2"/>
  <c r="GX4" i="2"/>
  <c r="GY4" i="2"/>
  <c r="GZ4" i="2"/>
  <c r="HA4" i="2"/>
  <c r="HB4" i="2"/>
  <c r="HC4" i="2"/>
  <c r="HD4" i="2"/>
  <c r="HE4" i="2"/>
  <c r="HF4" i="2"/>
  <c r="HG4" i="2"/>
  <c r="HH4" i="2"/>
  <c r="HI4" i="2"/>
  <c r="HJ4" i="2"/>
  <c r="HK4" i="2"/>
  <c r="HL4" i="2"/>
  <c r="HM4" i="2"/>
  <c r="HN4" i="2"/>
  <c r="HO4" i="2"/>
  <c r="HP4" i="2"/>
  <c r="HQ4" i="2"/>
  <c r="HR4" i="2"/>
  <c r="HS4" i="2"/>
  <c r="HT4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FH5" i="2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W5" i="2"/>
  <c r="FX5" i="2"/>
  <c r="FY5" i="2"/>
  <c r="FZ5" i="2"/>
  <c r="GA5" i="2"/>
  <c r="GB5" i="2"/>
  <c r="GC5" i="2"/>
  <c r="GD5" i="2"/>
  <c r="GE5" i="2"/>
  <c r="GF5" i="2"/>
  <c r="GG5" i="2"/>
  <c r="GH5" i="2"/>
  <c r="GI5" i="2"/>
  <c r="GJ5" i="2"/>
  <c r="GK5" i="2"/>
  <c r="GL5" i="2"/>
  <c r="GM5" i="2"/>
  <c r="GN5" i="2"/>
  <c r="GO5" i="2"/>
  <c r="GP5" i="2"/>
  <c r="GQ5" i="2"/>
  <c r="GR5" i="2"/>
  <c r="GS5" i="2"/>
  <c r="GT5" i="2"/>
  <c r="GU5" i="2"/>
  <c r="GV5" i="2"/>
  <c r="GW5" i="2"/>
  <c r="GX5" i="2"/>
  <c r="GY5" i="2"/>
  <c r="GZ5" i="2"/>
  <c r="HA5" i="2"/>
  <c r="HB5" i="2"/>
  <c r="HC5" i="2"/>
  <c r="HD5" i="2"/>
  <c r="HE5" i="2"/>
  <c r="HF5" i="2"/>
  <c r="HG5" i="2"/>
  <c r="HH5" i="2"/>
  <c r="HI5" i="2"/>
  <c r="HJ5" i="2"/>
  <c r="HK5" i="2"/>
  <c r="HL5" i="2"/>
  <c r="HM5" i="2"/>
  <c r="HN5" i="2"/>
  <c r="HO5" i="2"/>
  <c r="HP5" i="2"/>
  <c r="HQ5" i="2"/>
  <c r="HR5" i="2"/>
  <c r="HS5" i="2"/>
  <c r="HT5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A5" i="2"/>
  <c r="A4" i="2"/>
  <c r="HC3" i="2"/>
  <c r="HD3" i="2"/>
  <c r="HE3" i="2"/>
  <c r="HF3" i="2"/>
  <c r="HG3" i="2"/>
  <c r="HH3" i="2"/>
  <c r="HI3" i="2"/>
  <c r="HJ3" i="2"/>
  <c r="HK3" i="2"/>
  <c r="HL3" i="2"/>
  <c r="HM3" i="2"/>
  <c r="HN3" i="2"/>
  <c r="HO3" i="2"/>
  <c r="HP3" i="2"/>
  <c r="HQ3" i="2"/>
  <c r="HR3" i="2"/>
  <c r="HS3" i="2"/>
  <c r="HT3" i="2"/>
  <c r="GU3" i="2"/>
  <c r="GV3" i="2"/>
  <c r="GW3" i="2"/>
  <c r="GX3" i="2"/>
  <c r="GY3" i="2"/>
  <c r="GZ3" i="2"/>
  <c r="HA3" i="2"/>
  <c r="HB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GT3" i="2"/>
  <c r="A3" i="2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4" i="1"/>
  <c r="Q231" i="1"/>
  <c r="N231" i="1"/>
  <c r="M231" i="1"/>
  <c r="L231" i="1"/>
  <c r="K231" i="1"/>
  <c r="J231" i="1"/>
  <c r="I231" i="1"/>
  <c r="H231" i="1"/>
  <c r="Q230" i="1"/>
  <c r="N230" i="1"/>
  <c r="M230" i="1"/>
  <c r="L230" i="1"/>
  <c r="K230" i="1"/>
  <c r="J230" i="1"/>
  <c r="I230" i="1"/>
  <c r="H230" i="1"/>
  <c r="Q229" i="1"/>
  <c r="N229" i="1"/>
  <c r="M229" i="1"/>
  <c r="L229" i="1"/>
  <c r="K229" i="1"/>
  <c r="J229" i="1"/>
  <c r="I229" i="1"/>
  <c r="H229" i="1"/>
  <c r="Q228" i="1"/>
  <c r="N228" i="1"/>
  <c r="M228" i="1"/>
  <c r="L228" i="1"/>
  <c r="K228" i="1"/>
  <c r="D228" i="1"/>
  <c r="J228" i="1"/>
  <c r="I228" i="1"/>
  <c r="H228" i="1"/>
  <c r="Q227" i="1"/>
  <c r="N227" i="1"/>
  <c r="M227" i="1"/>
  <c r="L227" i="1"/>
  <c r="K227" i="1"/>
  <c r="J227" i="1"/>
  <c r="I227" i="1"/>
  <c r="H227" i="1"/>
  <c r="Q226" i="1"/>
  <c r="N226" i="1"/>
  <c r="M226" i="1"/>
  <c r="L226" i="1"/>
  <c r="K226" i="1"/>
  <c r="J226" i="1"/>
  <c r="I226" i="1"/>
  <c r="H226" i="1"/>
  <c r="Q225" i="1"/>
  <c r="N225" i="1"/>
  <c r="M225" i="1"/>
  <c r="O225" i="1"/>
  <c r="L225" i="1"/>
  <c r="K225" i="1"/>
  <c r="J225" i="1"/>
  <c r="I225" i="1"/>
  <c r="H225" i="1"/>
  <c r="Q224" i="1"/>
  <c r="N224" i="1"/>
  <c r="M224" i="1"/>
  <c r="L224" i="1"/>
  <c r="K224" i="1"/>
  <c r="J224" i="1"/>
  <c r="I224" i="1"/>
  <c r="H224" i="1"/>
  <c r="Q223" i="1"/>
  <c r="N223" i="1"/>
  <c r="M223" i="1"/>
  <c r="L223" i="1"/>
  <c r="K223" i="1"/>
  <c r="J223" i="1"/>
  <c r="I223" i="1"/>
  <c r="H223" i="1"/>
  <c r="Q222" i="1"/>
  <c r="N222" i="1"/>
  <c r="M222" i="1"/>
  <c r="L222" i="1"/>
  <c r="K222" i="1"/>
  <c r="J222" i="1"/>
  <c r="I222" i="1"/>
  <c r="H222" i="1"/>
  <c r="Q221" i="1"/>
  <c r="N221" i="1"/>
  <c r="M221" i="1"/>
  <c r="L221" i="1"/>
  <c r="K221" i="1"/>
  <c r="J221" i="1"/>
  <c r="I221" i="1"/>
  <c r="H221" i="1"/>
  <c r="Q220" i="1"/>
  <c r="N220" i="1"/>
  <c r="M220" i="1"/>
  <c r="L220" i="1"/>
  <c r="K220" i="1"/>
  <c r="J220" i="1"/>
  <c r="I220" i="1"/>
  <c r="H220" i="1"/>
  <c r="Q219" i="1"/>
  <c r="M219" i="1"/>
  <c r="N219" i="1"/>
  <c r="O219" i="1"/>
  <c r="L219" i="1"/>
  <c r="K219" i="1"/>
  <c r="J219" i="1"/>
  <c r="I219" i="1"/>
  <c r="H219" i="1"/>
  <c r="Q218" i="1"/>
  <c r="N218" i="1"/>
  <c r="M218" i="1"/>
  <c r="L218" i="1"/>
  <c r="K218" i="1"/>
  <c r="J218" i="1"/>
  <c r="I218" i="1"/>
  <c r="H218" i="1"/>
  <c r="Q217" i="1"/>
  <c r="N217" i="1"/>
  <c r="M217" i="1"/>
  <c r="L217" i="1"/>
  <c r="K217" i="1"/>
  <c r="J217" i="1"/>
  <c r="I217" i="1"/>
  <c r="H217" i="1"/>
  <c r="Q216" i="1"/>
  <c r="N216" i="1"/>
  <c r="M216" i="1"/>
  <c r="L216" i="1"/>
  <c r="K216" i="1"/>
  <c r="J216" i="1"/>
  <c r="I216" i="1"/>
  <c r="H216" i="1"/>
  <c r="Q215" i="1"/>
  <c r="N215" i="1"/>
  <c r="M215" i="1"/>
  <c r="L215" i="1"/>
  <c r="K215" i="1"/>
  <c r="J215" i="1"/>
  <c r="I215" i="1"/>
  <c r="H215" i="1"/>
  <c r="Q214" i="1"/>
  <c r="N214" i="1"/>
  <c r="M214" i="1"/>
  <c r="L214" i="1"/>
  <c r="K214" i="1"/>
  <c r="J214" i="1"/>
  <c r="I214" i="1"/>
  <c r="H214" i="1"/>
  <c r="Q213" i="1"/>
  <c r="N213" i="1"/>
  <c r="M213" i="1"/>
  <c r="L213" i="1"/>
  <c r="K213" i="1"/>
  <c r="J213" i="1"/>
  <c r="I213" i="1"/>
  <c r="H213" i="1"/>
  <c r="Q212" i="1"/>
  <c r="N212" i="1"/>
  <c r="M212" i="1"/>
  <c r="L212" i="1"/>
  <c r="K212" i="1"/>
  <c r="J212" i="1"/>
  <c r="I212" i="1"/>
  <c r="H212" i="1"/>
  <c r="Q211" i="1"/>
  <c r="N211" i="1"/>
  <c r="M211" i="1"/>
  <c r="O211" i="1"/>
  <c r="L211" i="1"/>
  <c r="K211" i="1"/>
  <c r="J211" i="1"/>
  <c r="I211" i="1"/>
  <c r="H211" i="1"/>
  <c r="Q210" i="1"/>
  <c r="N210" i="1"/>
  <c r="M210" i="1"/>
  <c r="L210" i="1"/>
  <c r="K210" i="1"/>
  <c r="J210" i="1"/>
  <c r="I210" i="1"/>
  <c r="H210" i="1"/>
  <c r="Q209" i="1"/>
  <c r="N209" i="1"/>
  <c r="M209" i="1"/>
  <c r="L209" i="1"/>
  <c r="K209" i="1"/>
  <c r="J209" i="1"/>
  <c r="I209" i="1"/>
  <c r="H209" i="1"/>
  <c r="Q208" i="1"/>
  <c r="N208" i="1"/>
  <c r="M208" i="1"/>
  <c r="L208" i="1"/>
  <c r="K208" i="1"/>
  <c r="J208" i="1"/>
  <c r="I208" i="1"/>
  <c r="H208" i="1"/>
  <c r="Q207" i="1"/>
  <c r="N207" i="1"/>
  <c r="M207" i="1"/>
  <c r="L207" i="1"/>
  <c r="K207" i="1"/>
  <c r="J207" i="1"/>
  <c r="I207" i="1"/>
  <c r="H207" i="1"/>
  <c r="Q206" i="1"/>
  <c r="N206" i="1"/>
  <c r="M206" i="1"/>
  <c r="L206" i="1"/>
  <c r="K206" i="1"/>
  <c r="J206" i="1"/>
  <c r="I206" i="1"/>
  <c r="H206" i="1"/>
  <c r="Q205" i="1"/>
  <c r="N205" i="1"/>
  <c r="M205" i="1"/>
  <c r="L205" i="1"/>
  <c r="K205" i="1"/>
  <c r="J205" i="1"/>
  <c r="I205" i="1"/>
  <c r="H205" i="1"/>
  <c r="Q204" i="1"/>
  <c r="N204" i="1"/>
  <c r="M204" i="1"/>
  <c r="L204" i="1"/>
  <c r="K204" i="1"/>
  <c r="J204" i="1"/>
  <c r="I204" i="1"/>
  <c r="H204" i="1"/>
  <c r="Q203" i="1"/>
  <c r="N203" i="1"/>
  <c r="M203" i="1"/>
  <c r="O203" i="1"/>
  <c r="L203" i="1"/>
  <c r="K203" i="1"/>
  <c r="J203" i="1"/>
  <c r="I203" i="1"/>
  <c r="H203" i="1"/>
  <c r="Q202" i="1"/>
  <c r="N202" i="1"/>
  <c r="M202" i="1"/>
  <c r="L202" i="1"/>
  <c r="K202" i="1"/>
  <c r="J202" i="1"/>
  <c r="I202" i="1"/>
  <c r="H202" i="1"/>
  <c r="Q201" i="1"/>
  <c r="N201" i="1"/>
  <c r="M201" i="1"/>
  <c r="L201" i="1"/>
  <c r="K201" i="1"/>
  <c r="J201" i="1"/>
  <c r="I201" i="1"/>
  <c r="H201" i="1"/>
  <c r="Q200" i="1"/>
  <c r="N200" i="1"/>
  <c r="M200" i="1"/>
  <c r="L200" i="1"/>
  <c r="K200" i="1"/>
  <c r="J200" i="1"/>
  <c r="I200" i="1"/>
  <c r="H200" i="1"/>
  <c r="Q199" i="1"/>
  <c r="N199" i="1"/>
  <c r="M199" i="1"/>
  <c r="L199" i="1"/>
  <c r="K199" i="1"/>
  <c r="J199" i="1"/>
  <c r="I199" i="1"/>
  <c r="H199" i="1"/>
  <c r="Q198" i="1"/>
  <c r="N198" i="1"/>
  <c r="M198" i="1"/>
  <c r="L198" i="1"/>
  <c r="K198" i="1"/>
  <c r="J198" i="1"/>
  <c r="I198" i="1"/>
  <c r="H198" i="1"/>
  <c r="Q197" i="1"/>
  <c r="N197" i="1"/>
  <c r="M197" i="1"/>
  <c r="L197" i="1"/>
  <c r="K197" i="1"/>
  <c r="J197" i="1"/>
  <c r="I197" i="1"/>
  <c r="H197" i="1"/>
  <c r="Q196" i="1"/>
  <c r="N196" i="1"/>
  <c r="M196" i="1"/>
  <c r="L196" i="1"/>
  <c r="K196" i="1"/>
  <c r="J196" i="1"/>
  <c r="I196" i="1"/>
  <c r="H196" i="1"/>
  <c r="Q195" i="1"/>
  <c r="N195" i="1"/>
  <c r="M195" i="1"/>
  <c r="O195" i="1"/>
  <c r="L195" i="1"/>
  <c r="K195" i="1"/>
  <c r="J195" i="1"/>
  <c r="I195" i="1"/>
  <c r="H195" i="1"/>
  <c r="Q194" i="1"/>
  <c r="N194" i="1"/>
  <c r="M194" i="1"/>
  <c r="L194" i="1"/>
  <c r="K194" i="1"/>
  <c r="J194" i="1"/>
  <c r="I194" i="1"/>
  <c r="H194" i="1"/>
  <c r="Q193" i="1"/>
  <c r="N193" i="1"/>
  <c r="M193" i="1"/>
  <c r="L193" i="1"/>
  <c r="K193" i="1"/>
  <c r="J193" i="1"/>
  <c r="I193" i="1"/>
  <c r="H193" i="1"/>
  <c r="Q192" i="1"/>
  <c r="N192" i="1"/>
  <c r="M192" i="1"/>
  <c r="L192" i="1"/>
  <c r="K192" i="1"/>
  <c r="J192" i="1"/>
  <c r="I192" i="1"/>
  <c r="H192" i="1"/>
  <c r="Q191" i="1"/>
  <c r="N191" i="1"/>
  <c r="M191" i="1"/>
  <c r="L191" i="1"/>
  <c r="K191" i="1"/>
  <c r="J191" i="1"/>
  <c r="I191" i="1"/>
  <c r="H191" i="1"/>
  <c r="Q190" i="1"/>
  <c r="N190" i="1"/>
  <c r="M190" i="1"/>
  <c r="L190" i="1"/>
  <c r="K190" i="1"/>
  <c r="D190" i="1"/>
  <c r="J190" i="1"/>
  <c r="I190" i="1"/>
  <c r="H190" i="1"/>
  <c r="Q189" i="1"/>
  <c r="N189" i="1"/>
  <c r="M189" i="1"/>
  <c r="L189" i="1"/>
  <c r="K189" i="1"/>
  <c r="J189" i="1"/>
  <c r="I189" i="1"/>
  <c r="H189" i="1"/>
  <c r="Q188" i="1"/>
  <c r="N188" i="1"/>
  <c r="M188" i="1"/>
  <c r="L188" i="1"/>
  <c r="K188" i="1"/>
  <c r="D188" i="1"/>
  <c r="J188" i="1"/>
  <c r="I188" i="1"/>
  <c r="H188" i="1"/>
  <c r="Q187" i="1"/>
  <c r="N187" i="1"/>
  <c r="M187" i="1"/>
  <c r="O187" i="1"/>
  <c r="L187" i="1"/>
  <c r="K187" i="1"/>
  <c r="J187" i="1"/>
  <c r="I187" i="1"/>
  <c r="H187" i="1"/>
  <c r="Q186" i="1"/>
  <c r="N186" i="1"/>
  <c r="M186" i="1"/>
  <c r="L186" i="1"/>
  <c r="K186" i="1"/>
  <c r="D186" i="1"/>
  <c r="J186" i="1"/>
  <c r="I186" i="1"/>
  <c r="H186" i="1"/>
  <c r="Q185" i="1"/>
  <c r="N185" i="1"/>
  <c r="M185" i="1"/>
  <c r="L185" i="1"/>
  <c r="K185" i="1"/>
  <c r="J185" i="1"/>
  <c r="I185" i="1"/>
  <c r="H185" i="1"/>
  <c r="Q184" i="1"/>
  <c r="N184" i="1"/>
  <c r="M184" i="1"/>
  <c r="L184" i="1"/>
  <c r="K184" i="1"/>
  <c r="D184" i="1"/>
  <c r="J184" i="1"/>
  <c r="I184" i="1"/>
  <c r="H184" i="1"/>
  <c r="Q183" i="1"/>
  <c r="N183" i="1"/>
  <c r="M183" i="1"/>
  <c r="L183" i="1"/>
  <c r="K183" i="1"/>
  <c r="J183" i="1"/>
  <c r="I183" i="1"/>
  <c r="H183" i="1"/>
  <c r="Q182" i="1"/>
  <c r="N182" i="1"/>
  <c r="M182" i="1"/>
  <c r="L182" i="1"/>
  <c r="K182" i="1"/>
  <c r="D182" i="1"/>
  <c r="J182" i="1"/>
  <c r="I182" i="1"/>
  <c r="H182" i="1"/>
  <c r="Q181" i="1"/>
  <c r="N181" i="1"/>
  <c r="M181" i="1"/>
  <c r="O181" i="1"/>
  <c r="L181" i="1"/>
  <c r="K181" i="1"/>
  <c r="J181" i="1"/>
  <c r="I181" i="1"/>
  <c r="H181" i="1"/>
  <c r="Q180" i="1"/>
  <c r="N180" i="1"/>
  <c r="M180" i="1"/>
  <c r="L180" i="1"/>
  <c r="K180" i="1"/>
  <c r="D180" i="1"/>
  <c r="J180" i="1"/>
  <c r="I180" i="1"/>
  <c r="H180" i="1"/>
  <c r="Q179" i="1"/>
  <c r="N179" i="1"/>
  <c r="M179" i="1"/>
  <c r="L179" i="1"/>
  <c r="K179" i="1"/>
  <c r="J179" i="1"/>
  <c r="I179" i="1"/>
  <c r="H179" i="1"/>
  <c r="Q178" i="1"/>
  <c r="N178" i="1"/>
  <c r="M178" i="1"/>
  <c r="L178" i="1"/>
  <c r="K178" i="1"/>
  <c r="D178" i="1"/>
  <c r="J178" i="1"/>
  <c r="I178" i="1"/>
  <c r="H178" i="1"/>
  <c r="Q177" i="1"/>
  <c r="N177" i="1"/>
  <c r="M177" i="1"/>
  <c r="L177" i="1"/>
  <c r="K177" i="1"/>
  <c r="J177" i="1"/>
  <c r="I177" i="1"/>
  <c r="H177" i="1"/>
  <c r="Q176" i="1"/>
  <c r="N176" i="1"/>
  <c r="M176" i="1"/>
  <c r="L176" i="1"/>
  <c r="K176" i="1"/>
  <c r="D176" i="1"/>
  <c r="J176" i="1"/>
  <c r="I176" i="1"/>
  <c r="H176" i="1"/>
  <c r="Q175" i="1"/>
  <c r="N175" i="1"/>
  <c r="M175" i="1"/>
  <c r="L175" i="1"/>
  <c r="K175" i="1"/>
  <c r="J175" i="1"/>
  <c r="I175" i="1"/>
  <c r="H175" i="1"/>
  <c r="Q174" i="1"/>
  <c r="N174" i="1"/>
  <c r="M174" i="1"/>
  <c r="L174" i="1"/>
  <c r="K174" i="1"/>
  <c r="D174" i="1"/>
  <c r="J174" i="1"/>
  <c r="I174" i="1"/>
  <c r="H174" i="1"/>
  <c r="Q173" i="1"/>
  <c r="N173" i="1"/>
  <c r="M173" i="1"/>
  <c r="L173" i="1"/>
  <c r="K173" i="1"/>
  <c r="J173" i="1"/>
  <c r="I173" i="1"/>
  <c r="H173" i="1"/>
  <c r="Q172" i="1"/>
  <c r="N172" i="1"/>
  <c r="M172" i="1"/>
  <c r="L172" i="1"/>
  <c r="K172" i="1"/>
  <c r="D172" i="1"/>
  <c r="J172" i="1"/>
  <c r="I172" i="1"/>
  <c r="H172" i="1"/>
  <c r="Q171" i="1"/>
  <c r="N171" i="1"/>
  <c r="M171" i="1"/>
  <c r="L171" i="1"/>
  <c r="K171" i="1"/>
  <c r="J171" i="1"/>
  <c r="I171" i="1"/>
  <c r="H171" i="1"/>
  <c r="Q170" i="1"/>
  <c r="N170" i="1"/>
  <c r="M170" i="1"/>
  <c r="L170" i="1"/>
  <c r="K170" i="1"/>
  <c r="J170" i="1"/>
  <c r="I170" i="1"/>
  <c r="H170" i="1"/>
  <c r="Q169" i="1"/>
  <c r="N169" i="1"/>
  <c r="M169" i="1"/>
  <c r="L169" i="1"/>
  <c r="K169" i="1"/>
  <c r="J169" i="1"/>
  <c r="I169" i="1"/>
  <c r="H169" i="1"/>
  <c r="Q168" i="1"/>
  <c r="N168" i="1"/>
  <c r="M168" i="1"/>
  <c r="L168" i="1"/>
  <c r="K168" i="1"/>
  <c r="J168" i="1"/>
  <c r="I168" i="1"/>
  <c r="H168" i="1"/>
  <c r="Q167" i="1"/>
  <c r="N167" i="1"/>
  <c r="M167" i="1"/>
  <c r="L167" i="1"/>
  <c r="K167" i="1"/>
  <c r="J167" i="1"/>
  <c r="I167" i="1"/>
  <c r="H167" i="1"/>
  <c r="Q166" i="1"/>
  <c r="N166" i="1"/>
  <c r="M166" i="1"/>
  <c r="L166" i="1"/>
  <c r="K166" i="1"/>
  <c r="J166" i="1"/>
  <c r="I166" i="1"/>
  <c r="H166" i="1"/>
  <c r="Q165" i="1"/>
  <c r="N165" i="1"/>
  <c r="M165" i="1"/>
  <c r="O165" i="1"/>
  <c r="L165" i="1"/>
  <c r="K165" i="1"/>
  <c r="J165" i="1"/>
  <c r="I165" i="1"/>
  <c r="H165" i="1"/>
  <c r="Q164" i="1"/>
  <c r="N164" i="1"/>
  <c r="M164" i="1"/>
  <c r="L164" i="1"/>
  <c r="K164" i="1"/>
  <c r="J164" i="1"/>
  <c r="I164" i="1"/>
  <c r="H164" i="1"/>
  <c r="Q163" i="1"/>
  <c r="N163" i="1"/>
  <c r="M163" i="1"/>
  <c r="O163" i="1"/>
  <c r="L163" i="1"/>
  <c r="K163" i="1"/>
  <c r="J163" i="1"/>
  <c r="I163" i="1"/>
  <c r="H163" i="1"/>
  <c r="Q162" i="1"/>
  <c r="N162" i="1"/>
  <c r="M162" i="1"/>
  <c r="L162" i="1"/>
  <c r="K162" i="1"/>
  <c r="J162" i="1"/>
  <c r="I162" i="1"/>
  <c r="H162" i="1"/>
  <c r="Q161" i="1"/>
  <c r="N161" i="1"/>
  <c r="M161" i="1"/>
  <c r="L161" i="1"/>
  <c r="K161" i="1"/>
  <c r="J161" i="1"/>
  <c r="I161" i="1"/>
  <c r="H161" i="1"/>
  <c r="Q160" i="1"/>
  <c r="N160" i="1"/>
  <c r="M160" i="1"/>
  <c r="O160" i="1"/>
  <c r="L160" i="1"/>
  <c r="K160" i="1"/>
  <c r="J160" i="1"/>
  <c r="I160" i="1"/>
  <c r="H160" i="1"/>
  <c r="Q159" i="1"/>
  <c r="N159" i="1"/>
  <c r="M159" i="1"/>
  <c r="L159" i="1"/>
  <c r="K159" i="1"/>
  <c r="J159" i="1"/>
  <c r="I159" i="1"/>
  <c r="H159" i="1"/>
  <c r="Q158" i="1"/>
  <c r="N158" i="1"/>
  <c r="M158" i="1"/>
  <c r="L158" i="1"/>
  <c r="K158" i="1"/>
  <c r="J158" i="1"/>
  <c r="I158" i="1"/>
  <c r="H158" i="1"/>
  <c r="Q157" i="1"/>
  <c r="N157" i="1"/>
  <c r="M157" i="1"/>
  <c r="L157" i="1"/>
  <c r="K157" i="1"/>
  <c r="J157" i="1"/>
  <c r="I157" i="1"/>
  <c r="H157" i="1"/>
  <c r="Q156" i="1"/>
  <c r="N156" i="1"/>
  <c r="M156" i="1"/>
  <c r="L156" i="1"/>
  <c r="K156" i="1"/>
  <c r="J156" i="1"/>
  <c r="I156" i="1"/>
  <c r="H156" i="1"/>
  <c r="Q155" i="1"/>
  <c r="N155" i="1"/>
  <c r="M155" i="1"/>
  <c r="O155" i="1"/>
  <c r="L155" i="1"/>
  <c r="K155" i="1"/>
  <c r="J155" i="1"/>
  <c r="I155" i="1"/>
  <c r="H155" i="1"/>
  <c r="Q154" i="1"/>
  <c r="N154" i="1"/>
  <c r="M154" i="1"/>
  <c r="L154" i="1"/>
  <c r="K154" i="1"/>
  <c r="J154" i="1"/>
  <c r="I154" i="1"/>
  <c r="H154" i="1"/>
  <c r="Q153" i="1"/>
  <c r="N153" i="1"/>
  <c r="M153" i="1"/>
  <c r="L153" i="1"/>
  <c r="K153" i="1"/>
  <c r="J153" i="1"/>
  <c r="I153" i="1"/>
  <c r="H153" i="1"/>
  <c r="Q152" i="1"/>
  <c r="N152" i="1"/>
  <c r="M152" i="1"/>
  <c r="L152" i="1"/>
  <c r="K152" i="1"/>
  <c r="J152" i="1"/>
  <c r="I152" i="1"/>
  <c r="H152" i="1"/>
  <c r="Q151" i="1"/>
  <c r="N151" i="1"/>
  <c r="M151" i="1"/>
  <c r="L151" i="1"/>
  <c r="K151" i="1"/>
  <c r="J151" i="1"/>
  <c r="I151" i="1"/>
  <c r="H151" i="1"/>
  <c r="Q150" i="1"/>
  <c r="N150" i="1"/>
  <c r="M150" i="1"/>
  <c r="L150" i="1"/>
  <c r="K150" i="1"/>
  <c r="J150" i="1"/>
  <c r="I150" i="1"/>
  <c r="H150" i="1"/>
  <c r="Q149" i="1"/>
  <c r="N149" i="1"/>
  <c r="M149" i="1"/>
  <c r="L149" i="1"/>
  <c r="K149" i="1"/>
  <c r="J149" i="1"/>
  <c r="I149" i="1"/>
  <c r="H149" i="1"/>
  <c r="Q148" i="1"/>
  <c r="N148" i="1"/>
  <c r="M148" i="1"/>
  <c r="L148" i="1"/>
  <c r="K148" i="1"/>
  <c r="J148" i="1"/>
  <c r="I148" i="1"/>
  <c r="H148" i="1"/>
  <c r="Q147" i="1"/>
  <c r="N147" i="1"/>
  <c r="M147" i="1"/>
  <c r="O147" i="1"/>
  <c r="L147" i="1"/>
  <c r="K147" i="1"/>
  <c r="J147" i="1"/>
  <c r="I147" i="1"/>
  <c r="H147" i="1"/>
  <c r="Q146" i="1"/>
  <c r="N146" i="1"/>
  <c r="M146" i="1"/>
  <c r="L146" i="1"/>
  <c r="K146" i="1"/>
  <c r="J146" i="1"/>
  <c r="I146" i="1"/>
  <c r="H146" i="1"/>
  <c r="Q145" i="1"/>
  <c r="N145" i="1"/>
  <c r="M145" i="1"/>
  <c r="O145" i="1"/>
  <c r="L145" i="1"/>
  <c r="K145" i="1"/>
  <c r="J145" i="1"/>
  <c r="I145" i="1"/>
  <c r="H145" i="1"/>
  <c r="Q144" i="1"/>
  <c r="N144" i="1"/>
  <c r="M144" i="1"/>
  <c r="L144" i="1"/>
  <c r="K144" i="1"/>
  <c r="J144" i="1"/>
  <c r="I144" i="1"/>
  <c r="H144" i="1"/>
  <c r="Q143" i="1"/>
  <c r="N143" i="1"/>
  <c r="M143" i="1"/>
  <c r="O143" i="1"/>
  <c r="L143" i="1"/>
  <c r="K143" i="1"/>
  <c r="J143" i="1"/>
  <c r="I143" i="1"/>
  <c r="H143" i="1"/>
  <c r="Q142" i="1"/>
  <c r="N142" i="1"/>
  <c r="M142" i="1"/>
  <c r="L142" i="1"/>
  <c r="K142" i="1"/>
  <c r="J142" i="1"/>
  <c r="I142" i="1"/>
  <c r="H142" i="1"/>
  <c r="Q141" i="1"/>
  <c r="N141" i="1"/>
  <c r="M141" i="1"/>
  <c r="L141" i="1"/>
  <c r="K141" i="1"/>
  <c r="J141" i="1"/>
  <c r="I141" i="1"/>
  <c r="H141" i="1"/>
  <c r="Q140" i="1"/>
  <c r="N140" i="1"/>
  <c r="M140" i="1"/>
  <c r="L140" i="1"/>
  <c r="K140" i="1"/>
  <c r="J140" i="1"/>
  <c r="I140" i="1"/>
  <c r="H140" i="1"/>
  <c r="Q139" i="1"/>
  <c r="M139" i="1"/>
  <c r="N139" i="1"/>
  <c r="O139" i="1"/>
  <c r="L139" i="1"/>
  <c r="K139" i="1"/>
  <c r="J139" i="1"/>
  <c r="I139" i="1"/>
  <c r="H139" i="1"/>
  <c r="Q138" i="1"/>
  <c r="N138" i="1"/>
  <c r="M138" i="1"/>
  <c r="L138" i="1"/>
  <c r="K138" i="1"/>
  <c r="J138" i="1"/>
  <c r="I138" i="1"/>
  <c r="H138" i="1"/>
  <c r="Q137" i="1"/>
  <c r="N137" i="1"/>
  <c r="M137" i="1"/>
  <c r="L137" i="1"/>
  <c r="K137" i="1"/>
  <c r="J137" i="1"/>
  <c r="I137" i="1"/>
  <c r="H137" i="1"/>
  <c r="Q136" i="1"/>
  <c r="N136" i="1"/>
  <c r="M136" i="1"/>
  <c r="L136" i="1"/>
  <c r="K136" i="1"/>
  <c r="J136" i="1"/>
  <c r="I136" i="1"/>
  <c r="H136" i="1"/>
  <c r="Q135" i="1"/>
  <c r="N135" i="1"/>
  <c r="M135" i="1"/>
  <c r="L135" i="1"/>
  <c r="K135" i="1"/>
  <c r="J135" i="1"/>
  <c r="I135" i="1"/>
  <c r="H135" i="1"/>
  <c r="Q134" i="1"/>
  <c r="N134" i="1"/>
  <c r="M134" i="1"/>
  <c r="L134" i="1"/>
  <c r="K134" i="1"/>
  <c r="J134" i="1"/>
  <c r="I134" i="1"/>
  <c r="H134" i="1"/>
  <c r="Q133" i="1"/>
  <c r="N133" i="1"/>
  <c r="M133" i="1"/>
  <c r="O133" i="1"/>
  <c r="L133" i="1"/>
  <c r="K133" i="1"/>
  <c r="J133" i="1"/>
  <c r="I133" i="1"/>
  <c r="H133" i="1"/>
  <c r="Q132" i="1"/>
  <c r="N132" i="1"/>
  <c r="M132" i="1"/>
  <c r="L132" i="1"/>
  <c r="K132" i="1"/>
  <c r="J132" i="1"/>
  <c r="I132" i="1"/>
  <c r="H132" i="1"/>
  <c r="Q131" i="1"/>
  <c r="N131" i="1"/>
  <c r="M131" i="1"/>
  <c r="O131" i="1"/>
  <c r="L131" i="1"/>
  <c r="K131" i="1"/>
  <c r="J131" i="1"/>
  <c r="I131" i="1"/>
  <c r="H131" i="1"/>
  <c r="Q130" i="1"/>
  <c r="N130" i="1"/>
  <c r="M130" i="1"/>
  <c r="L130" i="1"/>
  <c r="K130" i="1"/>
  <c r="J130" i="1"/>
  <c r="I130" i="1"/>
  <c r="H130" i="1"/>
  <c r="Q129" i="1"/>
  <c r="N129" i="1"/>
  <c r="M129" i="1"/>
  <c r="L129" i="1"/>
  <c r="K129" i="1"/>
  <c r="J129" i="1"/>
  <c r="I129" i="1"/>
  <c r="H129" i="1"/>
  <c r="Q128" i="1"/>
  <c r="N128" i="1"/>
  <c r="M128" i="1"/>
  <c r="L128" i="1"/>
  <c r="K128" i="1"/>
  <c r="J128" i="1"/>
  <c r="I128" i="1"/>
  <c r="H128" i="1"/>
  <c r="Q127" i="1"/>
  <c r="N127" i="1"/>
  <c r="M127" i="1"/>
  <c r="L127" i="1"/>
  <c r="K127" i="1"/>
  <c r="J127" i="1"/>
  <c r="I127" i="1"/>
  <c r="H127" i="1"/>
  <c r="Q126" i="1"/>
  <c r="N126" i="1"/>
  <c r="M126" i="1"/>
  <c r="L126" i="1"/>
  <c r="K126" i="1"/>
  <c r="J126" i="1"/>
  <c r="I126" i="1"/>
  <c r="H126" i="1"/>
  <c r="Q125" i="1"/>
  <c r="N125" i="1"/>
  <c r="M125" i="1"/>
  <c r="L125" i="1"/>
  <c r="K125" i="1"/>
  <c r="J125" i="1"/>
  <c r="I125" i="1"/>
  <c r="H125" i="1"/>
  <c r="Q124" i="1"/>
  <c r="N124" i="1"/>
  <c r="M124" i="1"/>
  <c r="L124" i="1"/>
  <c r="K124" i="1"/>
  <c r="J124" i="1"/>
  <c r="I124" i="1"/>
  <c r="H124" i="1"/>
  <c r="Q123" i="1"/>
  <c r="N123" i="1"/>
  <c r="M123" i="1"/>
  <c r="L123" i="1"/>
  <c r="K123" i="1"/>
  <c r="J123" i="1"/>
  <c r="I123" i="1"/>
  <c r="H123" i="1"/>
  <c r="Q122" i="1"/>
  <c r="N122" i="1"/>
  <c r="M122" i="1"/>
  <c r="L122" i="1"/>
  <c r="K122" i="1"/>
  <c r="J122" i="1"/>
  <c r="I122" i="1"/>
  <c r="H122" i="1"/>
  <c r="Q121" i="1"/>
  <c r="N121" i="1"/>
  <c r="M121" i="1"/>
  <c r="O121" i="1"/>
  <c r="L121" i="1"/>
  <c r="K121" i="1"/>
  <c r="J121" i="1"/>
  <c r="I121" i="1"/>
  <c r="H121" i="1"/>
  <c r="Q120" i="1"/>
  <c r="N120" i="1"/>
  <c r="M120" i="1"/>
  <c r="L120" i="1"/>
  <c r="K120" i="1"/>
  <c r="J120" i="1"/>
  <c r="I120" i="1"/>
  <c r="H120" i="1"/>
  <c r="Q119" i="1"/>
  <c r="N119" i="1"/>
  <c r="M119" i="1"/>
  <c r="O119" i="1"/>
  <c r="L119" i="1"/>
  <c r="K119" i="1"/>
  <c r="J119" i="1"/>
  <c r="I119" i="1"/>
  <c r="H119" i="1"/>
  <c r="Q118" i="1"/>
  <c r="N118" i="1"/>
  <c r="M118" i="1"/>
  <c r="L118" i="1"/>
  <c r="K118" i="1"/>
  <c r="D118" i="1"/>
  <c r="J118" i="1"/>
  <c r="I118" i="1"/>
  <c r="H118" i="1"/>
  <c r="Q117" i="1"/>
  <c r="N117" i="1"/>
  <c r="M117" i="1"/>
  <c r="L117" i="1"/>
  <c r="K117" i="1"/>
  <c r="J117" i="1"/>
  <c r="I117" i="1"/>
  <c r="H117" i="1"/>
  <c r="Q116" i="1"/>
  <c r="N116" i="1"/>
  <c r="M116" i="1"/>
  <c r="L116" i="1"/>
  <c r="K116" i="1"/>
  <c r="D116" i="1"/>
  <c r="J116" i="1"/>
  <c r="I116" i="1"/>
  <c r="H116" i="1"/>
  <c r="Q115" i="1"/>
  <c r="N115" i="1"/>
  <c r="M115" i="1"/>
  <c r="L115" i="1"/>
  <c r="K115" i="1"/>
  <c r="J115" i="1"/>
  <c r="I115" i="1"/>
  <c r="H115" i="1"/>
  <c r="Q114" i="1"/>
  <c r="N114" i="1"/>
  <c r="M114" i="1"/>
  <c r="L114" i="1"/>
  <c r="K114" i="1"/>
  <c r="J114" i="1"/>
  <c r="I114" i="1"/>
  <c r="H114" i="1"/>
  <c r="Q113" i="1"/>
  <c r="N113" i="1"/>
  <c r="M113" i="1"/>
  <c r="O113" i="1"/>
  <c r="L113" i="1"/>
  <c r="K113" i="1"/>
  <c r="J113" i="1"/>
  <c r="I113" i="1"/>
  <c r="H113" i="1"/>
  <c r="Q112" i="1"/>
  <c r="N112" i="1"/>
  <c r="M112" i="1"/>
  <c r="L112" i="1"/>
  <c r="K112" i="1"/>
  <c r="J112" i="1"/>
  <c r="I112" i="1"/>
  <c r="H112" i="1"/>
  <c r="Q111" i="1"/>
  <c r="N111" i="1"/>
  <c r="M111" i="1"/>
  <c r="L111" i="1"/>
  <c r="K111" i="1"/>
  <c r="J111" i="1"/>
  <c r="I111" i="1"/>
  <c r="H111" i="1"/>
  <c r="Q110" i="1"/>
  <c r="N110" i="1"/>
  <c r="M110" i="1"/>
  <c r="L110" i="1"/>
  <c r="K110" i="1"/>
  <c r="J110" i="1"/>
  <c r="I110" i="1"/>
  <c r="H110" i="1"/>
  <c r="Q109" i="1"/>
  <c r="N109" i="1"/>
  <c r="M109" i="1"/>
  <c r="L109" i="1"/>
  <c r="K109" i="1"/>
  <c r="J109" i="1"/>
  <c r="I109" i="1"/>
  <c r="H109" i="1"/>
  <c r="Q108" i="1"/>
  <c r="N108" i="1"/>
  <c r="M108" i="1"/>
  <c r="L108" i="1"/>
  <c r="K108" i="1"/>
  <c r="J108" i="1"/>
  <c r="I108" i="1"/>
  <c r="H108" i="1"/>
  <c r="Q107" i="1"/>
  <c r="N107" i="1"/>
  <c r="M107" i="1"/>
  <c r="O107" i="1"/>
  <c r="L107" i="1"/>
  <c r="K107" i="1"/>
  <c r="J107" i="1"/>
  <c r="I107" i="1"/>
  <c r="H107" i="1"/>
  <c r="Q106" i="1"/>
  <c r="N106" i="1"/>
  <c r="M106" i="1"/>
  <c r="L106" i="1"/>
  <c r="K106" i="1"/>
  <c r="D106" i="1"/>
  <c r="J106" i="1"/>
  <c r="I106" i="1"/>
  <c r="H106" i="1"/>
  <c r="Q105" i="1"/>
  <c r="N105" i="1"/>
  <c r="M105" i="1"/>
  <c r="L105" i="1"/>
  <c r="K105" i="1"/>
  <c r="J105" i="1"/>
  <c r="I105" i="1"/>
  <c r="H105" i="1"/>
  <c r="Q104" i="1"/>
  <c r="N104" i="1"/>
  <c r="M104" i="1"/>
  <c r="L104" i="1"/>
  <c r="K104" i="1"/>
  <c r="D104" i="1"/>
  <c r="J104" i="1"/>
  <c r="I104" i="1"/>
  <c r="H104" i="1"/>
  <c r="Q103" i="1"/>
  <c r="N103" i="1"/>
  <c r="M103" i="1"/>
  <c r="L103" i="1"/>
  <c r="K103" i="1"/>
  <c r="J103" i="1"/>
  <c r="I103" i="1"/>
  <c r="H103" i="1"/>
  <c r="Q102" i="1"/>
  <c r="N102" i="1"/>
  <c r="M102" i="1"/>
  <c r="L102" i="1"/>
  <c r="K102" i="1"/>
  <c r="D102" i="1"/>
  <c r="J102" i="1"/>
  <c r="I102" i="1"/>
  <c r="H102" i="1"/>
  <c r="Q101" i="1"/>
  <c r="N101" i="1"/>
  <c r="M101" i="1"/>
  <c r="L101" i="1"/>
  <c r="K101" i="1"/>
  <c r="J101" i="1"/>
  <c r="I101" i="1"/>
  <c r="H101" i="1"/>
  <c r="Q100" i="1"/>
  <c r="N100" i="1"/>
  <c r="M100" i="1"/>
  <c r="L100" i="1"/>
  <c r="K100" i="1"/>
  <c r="J100" i="1"/>
  <c r="I100" i="1"/>
  <c r="H100" i="1"/>
  <c r="Q99" i="1"/>
  <c r="N99" i="1"/>
  <c r="M99" i="1"/>
  <c r="L99" i="1"/>
  <c r="K99" i="1"/>
  <c r="J99" i="1"/>
  <c r="I99" i="1"/>
  <c r="H99" i="1"/>
  <c r="Q98" i="1"/>
  <c r="N98" i="1"/>
  <c r="M98" i="1"/>
  <c r="L98" i="1"/>
  <c r="K98" i="1"/>
  <c r="J98" i="1"/>
  <c r="I98" i="1"/>
  <c r="H98" i="1"/>
  <c r="Q97" i="1"/>
  <c r="N97" i="1"/>
  <c r="M97" i="1"/>
  <c r="L97" i="1"/>
  <c r="K97" i="1"/>
  <c r="J97" i="1"/>
  <c r="I97" i="1"/>
  <c r="H97" i="1"/>
  <c r="Q96" i="1"/>
  <c r="N96" i="1"/>
  <c r="M96" i="1"/>
  <c r="L96" i="1"/>
  <c r="K96" i="1"/>
  <c r="J96" i="1"/>
  <c r="I96" i="1"/>
  <c r="H96" i="1"/>
  <c r="Q95" i="1"/>
  <c r="N95" i="1"/>
  <c r="M95" i="1"/>
  <c r="O95" i="1"/>
  <c r="L95" i="1"/>
  <c r="K95" i="1"/>
  <c r="J95" i="1"/>
  <c r="I95" i="1"/>
  <c r="H95" i="1"/>
  <c r="Q94" i="1"/>
  <c r="N94" i="1"/>
  <c r="M94" i="1"/>
  <c r="L94" i="1"/>
  <c r="K94" i="1"/>
  <c r="J94" i="1"/>
  <c r="I94" i="1"/>
  <c r="H94" i="1"/>
  <c r="Q93" i="1"/>
  <c r="N93" i="1"/>
  <c r="M93" i="1"/>
  <c r="O93" i="1"/>
  <c r="L93" i="1"/>
  <c r="K93" i="1"/>
  <c r="J93" i="1"/>
  <c r="I93" i="1"/>
  <c r="H93" i="1"/>
  <c r="Q92" i="1"/>
  <c r="N92" i="1"/>
  <c r="M92" i="1"/>
  <c r="L92" i="1"/>
  <c r="K92" i="1"/>
  <c r="J92" i="1"/>
  <c r="I92" i="1"/>
  <c r="H92" i="1"/>
  <c r="Q91" i="1"/>
  <c r="N91" i="1"/>
  <c r="M91" i="1"/>
  <c r="L91" i="1"/>
  <c r="K91" i="1"/>
  <c r="J91" i="1"/>
  <c r="I91" i="1"/>
  <c r="H91" i="1"/>
  <c r="Q90" i="1"/>
  <c r="N90" i="1"/>
  <c r="M90" i="1"/>
  <c r="L90" i="1"/>
  <c r="K90" i="1"/>
  <c r="J90" i="1"/>
  <c r="I90" i="1"/>
  <c r="H90" i="1"/>
  <c r="Q89" i="1"/>
  <c r="N89" i="1"/>
  <c r="M89" i="1"/>
  <c r="L89" i="1"/>
  <c r="K89" i="1"/>
  <c r="J89" i="1"/>
  <c r="I89" i="1"/>
  <c r="H89" i="1"/>
  <c r="Q88" i="1"/>
  <c r="N88" i="1"/>
  <c r="M88" i="1"/>
  <c r="L88" i="1"/>
  <c r="K88" i="1"/>
  <c r="J88" i="1"/>
  <c r="I88" i="1"/>
  <c r="H88" i="1"/>
  <c r="Q87" i="1"/>
  <c r="N87" i="1"/>
  <c r="M87" i="1"/>
  <c r="O87" i="1"/>
  <c r="L87" i="1"/>
  <c r="K87" i="1"/>
  <c r="J87" i="1"/>
  <c r="I87" i="1"/>
  <c r="H87" i="1"/>
  <c r="Q86" i="1"/>
  <c r="N86" i="1"/>
  <c r="M86" i="1"/>
  <c r="L86" i="1"/>
  <c r="K86" i="1"/>
  <c r="J86" i="1"/>
  <c r="I86" i="1"/>
  <c r="H86" i="1"/>
  <c r="Q85" i="1"/>
  <c r="N85" i="1"/>
  <c r="M85" i="1"/>
  <c r="O85" i="1"/>
  <c r="L85" i="1"/>
  <c r="K85" i="1"/>
  <c r="D85" i="1"/>
  <c r="J85" i="1"/>
  <c r="I85" i="1"/>
  <c r="H85" i="1"/>
  <c r="Q84" i="1"/>
  <c r="N84" i="1"/>
  <c r="M84" i="1"/>
  <c r="L84" i="1"/>
  <c r="K84" i="1"/>
  <c r="J84" i="1"/>
  <c r="I84" i="1"/>
  <c r="H84" i="1"/>
  <c r="D84" i="1"/>
  <c r="Q83" i="1"/>
  <c r="N83" i="1"/>
  <c r="M83" i="1"/>
  <c r="L83" i="1"/>
  <c r="K83" i="1"/>
  <c r="J83" i="1"/>
  <c r="I83" i="1"/>
  <c r="H83" i="1"/>
  <c r="Q82" i="1"/>
  <c r="N82" i="1"/>
  <c r="M82" i="1"/>
  <c r="L82" i="1"/>
  <c r="K82" i="1"/>
  <c r="J82" i="1"/>
  <c r="I82" i="1"/>
  <c r="H82" i="1"/>
  <c r="Q81" i="1"/>
  <c r="N81" i="1"/>
  <c r="M81" i="1"/>
  <c r="L81" i="1"/>
  <c r="K81" i="1"/>
  <c r="J81" i="1"/>
  <c r="I81" i="1"/>
  <c r="H81" i="1"/>
  <c r="Q80" i="1"/>
  <c r="N80" i="1"/>
  <c r="M80" i="1"/>
  <c r="L80" i="1"/>
  <c r="K80" i="1"/>
  <c r="J80" i="1"/>
  <c r="I80" i="1"/>
  <c r="H80" i="1"/>
  <c r="Q79" i="1"/>
  <c r="N79" i="1"/>
  <c r="M79" i="1"/>
  <c r="L79" i="1"/>
  <c r="K79" i="1"/>
  <c r="J79" i="1"/>
  <c r="I79" i="1"/>
  <c r="H79" i="1"/>
  <c r="Q78" i="1"/>
  <c r="N78" i="1"/>
  <c r="M78" i="1"/>
  <c r="L78" i="1"/>
  <c r="K78" i="1"/>
  <c r="J78" i="1"/>
  <c r="I78" i="1"/>
  <c r="H78" i="1"/>
  <c r="Q77" i="1"/>
  <c r="N77" i="1"/>
  <c r="M77" i="1"/>
  <c r="O77" i="1"/>
  <c r="L77" i="1"/>
  <c r="K77" i="1"/>
  <c r="J77" i="1"/>
  <c r="I77" i="1"/>
  <c r="H77" i="1"/>
  <c r="Q76" i="1"/>
  <c r="N76" i="1"/>
  <c r="M76" i="1"/>
  <c r="L76" i="1"/>
  <c r="K76" i="1"/>
  <c r="J76" i="1"/>
  <c r="I76" i="1"/>
  <c r="H76" i="1"/>
  <c r="Q75" i="1"/>
  <c r="N75" i="1"/>
  <c r="M75" i="1"/>
  <c r="O75" i="1"/>
  <c r="L75" i="1"/>
  <c r="K75" i="1"/>
  <c r="J75" i="1"/>
  <c r="I75" i="1"/>
  <c r="H75" i="1"/>
  <c r="Q74" i="1"/>
  <c r="N74" i="1"/>
  <c r="M74" i="1"/>
  <c r="L74" i="1"/>
  <c r="K74" i="1"/>
  <c r="J74" i="1"/>
  <c r="I74" i="1"/>
  <c r="H74" i="1"/>
  <c r="Q73" i="1"/>
  <c r="N73" i="1"/>
  <c r="M73" i="1"/>
  <c r="O73" i="1"/>
  <c r="L73" i="1"/>
  <c r="K73" i="1"/>
  <c r="J73" i="1"/>
  <c r="I73" i="1"/>
  <c r="H73" i="1"/>
  <c r="Q72" i="1"/>
  <c r="N72" i="1"/>
  <c r="M72" i="1"/>
  <c r="L72" i="1"/>
  <c r="K72" i="1"/>
  <c r="J72" i="1"/>
  <c r="I72" i="1"/>
  <c r="H72" i="1"/>
  <c r="Q71" i="1"/>
  <c r="N71" i="1"/>
  <c r="M71" i="1"/>
  <c r="L71" i="1"/>
  <c r="K71" i="1"/>
  <c r="J71" i="1"/>
  <c r="I71" i="1"/>
  <c r="H71" i="1"/>
  <c r="Q70" i="1"/>
  <c r="N70" i="1"/>
  <c r="M70" i="1"/>
  <c r="L70" i="1"/>
  <c r="K70" i="1"/>
  <c r="J70" i="1"/>
  <c r="I70" i="1"/>
  <c r="H70" i="1"/>
  <c r="Q69" i="1"/>
  <c r="N69" i="1"/>
  <c r="M69" i="1"/>
  <c r="L69" i="1"/>
  <c r="K69" i="1"/>
  <c r="J69" i="1"/>
  <c r="I69" i="1"/>
  <c r="H69" i="1"/>
  <c r="Q68" i="1"/>
  <c r="N68" i="1"/>
  <c r="M68" i="1"/>
  <c r="L68" i="1"/>
  <c r="K68" i="1"/>
  <c r="J68" i="1"/>
  <c r="I68" i="1"/>
  <c r="H68" i="1"/>
  <c r="Q67" i="1"/>
  <c r="N67" i="1"/>
  <c r="M67" i="1"/>
  <c r="L67" i="1"/>
  <c r="K67" i="1"/>
  <c r="J67" i="1"/>
  <c r="I67" i="1"/>
  <c r="H67" i="1"/>
  <c r="Q66" i="1"/>
  <c r="N66" i="1"/>
  <c r="M66" i="1"/>
  <c r="L66" i="1"/>
  <c r="K66" i="1"/>
  <c r="J66" i="1"/>
  <c r="I66" i="1"/>
  <c r="H66" i="1"/>
  <c r="Q65" i="1"/>
  <c r="N65" i="1"/>
  <c r="M65" i="1"/>
  <c r="O65" i="1"/>
  <c r="L65" i="1"/>
  <c r="K65" i="1"/>
  <c r="J65" i="1"/>
  <c r="I65" i="1"/>
  <c r="H65" i="1"/>
  <c r="Q64" i="1"/>
  <c r="N64" i="1"/>
  <c r="M64" i="1"/>
  <c r="L64" i="1"/>
  <c r="K64" i="1"/>
  <c r="J64" i="1"/>
  <c r="I64" i="1"/>
  <c r="H64" i="1"/>
  <c r="Q63" i="1"/>
  <c r="N63" i="1"/>
  <c r="M63" i="1"/>
  <c r="L63" i="1"/>
  <c r="K63" i="1"/>
  <c r="J63" i="1"/>
  <c r="I63" i="1"/>
  <c r="H63" i="1"/>
  <c r="Q62" i="1"/>
  <c r="N62" i="1"/>
  <c r="M62" i="1"/>
  <c r="L62" i="1"/>
  <c r="K62" i="1"/>
  <c r="J62" i="1"/>
  <c r="I62" i="1"/>
  <c r="H62" i="1"/>
  <c r="Q61" i="1"/>
  <c r="N61" i="1"/>
  <c r="M61" i="1"/>
  <c r="O61" i="1"/>
  <c r="L61" i="1"/>
  <c r="K61" i="1"/>
  <c r="J61" i="1"/>
  <c r="I61" i="1"/>
  <c r="H61" i="1"/>
  <c r="Q60" i="1"/>
  <c r="N60" i="1"/>
  <c r="M60" i="1"/>
  <c r="L60" i="1"/>
  <c r="K60" i="1"/>
  <c r="J60" i="1"/>
  <c r="I60" i="1"/>
  <c r="H60" i="1"/>
  <c r="Q59" i="1"/>
  <c r="N59" i="1"/>
  <c r="M59" i="1"/>
  <c r="L59" i="1"/>
  <c r="K59" i="1"/>
  <c r="J59" i="1"/>
  <c r="I59" i="1"/>
  <c r="H59" i="1"/>
  <c r="Q58" i="1"/>
  <c r="N58" i="1"/>
  <c r="M58" i="1"/>
  <c r="L58" i="1"/>
  <c r="K58" i="1"/>
  <c r="J58" i="1"/>
  <c r="I58" i="1"/>
  <c r="H58" i="1"/>
  <c r="Q57" i="1"/>
  <c r="N57" i="1"/>
  <c r="M57" i="1"/>
  <c r="L57" i="1"/>
  <c r="K57" i="1"/>
  <c r="J57" i="1"/>
  <c r="I57" i="1"/>
  <c r="H57" i="1"/>
  <c r="Q56" i="1"/>
  <c r="N56" i="1"/>
  <c r="M56" i="1"/>
  <c r="L56" i="1"/>
  <c r="K56" i="1"/>
  <c r="J56" i="1"/>
  <c r="I56" i="1"/>
  <c r="H56" i="1"/>
  <c r="Q55" i="1"/>
  <c r="N55" i="1"/>
  <c r="M55" i="1"/>
  <c r="L55" i="1"/>
  <c r="K55" i="1"/>
  <c r="J55" i="1"/>
  <c r="I55" i="1"/>
  <c r="H55" i="1"/>
  <c r="Q54" i="1"/>
  <c r="N54" i="1"/>
  <c r="M54" i="1"/>
  <c r="O54" i="1"/>
  <c r="L54" i="1"/>
  <c r="K54" i="1"/>
  <c r="J54" i="1"/>
  <c r="I54" i="1"/>
  <c r="H54" i="1"/>
  <c r="Q53" i="1"/>
  <c r="N53" i="1"/>
  <c r="M53" i="1"/>
  <c r="L53" i="1"/>
  <c r="K53" i="1"/>
  <c r="J53" i="1"/>
  <c r="I53" i="1"/>
  <c r="H53" i="1"/>
  <c r="Q52" i="1"/>
  <c r="N52" i="1"/>
  <c r="M52" i="1"/>
  <c r="L52" i="1"/>
  <c r="K52" i="1"/>
  <c r="J52" i="1"/>
  <c r="I52" i="1"/>
  <c r="H52" i="1"/>
  <c r="Q51" i="1"/>
  <c r="N51" i="1"/>
  <c r="M51" i="1"/>
  <c r="L51" i="1"/>
  <c r="K51" i="1"/>
  <c r="J51" i="1"/>
  <c r="I51" i="1"/>
  <c r="H51" i="1"/>
  <c r="Q50" i="1"/>
  <c r="N50" i="1"/>
  <c r="M50" i="1"/>
  <c r="L50" i="1"/>
  <c r="K50" i="1"/>
  <c r="J50" i="1"/>
  <c r="I50" i="1"/>
  <c r="H50" i="1"/>
  <c r="Q49" i="1"/>
  <c r="N49" i="1"/>
  <c r="M49" i="1"/>
  <c r="L49" i="1"/>
  <c r="K49" i="1"/>
  <c r="J49" i="1"/>
  <c r="I49" i="1"/>
  <c r="H49" i="1"/>
  <c r="Q48" i="1"/>
  <c r="N48" i="1"/>
  <c r="M48" i="1"/>
  <c r="O48" i="1"/>
  <c r="L48" i="1"/>
  <c r="K48" i="1"/>
  <c r="J48" i="1"/>
  <c r="I48" i="1"/>
  <c r="H48" i="1"/>
  <c r="Q47" i="1"/>
  <c r="N47" i="1"/>
  <c r="M47" i="1"/>
  <c r="L47" i="1"/>
  <c r="K47" i="1"/>
  <c r="J47" i="1"/>
  <c r="I47" i="1"/>
  <c r="H47" i="1"/>
  <c r="Q46" i="1"/>
  <c r="N46" i="1"/>
  <c r="M46" i="1"/>
  <c r="O46" i="1"/>
  <c r="L46" i="1"/>
  <c r="K46" i="1"/>
  <c r="J46" i="1"/>
  <c r="I46" i="1"/>
  <c r="H46" i="1"/>
  <c r="Q45" i="1"/>
  <c r="N45" i="1"/>
  <c r="M45" i="1"/>
  <c r="L45" i="1"/>
  <c r="K45" i="1"/>
  <c r="J45" i="1"/>
  <c r="I45" i="1"/>
  <c r="H45" i="1"/>
  <c r="Q44" i="1"/>
  <c r="N44" i="1"/>
  <c r="M44" i="1"/>
  <c r="L44" i="1"/>
  <c r="K44" i="1"/>
  <c r="J44" i="1"/>
  <c r="I44" i="1"/>
  <c r="H44" i="1"/>
  <c r="Q43" i="1"/>
  <c r="N43" i="1"/>
  <c r="M43" i="1"/>
  <c r="L43" i="1"/>
  <c r="K43" i="1"/>
  <c r="J43" i="1"/>
  <c r="I43" i="1"/>
  <c r="H43" i="1"/>
  <c r="Q42" i="1"/>
  <c r="N42" i="1"/>
  <c r="M42" i="1"/>
  <c r="L42" i="1"/>
  <c r="K42" i="1"/>
  <c r="J42" i="1"/>
  <c r="I42" i="1"/>
  <c r="H42" i="1"/>
  <c r="Q41" i="1"/>
  <c r="N41" i="1"/>
  <c r="M41" i="1"/>
  <c r="L41" i="1"/>
  <c r="K41" i="1"/>
  <c r="J41" i="1"/>
  <c r="I41" i="1"/>
  <c r="H41" i="1"/>
  <c r="Q40" i="1"/>
  <c r="N40" i="1"/>
  <c r="M40" i="1"/>
  <c r="L40" i="1"/>
  <c r="K40" i="1"/>
  <c r="J40" i="1"/>
  <c r="I40" i="1"/>
  <c r="H40" i="1"/>
  <c r="Q39" i="1"/>
  <c r="N39" i="1"/>
  <c r="M39" i="1"/>
  <c r="L39" i="1"/>
  <c r="K39" i="1"/>
  <c r="J39" i="1"/>
  <c r="I39" i="1"/>
  <c r="H39" i="1"/>
  <c r="Q38" i="1"/>
  <c r="N38" i="1"/>
  <c r="M38" i="1"/>
  <c r="O38" i="1"/>
  <c r="L38" i="1"/>
  <c r="K38" i="1"/>
  <c r="J38" i="1"/>
  <c r="I38" i="1"/>
  <c r="H38" i="1"/>
  <c r="Q37" i="1"/>
  <c r="N37" i="1"/>
  <c r="M37" i="1"/>
  <c r="L37" i="1"/>
  <c r="K37" i="1"/>
  <c r="J37" i="1"/>
  <c r="I37" i="1"/>
  <c r="H37" i="1"/>
  <c r="Q36" i="1"/>
  <c r="N36" i="1"/>
  <c r="M36" i="1"/>
  <c r="O36" i="1"/>
  <c r="L36" i="1"/>
  <c r="K36" i="1"/>
  <c r="J36" i="1"/>
  <c r="I36" i="1"/>
  <c r="H36" i="1"/>
  <c r="Q35" i="1"/>
  <c r="N35" i="1"/>
  <c r="M35" i="1"/>
  <c r="L35" i="1"/>
  <c r="K35" i="1"/>
  <c r="J35" i="1"/>
  <c r="I35" i="1"/>
  <c r="H35" i="1"/>
  <c r="Q34" i="1"/>
  <c r="N34" i="1"/>
  <c r="M34" i="1"/>
  <c r="O34" i="1"/>
  <c r="L34" i="1"/>
  <c r="K34" i="1"/>
  <c r="J34" i="1"/>
  <c r="I34" i="1"/>
  <c r="H34" i="1"/>
  <c r="Q33" i="1"/>
  <c r="N33" i="1"/>
  <c r="M33" i="1"/>
  <c r="L33" i="1"/>
  <c r="K33" i="1"/>
  <c r="J33" i="1"/>
  <c r="I33" i="1"/>
  <c r="H33" i="1"/>
  <c r="Q32" i="1"/>
  <c r="N32" i="1"/>
  <c r="M32" i="1"/>
  <c r="L32" i="1"/>
  <c r="K32" i="1"/>
  <c r="J32" i="1"/>
  <c r="I32" i="1"/>
  <c r="H32" i="1"/>
  <c r="Q31" i="1"/>
  <c r="N31" i="1"/>
  <c r="M31" i="1"/>
  <c r="L31" i="1"/>
  <c r="K31" i="1"/>
  <c r="J31" i="1"/>
  <c r="I31" i="1"/>
  <c r="H31" i="1"/>
  <c r="Q30" i="1"/>
  <c r="M30" i="1"/>
  <c r="N30" i="1"/>
  <c r="O30" i="1"/>
  <c r="L30" i="1"/>
  <c r="K30" i="1"/>
  <c r="J30" i="1"/>
  <c r="I30" i="1"/>
  <c r="H30" i="1"/>
  <c r="Q29" i="1"/>
  <c r="N29" i="1"/>
  <c r="M29" i="1"/>
  <c r="L29" i="1"/>
  <c r="K29" i="1"/>
  <c r="J29" i="1"/>
  <c r="I29" i="1"/>
  <c r="H29" i="1"/>
  <c r="Q28" i="1"/>
  <c r="N28" i="1"/>
  <c r="M28" i="1"/>
  <c r="L28" i="1"/>
  <c r="K28" i="1"/>
  <c r="J28" i="1"/>
  <c r="I28" i="1"/>
  <c r="H28" i="1"/>
  <c r="Q27" i="1"/>
  <c r="N27" i="1"/>
  <c r="M27" i="1"/>
  <c r="L27" i="1"/>
  <c r="K27" i="1"/>
  <c r="J27" i="1"/>
  <c r="I27" i="1"/>
  <c r="H27" i="1"/>
  <c r="Q26" i="1"/>
  <c r="N26" i="1"/>
  <c r="M26" i="1"/>
  <c r="L26" i="1"/>
  <c r="K26" i="1"/>
  <c r="J26" i="1"/>
  <c r="I26" i="1"/>
  <c r="H26" i="1"/>
  <c r="Q25" i="1"/>
  <c r="N25" i="1"/>
  <c r="M25" i="1"/>
  <c r="L25" i="1"/>
  <c r="K25" i="1"/>
  <c r="J25" i="1"/>
  <c r="I25" i="1"/>
  <c r="H25" i="1"/>
  <c r="Q24" i="1"/>
  <c r="N24" i="1"/>
  <c r="M24" i="1"/>
  <c r="L24" i="1"/>
  <c r="K24" i="1"/>
  <c r="J24" i="1"/>
  <c r="I24" i="1"/>
  <c r="H24" i="1"/>
  <c r="Q23" i="1"/>
  <c r="N23" i="1"/>
  <c r="M23" i="1"/>
  <c r="L23" i="1"/>
  <c r="K23" i="1"/>
  <c r="J23" i="1"/>
  <c r="I23" i="1"/>
  <c r="H23" i="1"/>
  <c r="Q22" i="1"/>
  <c r="N22" i="1"/>
  <c r="M22" i="1"/>
  <c r="O22" i="1"/>
  <c r="L22" i="1"/>
  <c r="K22" i="1"/>
  <c r="J22" i="1"/>
  <c r="I22" i="1"/>
  <c r="H22" i="1"/>
  <c r="N21" i="1"/>
  <c r="M21" i="1"/>
  <c r="L21" i="1"/>
  <c r="K21" i="1"/>
  <c r="J21" i="1"/>
  <c r="I21" i="1"/>
  <c r="H21" i="1"/>
  <c r="N20" i="1"/>
  <c r="M20" i="1"/>
  <c r="L20" i="1"/>
  <c r="K20" i="1"/>
  <c r="J20" i="1"/>
  <c r="I20" i="1"/>
  <c r="H20" i="1"/>
  <c r="N19" i="1"/>
  <c r="M19" i="1"/>
  <c r="L19" i="1"/>
  <c r="K19" i="1"/>
  <c r="D19" i="1"/>
  <c r="J19" i="1"/>
  <c r="I19" i="1"/>
  <c r="H19" i="1"/>
  <c r="N18" i="1"/>
  <c r="M18" i="1"/>
  <c r="L18" i="1"/>
  <c r="K18" i="1"/>
  <c r="J18" i="1"/>
  <c r="I18" i="1"/>
  <c r="H18" i="1"/>
  <c r="N17" i="1"/>
  <c r="M17" i="1"/>
  <c r="L17" i="1"/>
  <c r="K17" i="1"/>
  <c r="J17" i="1"/>
  <c r="I17" i="1"/>
  <c r="H17" i="1"/>
  <c r="N16" i="1"/>
  <c r="M16" i="1"/>
  <c r="L16" i="1"/>
  <c r="K16" i="1"/>
  <c r="J16" i="1"/>
  <c r="I16" i="1"/>
  <c r="H16" i="1"/>
  <c r="N15" i="1"/>
  <c r="M15" i="1"/>
  <c r="O15" i="1"/>
  <c r="L15" i="1"/>
  <c r="K15" i="1"/>
  <c r="J15" i="1"/>
  <c r="I15" i="1"/>
  <c r="H15" i="1"/>
  <c r="N14" i="1"/>
  <c r="M14" i="1"/>
  <c r="L14" i="1"/>
  <c r="K14" i="1"/>
  <c r="J14" i="1"/>
  <c r="I14" i="1"/>
  <c r="H14" i="1"/>
  <c r="N13" i="1"/>
  <c r="M13" i="1"/>
  <c r="L13" i="1"/>
  <c r="K13" i="1"/>
  <c r="J13" i="1"/>
  <c r="I13" i="1"/>
  <c r="H13" i="1"/>
  <c r="N12" i="1"/>
  <c r="M12" i="1"/>
  <c r="L12" i="1"/>
  <c r="K12" i="1"/>
  <c r="J12" i="1"/>
  <c r="I12" i="1"/>
  <c r="H12" i="1"/>
  <c r="N11" i="1"/>
  <c r="M11" i="1"/>
  <c r="O11" i="1"/>
  <c r="L11" i="1"/>
  <c r="K11" i="1"/>
  <c r="D11" i="1"/>
  <c r="J11" i="1"/>
  <c r="I11" i="1"/>
  <c r="H11" i="1"/>
  <c r="N10" i="1"/>
  <c r="M10" i="1"/>
  <c r="L10" i="1"/>
  <c r="K10" i="1"/>
  <c r="J10" i="1"/>
  <c r="I10" i="1"/>
  <c r="H10" i="1"/>
  <c r="N9" i="1"/>
  <c r="M9" i="1"/>
  <c r="L9" i="1"/>
  <c r="K9" i="1"/>
  <c r="J9" i="1"/>
  <c r="I9" i="1"/>
  <c r="H9" i="1"/>
  <c r="N8" i="1"/>
  <c r="M8" i="1"/>
  <c r="L8" i="1"/>
  <c r="K8" i="1"/>
  <c r="J8" i="1"/>
  <c r="I8" i="1"/>
  <c r="H8" i="1"/>
  <c r="N7" i="1"/>
  <c r="M7" i="1"/>
  <c r="O7" i="1"/>
  <c r="L7" i="1"/>
  <c r="K7" i="1"/>
  <c r="J7" i="1"/>
  <c r="I7" i="1"/>
  <c r="H7" i="1"/>
  <c r="N6" i="1"/>
  <c r="M6" i="1"/>
  <c r="L6" i="1"/>
  <c r="K6" i="1"/>
  <c r="J6" i="1"/>
  <c r="I6" i="1"/>
  <c r="H6" i="1"/>
  <c r="N5" i="1"/>
  <c r="M5" i="1"/>
  <c r="L5" i="1"/>
  <c r="K5" i="1"/>
  <c r="J5" i="1"/>
  <c r="I5" i="1"/>
  <c r="H5" i="1"/>
  <c r="N4" i="1"/>
  <c r="M4" i="1"/>
  <c r="L4" i="1"/>
  <c r="K4" i="1"/>
  <c r="J4" i="1"/>
  <c r="I4" i="1"/>
  <c r="H4" i="1"/>
  <c r="N1" i="1"/>
  <c r="M1" i="1"/>
  <c r="L1" i="1"/>
  <c r="K1" i="1"/>
  <c r="D1" i="1"/>
  <c r="J1" i="1"/>
  <c r="I1" i="1"/>
  <c r="H1" i="1"/>
  <c r="C1" i="1"/>
  <c r="P229" i="1"/>
  <c r="P221" i="1"/>
  <c r="P205" i="1"/>
  <c r="P189" i="1"/>
  <c r="P173" i="1"/>
  <c r="P157" i="1"/>
  <c r="P141" i="1"/>
  <c r="P125" i="1"/>
  <c r="P109" i="1"/>
  <c r="P93" i="1"/>
  <c r="P77" i="1"/>
  <c r="P61" i="1"/>
  <c r="P7" i="1"/>
  <c r="P216" i="1"/>
  <c r="P200" i="1"/>
  <c r="P184" i="1"/>
  <c r="P168" i="1"/>
  <c r="P152" i="1"/>
  <c r="P136" i="1"/>
  <c r="P120" i="1"/>
  <c r="P104" i="1"/>
  <c r="P88" i="1"/>
  <c r="P211" i="1"/>
  <c r="P147" i="1"/>
  <c r="P100" i="1"/>
  <c r="P74" i="1"/>
  <c r="P48" i="1"/>
  <c r="P32" i="1"/>
  <c r="P71" i="1"/>
  <c r="P224" i="1"/>
  <c r="P177" i="1"/>
  <c r="P138" i="1"/>
  <c r="P23" i="1"/>
  <c r="P12" i="1"/>
  <c r="P210" i="1"/>
  <c r="P188" i="1"/>
  <c r="P169" i="1"/>
  <c r="P146" i="1"/>
  <c r="P124" i="1"/>
  <c r="P92" i="1"/>
  <c r="P68" i="1"/>
  <c r="P58" i="1"/>
  <c r="P42" i="1"/>
  <c r="P26" i="1"/>
  <c r="P10" i="1"/>
  <c r="P203" i="1"/>
  <c r="P123" i="1"/>
  <c r="P91" i="1"/>
  <c r="P53" i="1"/>
  <c r="P36" i="1"/>
  <c r="P212" i="1"/>
  <c r="P154" i="1"/>
  <c r="P115" i="1"/>
  <c r="P83" i="1"/>
  <c r="P54" i="1"/>
  <c r="P38" i="1"/>
  <c r="P6" i="1"/>
  <c r="P213" i="1"/>
  <c r="P197" i="1"/>
  <c r="P165" i="1"/>
  <c r="P133" i="1"/>
  <c r="P101" i="1"/>
  <c r="P69" i="1"/>
  <c r="P226" i="1"/>
  <c r="P192" i="1"/>
  <c r="P160" i="1"/>
  <c r="P128" i="1"/>
  <c r="P96" i="1"/>
  <c r="P179" i="1"/>
  <c r="P82" i="1"/>
  <c r="P40" i="1"/>
  <c r="P64" i="1"/>
  <c r="P164" i="1"/>
  <c r="P14" i="1"/>
  <c r="P201" i="1"/>
  <c r="P156" i="1"/>
  <c r="P106" i="1"/>
  <c r="P66" i="1"/>
  <c r="P34" i="1"/>
  <c r="P8" i="1"/>
  <c r="P113" i="1"/>
  <c r="P45" i="1"/>
  <c r="P186" i="1"/>
  <c r="P105" i="1"/>
  <c r="P46" i="1"/>
  <c r="P4" i="1"/>
  <c r="P227" i="1"/>
  <c r="P198" i="1"/>
  <c r="P166" i="1"/>
  <c r="P134" i="1"/>
  <c r="P102" i="1"/>
  <c r="P70" i="1"/>
  <c r="P230" i="1"/>
  <c r="P199" i="1"/>
  <c r="P167" i="1"/>
  <c r="P135" i="1"/>
  <c r="P103" i="1"/>
  <c r="P195" i="1"/>
  <c r="P97" i="1"/>
  <c r="P41" i="1"/>
  <c r="P65" i="1"/>
  <c r="P170" i="1"/>
  <c r="P21" i="1"/>
  <c r="P204" i="1"/>
  <c r="P162" i="1"/>
  <c r="P121" i="1"/>
  <c r="P67" i="1"/>
  <c r="P35" i="1"/>
  <c r="P9" i="1"/>
  <c r="P116" i="1"/>
  <c r="P52" i="1"/>
  <c r="P209" i="1"/>
  <c r="P108" i="1"/>
  <c r="P47" i="1"/>
  <c r="P5" i="1"/>
  <c r="P231" i="1"/>
  <c r="P223" i="1"/>
  <c r="P206" i="1"/>
  <c r="P190" i="1"/>
  <c r="P174" i="1"/>
  <c r="P158" i="1"/>
  <c r="P142" i="1"/>
  <c r="P126" i="1"/>
  <c r="P110" i="1"/>
  <c r="P94" i="1"/>
  <c r="P78" i="1"/>
  <c r="P62" i="1"/>
  <c r="P11" i="1"/>
  <c r="P222" i="1"/>
  <c r="P207" i="1"/>
  <c r="P191" i="1"/>
  <c r="P175" i="1"/>
  <c r="P159" i="1"/>
  <c r="P143" i="1"/>
  <c r="P127" i="1"/>
  <c r="P111" i="1"/>
  <c r="P95" i="1"/>
  <c r="P79" i="1"/>
  <c r="P163" i="1"/>
  <c r="P107" i="1"/>
  <c r="P75" i="1"/>
  <c r="P49" i="1"/>
  <c r="P33" i="1"/>
  <c r="P139" i="1"/>
  <c r="P37" i="1"/>
  <c r="P193" i="1"/>
  <c r="P161" i="1"/>
  <c r="P31" i="1"/>
  <c r="P13" i="1"/>
  <c r="P217" i="1"/>
  <c r="P194" i="1"/>
  <c r="P172" i="1"/>
  <c r="P153" i="1"/>
  <c r="P130" i="1"/>
  <c r="P99" i="1"/>
  <c r="P72" i="1"/>
  <c r="P59" i="1"/>
  <c r="P43" i="1"/>
  <c r="P27" i="1"/>
  <c r="P16" i="1"/>
  <c r="P219" i="1"/>
  <c r="P155" i="1"/>
  <c r="P98" i="1"/>
  <c r="P60" i="1"/>
  <c r="P44" i="1"/>
  <c r="P218" i="1"/>
  <c r="P180" i="1"/>
  <c r="P122" i="1"/>
  <c r="P90" i="1"/>
  <c r="P55" i="1"/>
  <c r="P39" i="1"/>
  <c r="P20" i="1"/>
  <c r="P225" i="1"/>
  <c r="P181" i="1"/>
  <c r="P149" i="1"/>
  <c r="P117" i="1"/>
  <c r="P85" i="1"/>
  <c r="P15" i="1"/>
  <c r="P208" i="1"/>
  <c r="P176" i="1"/>
  <c r="P144" i="1"/>
  <c r="P112" i="1"/>
  <c r="P80" i="1"/>
  <c r="P114" i="1"/>
  <c r="P56" i="1"/>
  <c r="P24" i="1"/>
  <c r="P196" i="1"/>
  <c r="P129" i="1"/>
  <c r="P220" i="1"/>
  <c r="P178" i="1"/>
  <c r="P137" i="1"/>
  <c r="P73" i="1"/>
  <c r="P50" i="1"/>
  <c r="P17" i="1"/>
  <c r="P171" i="1"/>
  <c r="P81" i="1"/>
  <c r="P28" i="1"/>
  <c r="P145" i="1"/>
  <c r="P63" i="1"/>
  <c r="P22" i="1"/>
  <c r="P214" i="1"/>
  <c r="P182" i="1"/>
  <c r="P150" i="1"/>
  <c r="P118" i="1"/>
  <c r="P86" i="1"/>
  <c r="P19" i="1"/>
  <c r="P215" i="1"/>
  <c r="P183" i="1"/>
  <c r="P151" i="1"/>
  <c r="P119" i="1"/>
  <c r="P87" i="1"/>
  <c r="P131" i="1"/>
  <c r="P57" i="1"/>
  <c r="P25" i="1"/>
  <c r="P202" i="1"/>
  <c r="P132" i="1"/>
  <c r="P228" i="1"/>
  <c r="P185" i="1"/>
  <c r="P140" i="1"/>
  <c r="P89" i="1"/>
  <c r="P51" i="1"/>
  <c r="P18" i="1"/>
  <c r="P187" i="1"/>
  <c r="P84" i="1"/>
  <c r="P29" i="1"/>
  <c r="P148" i="1"/>
  <c r="P76" i="1"/>
  <c r="P30" i="1"/>
  <c r="D4" i="1"/>
  <c r="C8" i="1"/>
  <c r="D8" i="1"/>
  <c r="D12" i="1"/>
  <c r="D16" i="1"/>
  <c r="O18" i="1"/>
  <c r="D20" i="1"/>
  <c r="O21" i="1"/>
  <c r="O26" i="1"/>
  <c r="O28" i="1"/>
  <c r="D39" i="1"/>
  <c r="D41" i="1"/>
  <c r="D43" i="1"/>
  <c r="D45" i="1"/>
  <c r="D47" i="1"/>
  <c r="D49" i="1"/>
  <c r="D51" i="1"/>
  <c r="D53" i="1"/>
  <c r="D55" i="1"/>
  <c r="D57" i="1"/>
  <c r="D59" i="1"/>
  <c r="O67" i="1"/>
  <c r="O71" i="1"/>
  <c r="O79" i="1"/>
  <c r="O101" i="1"/>
  <c r="O125" i="1"/>
  <c r="O127" i="1"/>
  <c r="O129" i="1"/>
  <c r="O135" i="1"/>
  <c r="O137" i="1"/>
  <c r="D148" i="1"/>
  <c r="D150" i="1"/>
  <c r="D152" i="1"/>
  <c r="D154" i="1"/>
  <c r="D156" i="1"/>
  <c r="D158" i="1"/>
  <c r="D160" i="1"/>
  <c r="D162" i="1"/>
  <c r="D164" i="1"/>
  <c r="O199" i="1"/>
  <c r="O201" i="1"/>
  <c r="O215" i="1"/>
  <c r="O217" i="1"/>
  <c r="D230" i="1"/>
  <c r="O63" i="1"/>
  <c r="D92" i="1"/>
  <c r="D94" i="1"/>
  <c r="D96" i="1"/>
  <c r="D98" i="1"/>
  <c r="D100" i="1"/>
  <c r="O173" i="1"/>
  <c r="O175" i="1"/>
  <c r="O177" i="1"/>
  <c r="O191" i="1"/>
  <c r="O193" i="1"/>
  <c r="D23" i="1"/>
  <c r="D25" i="1"/>
  <c r="D27" i="1"/>
  <c r="D29" i="1"/>
  <c r="O42" i="1"/>
  <c r="O44" i="1"/>
  <c r="O58" i="1"/>
  <c r="O60" i="1"/>
  <c r="D66" i="1"/>
  <c r="D68" i="1"/>
  <c r="D70" i="1"/>
  <c r="D72" i="1"/>
  <c r="D74" i="1"/>
  <c r="D76" i="1"/>
  <c r="D78" i="1"/>
  <c r="D80" i="1"/>
  <c r="D82" i="1"/>
  <c r="O111" i="1"/>
  <c r="O115" i="1"/>
  <c r="D126" i="1"/>
  <c r="D132" i="1"/>
  <c r="D134" i="1"/>
  <c r="O151" i="1"/>
  <c r="O153" i="1"/>
  <c r="D198" i="1"/>
  <c r="D204" i="1"/>
  <c r="D206" i="1"/>
  <c r="D208" i="1"/>
  <c r="D210" i="1"/>
  <c r="D212" i="1"/>
  <c r="D214" i="1"/>
  <c r="D216" i="1"/>
  <c r="D218" i="1"/>
  <c r="O227" i="1"/>
  <c r="O13" i="1"/>
  <c r="O32" i="1"/>
  <c r="O89" i="1"/>
  <c r="O91" i="1"/>
  <c r="D101" i="1"/>
  <c r="C118" i="1"/>
  <c r="E118" i="1"/>
  <c r="G118" i="1"/>
  <c r="O109" i="1"/>
  <c r="O123" i="1"/>
  <c r="O166" i="1"/>
  <c r="O168" i="1"/>
  <c r="O171" i="1"/>
  <c r="O197" i="1"/>
  <c r="O221" i="1"/>
  <c r="O222" i="1"/>
  <c r="E1" i="1"/>
  <c r="G1" i="1"/>
  <c r="D18" i="1"/>
  <c r="O40" i="1"/>
  <c r="O68" i="1"/>
  <c r="O97" i="1"/>
  <c r="O99" i="1"/>
  <c r="D135" i="1"/>
  <c r="O149" i="1"/>
  <c r="D165" i="1"/>
  <c r="O179" i="1"/>
  <c r="D191" i="1"/>
  <c r="D195" i="1"/>
  <c r="O229" i="1"/>
  <c r="O230" i="1"/>
  <c r="O5" i="1"/>
  <c r="O6" i="1"/>
  <c r="D9" i="1"/>
  <c r="O14" i="1"/>
  <c r="D17" i="1"/>
  <c r="O24" i="1"/>
  <c r="D31" i="1"/>
  <c r="D33" i="1"/>
  <c r="D35" i="1"/>
  <c r="D37" i="1"/>
  <c r="O50" i="1"/>
  <c r="O52" i="1"/>
  <c r="O56" i="1"/>
  <c r="O81" i="1"/>
  <c r="O83" i="1"/>
  <c r="D86" i="1"/>
  <c r="D88" i="1"/>
  <c r="D90" i="1"/>
  <c r="D93" i="1"/>
  <c r="O102" i="1"/>
  <c r="O104" i="1"/>
  <c r="O105" i="1"/>
  <c r="D108" i="1"/>
  <c r="D110" i="1"/>
  <c r="D112" i="1"/>
  <c r="D122" i="1"/>
  <c r="D124" i="1"/>
  <c r="D127" i="1"/>
  <c r="D131" i="1"/>
  <c r="D140" i="1"/>
  <c r="D142" i="1"/>
  <c r="D144" i="1"/>
  <c r="D146" i="1"/>
  <c r="O157" i="1"/>
  <c r="D166" i="1"/>
  <c r="D168" i="1"/>
  <c r="D170" i="1"/>
  <c r="D173" i="1"/>
  <c r="O183" i="1"/>
  <c r="O185" i="1"/>
  <c r="O189" i="1"/>
  <c r="D196" i="1"/>
  <c r="D199" i="1"/>
  <c r="O207" i="1"/>
  <c r="O209" i="1"/>
  <c r="O213" i="1"/>
  <c r="D220" i="1"/>
  <c r="D222" i="1"/>
  <c r="D224" i="1"/>
  <c r="D227" i="1"/>
  <c r="E8" i="1"/>
  <c r="G8" i="1"/>
  <c r="O16" i="1"/>
  <c r="O17" i="1"/>
  <c r="D21" i="1"/>
  <c r="D26" i="1"/>
  <c r="D34" i="1"/>
  <c r="D42" i="1"/>
  <c r="D50" i="1"/>
  <c r="D58" i="1"/>
  <c r="D61" i="1"/>
  <c r="D73" i="1"/>
  <c r="D77" i="1"/>
  <c r="O78" i="1"/>
  <c r="O80" i="1"/>
  <c r="O88" i="1"/>
  <c r="O96" i="1"/>
  <c r="D107" i="1"/>
  <c r="C107" i="1"/>
  <c r="E107" i="1"/>
  <c r="G107" i="1"/>
  <c r="D125" i="1"/>
  <c r="D143" i="1"/>
  <c r="D147" i="1"/>
  <c r="D151" i="1"/>
  <c r="O176" i="1"/>
  <c r="D181" i="1"/>
  <c r="O182" i="1"/>
  <c r="O184" i="1"/>
  <c r="D189" i="1"/>
  <c r="D207" i="1"/>
  <c r="D211" i="1"/>
  <c r="D215" i="1"/>
  <c r="D225" i="1"/>
  <c r="O228" i="1"/>
  <c r="D5" i="1"/>
  <c r="D7" i="1"/>
  <c r="D10" i="1"/>
  <c r="O19" i="1"/>
  <c r="O62" i="1"/>
  <c r="O64" i="1"/>
  <c r="D69" i="1"/>
  <c r="D99" i="1"/>
  <c r="D117" i="1"/>
  <c r="O120" i="1"/>
  <c r="O128" i="1"/>
  <c r="D133" i="1"/>
  <c r="O134" i="1"/>
  <c r="O136" i="1"/>
  <c r="D141" i="1"/>
  <c r="D159" i="1"/>
  <c r="D163" i="1"/>
  <c r="D167" i="1"/>
  <c r="O192" i="1"/>
  <c r="O194" i="1"/>
  <c r="D197" i="1"/>
  <c r="O198" i="1"/>
  <c r="O200" i="1"/>
  <c r="O202" i="1"/>
  <c r="D205" i="1"/>
  <c r="D223" i="1"/>
  <c r="O226" i="1"/>
  <c r="D231" i="1"/>
  <c r="O1" i="1"/>
  <c r="O8" i="1"/>
  <c r="O9" i="1"/>
  <c r="O10" i="1"/>
  <c r="D13" i="1"/>
  <c r="D15" i="1"/>
  <c r="D24" i="1"/>
  <c r="O27" i="1"/>
  <c r="O29" i="1"/>
  <c r="D32" i="1"/>
  <c r="O35" i="1"/>
  <c r="O37" i="1"/>
  <c r="D40" i="1"/>
  <c r="O43" i="1"/>
  <c r="O45" i="1"/>
  <c r="D48" i="1"/>
  <c r="O51" i="1"/>
  <c r="O53" i="1"/>
  <c r="D56" i="1"/>
  <c r="O59" i="1"/>
  <c r="D62" i="1"/>
  <c r="D64" i="1"/>
  <c r="D67" i="1"/>
  <c r="O69" i="1"/>
  <c r="O72" i="1"/>
  <c r="D75" i="1"/>
  <c r="O103" i="1"/>
  <c r="D109" i="1"/>
  <c r="O110" i="1"/>
  <c r="O112" i="1"/>
  <c r="D114" i="1"/>
  <c r="O117" i="1"/>
  <c r="D120" i="1"/>
  <c r="D128" i="1"/>
  <c r="D130" i="1"/>
  <c r="D136" i="1"/>
  <c r="D138" i="1"/>
  <c r="O141" i="1"/>
  <c r="O144" i="1"/>
  <c r="D149" i="1"/>
  <c r="O150" i="1"/>
  <c r="O152" i="1"/>
  <c r="D157" i="1"/>
  <c r="O159" i="1"/>
  <c r="O161" i="1"/>
  <c r="O167" i="1"/>
  <c r="O169" i="1"/>
  <c r="D175" i="1"/>
  <c r="D179" i="1"/>
  <c r="D183" i="1"/>
  <c r="D192" i="1"/>
  <c r="D194" i="1"/>
  <c r="D200" i="1"/>
  <c r="D202" i="1"/>
  <c r="O205" i="1"/>
  <c r="O208" i="1"/>
  <c r="O210" i="1"/>
  <c r="D213" i="1"/>
  <c r="O214" i="1"/>
  <c r="O216" i="1"/>
  <c r="O218" i="1"/>
  <c r="D221" i="1"/>
  <c r="O223" i="1"/>
  <c r="O224" i="1"/>
  <c r="D226" i="1"/>
  <c r="D229" i="1"/>
  <c r="O231" i="1"/>
  <c r="C229" i="1"/>
  <c r="C221" i="1"/>
  <c r="C219" i="1"/>
  <c r="C203" i="1"/>
  <c r="C187" i="1"/>
  <c r="C171" i="1"/>
  <c r="C155" i="1"/>
  <c r="C139" i="1"/>
  <c r="C123" i="1"/>
  <c r="C212" i="1"/>
  <c r="E212" i="1"/>
  <c r="G212" i="1"/>
  <c r="C196" i="1"/>
  <c r="E196" i="1"/>
  <c r="G196" i="1"/>
  <c r="C180" i="1"/>
  <c r="E180" i="1"/>
  <c r="G180" i="1"/>
  <c r="C164" i="1"/>
  <c r="C148" i="1"/>
  <c r="E148" i="1"/>
  <c r="G148" i="1"/>
  <c r="C132" i="1"/>
  <c r="E132" i="1"/>
  <c r="G132" i="1"/>
  <c r="C116" i="1"/>
  <c r="E116" i="1"/>
  <c r="G116" i="1"/>
  <c r="C11" i="1"/>
  <c r="E11" i="1"/>
  <c r="G11" i="1"/>
  <c r="C7" i="1"/>
  <c r="C120" i="1"/>
  <c r="C209" i="1"/>
  <c r="C10" i="1"/>
  <c r="E10" i="1"/>
  <c r="G10" i="1"/>
  <c r="D14" i="1"/>
  <c r="D22" i="1"/>
  <c r="O33" i="1"/>
  <c r="D38" i="1"/>
  <c r="D46" i="1"/>
  <c r="D54" i="1"/>
  <c r="D83" i="1"/>
  <c r="O86" i="1"/>
  <c r="C111" i="1"/>
  <c r="D115" i="1"/>
  <c r="O118" i="1"/>
  <c r="C142" i="1"/>
  <c r="C167" i="1"/>
  <c r="E167" i="1"/>
  <c r="G167" i="1"/>
  <c r="C190" i="1"/>
  <c r="E190" i="1"/>
  <c r="G190" i="1"/>
  <c r="C208" i="1"/>
  <c r="C4" i="1"/>
  <c r="E4" i="1"/>
  <c r="G4" i="1"/>
  <c r="O4" i="1"/>
  <c r="C12" i="1"/>
  <c r="E12" i="1"/>
  <c r="G12" i="1"/>
  <c r="O12" i="1"/>
  <c r="O20" i="1"/>
  <c r="O23" i="1"/>
  <c r="D28" i="1"/>
  <c r="O31" i="1"/>
  <c r="D36" i="1"/>
  <c r="O39" i="1"/>
  <c r="D44" i="1"/>
  <c r="O47" i="1"/>
  <c r="D52" i="1"/>
  <c r="O55" i="1"/>
  <c r="D60" i="1"/>
  <c r="D65" i="1"/>
  <c r="D91" i="1"/>
  <c r="O94" i="1"/>
  <c r="C119" i="1"/>
  <c r="D123" i="1"/>
  <c r="O126" i="1"/>
  <c r="D139" i="1"/>
  <c r="O142" i="1"/>
  <c r="D155" i="1"/>
  <c r="O158" i="1"/>
  <c r="D171" i="1"/>
  <c r="O174" i="1"/>
  <c r="D187" i="1"/>
  <c r="O190" i="1"/>
  <c r="D203" i="1"/>
  <c r="O206" i="1"/>
  <c r="C217" i="1"/>
  <c r="D219" i="1"/>
  <c r="E221" i="1"/>
  <c r="G221" i="1"/>
  <c r="D6" i="1"/>
  <c r="C9" i="1"/>
  <c r="O25" i="1"/>
  <c r="D30" i="1"/>
  <c r="O41" i="1"/>
  <c r="O49" i="1"/>
  <c r="O57" i="1"/>
  <c r="O70" i="1"/>
  <c r="C135" i="1"/>
  <c r="E135" i="1"/>
  <c r="G135" i="1"/>
  <c r="C5" i="1"/>
  <c r="C6" i="1"/>
  <c r="C13" i="1"/>
  <c r="C121" i="1"/>
  <c r="C143" i="1"/>
  <c r="C166" i="1"/>
  <c r="C184" i="1"/>
  <c r="E184" i="1"/>
  <c r="G184" i="1"/>
  <c r="C207" i="1"/>
  <c r="C214" i="1"/>
  <c r="E214" i="1"/>
  <c r="G214" i="1"/>
  <c r="O76" i="1"/>
  <c r="D81" i="1"/>
  <c r="O84" i="1"/>
  <c r="D89" i="1"/>
  <c r="O92" i="1"/>
  <c r="D97" i="1"/>
  <c r="O100" i="1"/>
  <c r="D105" i="1"/>
  <c r="O108" i="1"/>
  <c r="D113" i="1"/>
  <c r="O116" i="1"/>
  <c r="D121" i="1"/>
  <c r="O124" i="1"/>
  <c r="D129" i="1"/>
  <c r="O132" i="1"/>
  <c r="D137" i="1"/>
  <c r="O140" i="1"/>
  <c r="D145" i="1"/>
  <c r="O148" i="1"/>
  <c r="D153" i="1"/>
  <c r="O156" i="1"/>
  <c r="D161" i="1"/>
  <c r="O164" i="1"/>
  <c r="D169" i="1"/>
  <c r="O172" i="1"/>
  <c r="D177" i="1"/>
  <c r="O180" i="1"/>
  <c r="D185" i="1"/>
  <c r="O188" i="1"/>
  <c r="D193" i="1"/>
  <c r="O196" i="1"/>
  <c r="D201" i="1"/>
  <c r="O204" i="1"/>
  <c r="D209" i="1"/>
  <c r="O212" i="1"/>
  <c r="D217" i="1"/>
  <c r="O220" i="1"/>
  <c r="D63" i="1"/>
  <c r="O66" i="1"/>
  <c r="D71" i="1"/>
  <c r="O74" i="1"/>
  <c r="D79" i="1"/>
  <c r="O82" i="1"/>
  <c r="D87" i="1"/>
  <c r="O90" i="1"/>
  <c r="D95" i="1"/>
  <c r="O98" i="1"/>
  <c r="D103" i="1"/>
  <c r="O106" i="1"/>
  <c r="D111" i="1"/>
  <c r="O114" i="1"/>
  <c r="D119" i="1"/>
  <c r="O122" i="1"/>
  <c r="O130" i="1"/>
  <c r="O138" i="1"/>
  <c r="O146" i="1"/>
  <c r="O154" i="1"/>
  <c r="O162" i="1"/>
  <c r="O170" i="1"/>
  <c r="O178" i="1"/>
  <c r="O186" i="1"/>
  <c r="E166" i="1"/>
  <c r="G166" i="1"/>
  <c r="E142" i="1"/>
  <c r="G142" i="1"/>
  <c r="E164" i="1"/>
  <c r="G164" i="1"/>
  <c r="E13" i="1"/>
  <c r="G13" i="1"/>
  <c r="E6" i="1"/>
  <c r="G6" i="1"/>
  <c r="E208" i="1"/>
  <c r="G208" i="1"/>
  <c r="E229" i="1"/>
  <c r="G229" i="1"/>
  <c r="C127" i="1"/>
  <c r="E127" i="1"/>
  <c r="G127" i="1"/>
  <c r="C102" i="1"/>
  <c r="E102" i="1"/>
  <c r="G102" i="1"/>
  <c r="C151" i="1"/>
  <c r="E151" i="1"/>
  <c r="G151" i="1"/>
  <c r="C157" i="1"/>
  <c r="E157" i="1"/>
  <c r="G157" i="1"/>
  <c r="C106" i="1"/>
  <c r="E106" i="1"/>
  <c r="G106" i="1"/>
  <c r="C170" i="1"/>
  <c r="E170" i="1"/>
  <c r="G170" i="1"/>
  <c r="C218" i="1"/>
  <c r="E218" i="1"/>
  <c r="G218" i="1"/>
  <c r="C230" i="1"/>
  <c r="E230" i="1"/>
  <c r="G230" i="1"/>
  <c r="C227" i="1"/>
  <c r="E227" i="1"/>
  <c r="G227" i="1"/>
  <c r="C191" i="1"/>
  <c r="E191" i="1"/>
  <c r="G191" i="1"/>
  <c r="C168" i="1"/>
  <c r="E168" i="1"/>
  <c r="G168" i="1"/>
  <c r="C110" i="1"/>
  <c r="E110" i="1"/>
  <c r="G110" i="1"/>
  <c r="C144" i="1"/>
  <c r="E144" i="1"/>
  <c r="G144" i="1"/>
  <c r="E219" i="1"/>
  <c r="G219" i="1"/>
  <c r="C215" i="1"/>
  <c r="E215" i="1"/>
  <c r="G215" i="1"/>
  <c r="C174" i="1"/>
  <c r="E174" i="1"/>
  <c r="G174" i="1"/>
  <c r="C145" i="1"/>
  <c r="C125" i="1"/>
  <c r="E125" i="1"/>
  <c r="G125" i="1"/>
  <c r="C141" i="1"/>
  <c r="E141" i="1"/>
  <c r="G141" i="1"/>
  <c r="C189" i="1"/>
  <c r="E189" i="1"/>
  <c r="G189" i="1"/>
  <c r="C205" i="1"/>
  <c r="C138" i="1"/>
  <c r="C154" i="1"/>
  <c r="E154" i="1"/>
  <c r="G154" i="1"/>
  <c r="C202" i="1"/>
  <c r="C216" i="1"/>
  <c r="E216" i="1"/>
  <c r="G216" i="1"/>
  <c r="C175" i="1"/>
  <c r="E175" i="1"/>
  <c r="G175" i="1"/>
  <c r="C152" i="1"/>
  <c r="E152" i="1"/>
  <c r="G152" i="1"/>
  <c r="C112" i="1"/>
  <c r="E112" i="1"/>
  <c r="G112" i="1"/>
  <c r="E5" i="1"/>
  <c r="G5" i="1"/>
  <c r="C105" i="1"/>
  <c r="C129" i="1"/>
  <c r="E203" i="1"/>
  <c r="G203" i="1"/>
  <c r="C169" i="1"/>
  <c r="C104" i="1"/>
  <c r="E104" i="1"/>
  <c r="G104" i="1"/>
  <c r="C199" i="1"/>
  <c r="E199" i="1"/>
  <c r="G199" i="1"/>
  <c r="C158" i="1"/>
  <c r="E158" i="1"/>
  <c r="G158" i="1"/>
  <c r="C108" i="1"/>
  <c r="E108" i="1"/>
  <c r="G108" i="1"/>
  <c r="C140" i="1"/>
  <c r="E140" i="1"/>
  <c r="G140" i="1"/>
  <c r="C172" i="1"/>
  <c r="E172" i="1"/>
  <c r="G172" i="1"/>
  <c r="C204" i="1"/>
  <c r="E204" i="1"/>
  <c r="G204" i="1"/>
  <c r="C115" i="1"/>
  <c r="C147" i="1"/>
  <c r="E147" i="1"/>
  <c r="G147" i="1"/>
  <c r="C179" i="1"/>
  <c r="C211" i="1"/>
  <c r="E211" i="1"/>
  <c r="G211" i="1"/>
  <c r="C226" i="1"/>
  <c r="E226" i="1"/>
  <c r="G226" i="1"/>
  <c r="C225" i="1"/>
  <c r="E225" i="1"/>
  <c r="G225" i="1"/>
  <c r="E179" i="1"/>
  <c r="G179" i="1"/>
  <c r="C150" i="1"/>
  <c r="E150" i="1"/>
  <c r="G150" i="1"/>
  <c r="C201" i="1"/>
  <c r="E201" i="1"/>
  <c r="G201" i="1"/>
  <c r="C192" i="1"/>
  <c r="E192" i="1"/>
  <c r="G192" i="1"/>
  <c r="C109" i="1"/>
  <c r="C173" i="1"/>
  <c r="E173" i="1"/>
  <c r="G173" i="1"/>
  <c r="C122" i="1"/>
  <c r="E122" i="1"/>
  <c r="G122" i="1"/>
  <c r="C186" i="1"/>
  <c r="E186" i="1"/>
  <c r="G186" i="1"/>
  <c r="C198" i="1"/>
  <c r="E198" i="1"/>
  <c r="G198" i="1"/>
  <c r="C134" i="1"/>
  <c r="E134" i="1"/>
  <c r="G134" i="1"/>
  <c r="C193" i="1"/>
  <c r="C185" i="1"/>
  <c r="E185" i="1"/>
  <c r="G185" i="1"/>
  <c r="C153" i="1"/>
  <c r="C224" i="1"/>
  <c r="E224" i="1"/>
  <c r="G224" i="1"/>
  <c r="C176" i="1"/>
  <c r="E176" i="1"/>
  <c r="G176" i="1"/>
  <c r="C103" i="1"/>
  <c r="E103" i="1"/>
  <c r="G103" i="1"/>
  <c r="C124" i="1"/>
  <c r="E124" i="1"/>
  <c r="G124" i="1"/>
  <c r="C156" i="1"/>
  <c r="E156" i="1"/>
  <c r="G156" i="1"/>
  <c r="C188" i="1"/>
  <c r="E188" i="1"/>
  <c r="G188" i="1"/>
  <c r="C220" i="1"/>
  <c r="E220" i="1"/>
  <c r="G220" i="1"/>
  <c r="C131" i="1"/>
  <c r="E131" i="1"/>
  <c r="G131" i="1"/>
  <c r="C163" i="1"/>
  <c r="E163" i="1"/>
  <c r="G163" i="1"/>
  <c r="C195" i="1"/>
  <c r="E195" i="1"/>
  <c r="G195" i="1"/>
  <c r="E119" i="1"/>
  <c r="G119" i="1"/>
  <c r="C228" i="1"/>
  <c r="E228" i="1"/>
  <c r="G228" i="1"/>
  <c r="C200" i="1"/>
  <c r="E200" i="1"/>
  <c r="G200" i="1"/>
  <c r="C182" i="1"/>
  <c r="E182" i="1"/>
  <c r="G182" i="1"/>
  <c r="C159" i="1"/>
  <c r="C136" i="1"/>
  <c r="C126" i="1"/>
  <c r="E126" i="1"/>
  <c r="G126" i="1"/>
  <c r="E9" i="1"/>
  <c r="G9" i="1"/>
  <c r="C161" i="1"/>
  <c r="E187" i="1"/>
  <c r="G187" i="1"/>
  <c r="E171" i="1"/>
  <c r="G171" i="1"/>
  <c r="E155" i="1"/>
  <c r="G155" i="1"/>
  <c r="C137" i="1"/>
  <c r="E137" i="1"/>
  <c r="G137" i="1"/>
  <c r="C113" i="1"/>
  <c r="C206" i="1"/>
  <c r="E206" i="1"/>
  <c r="G206" i="1"/>
  <c r="C183" i="1"/>
  <c r="E183" i="1"/>
  <c r="G183" i="1"/>
  <c r="C160" i="1"/>
  <c r="E160" i="1"/>
  <c r="G160" i="1"/>
  <c r="C128" i="1"/>
  <c r="E128" i="1"/>
  <c r="G128" i="1"/>
  <c r="C177" i="1"/>
  <c r="E177" i="1"/>
  <c r="G177" i="1"/>
  <c r="C101" i="1"/>
  <c r="E101" i="1"/>
  <c r="G101" i="1"/>
  <c r="C117" i="1"/>
  <c r="E117" i="1"/>
  <c r="G117" i="1"/>
  <c r="C133" i="1"/>
  <c r="C149" i="1"/>
  <c r="C165" i="1"/>
  <c r="E165" i="1"/>
  <c r="G165" i="1"/>
  <c r="C181" i="1"/>
  <c r="E181" i="1"/>
  <c r="G181" i="1"/>
  <c r="C197" i="1"/>
  <c r="E197" i="1"/>
  <c r="G197" i="1"/>
  <c r="C213" i="1"/>
  <c r="E213" i="1"/>
  <c r="G213" i="1"/>
  <c r="C114" i="1"/>
  <c r="E114" i="1"/>
  <c r="G114" i="1"/>
  <c r="C130" i="1"/>
  <c r="E130" i="1"/>
  <c r="G130" i="1"/>
  <c r="C146" i="1"/>
  <c r="E146" i="1"/>
  <c r="G146" i="1"/>
  <c r="C162" i="1"/>
  <c r="E162" i="1"/>
  <c r="G162" i="1"/>
  <c r="C178" i="1"/>
  <c r="E178" i="1"/>
  <c r="G178" i="1"/>
  <c r="C194" i="1"/>
  <c r="E194" i="1"/>
  <c r="G194" i="1"/>
  <c r="C210" i="1"/>
  <c r="E210" i="1"/>
  <c r="G210" i="1"/>
  <c r="C222" i="1"/>
  <c r="E222" i="1"/>
  <c r="G222" i="1"/>
  <c r="C223" i="1"/>
  <c r="E223" i="1"/>
  <c r="G223" i="1"/>
  <c r="C231" i="1"/>
  <c r="E231" i="1"/>
  <c r="G231" i="1"/>
  <c r="E149" i="1"/>
  <c r="G149" i="1"/>
  <c r="E159" i="1"/>
  <c r="G159" i="1"/>
  <c r="E133" i="1"/>
  <c r="G133" i="1"/>
  <c r="E207" i="1"/>
  <c r="G207" i="1"/>
  <c r="E120" i="1"/>
  <c r="G120" i="1"/>
  <c r="E136" i="1"/>
  <c r="G136" i="1"/>
  <c r="E143" i="1"/>
  <c r="G143" i="1"/>
  <c r="E111" i="1"/>
  <c r="G111" i="1"/>
  <c r="E113" i="1"/>
  <c r="G113" i="1"/>
  <c r="E139" i="1"/>
  <c r="G139" i="1"/>
  <c r="E123" i="1"/>
  <c r="G123" i="1"/>
  <c r="E7" i="1"/>
  <c r="G7" i="1"/>
  <c r="E109" i="1"/>
  <c r="G109" i="1"/>
  <c r="E205" i="1"/>
  <c r="G205" i="1"/>
  <c r="E138" i="1"/>
  <c r="G138" i="1"/>
  <c r="E202" i="1"/>
  <c r="G202" i="1"/>
  <c r="C99" i="1"/>
  <c r="E99" i="1"/>
  <c r="G99" i="1"/>
  <c r="C98" i="1"/>
  <c r="E98" i="1"/>
  <c r="G98" i="1"/>
  <c r="C91" i="1"/>
  <c r="E91" i="1"/>
  <c r="G91" i="1"/>
  <c r="C90" i="1"/>
  <c r="E90" i="1"/>
  <c r="G90" i="1"/>
  <c r="C83" i="1"/>
  <c r="E83" i="1"/>
  <c r="G83" i="1"/>
  <c r="C82" i="1"/>
  <c r="E82" i="1"/>
  <c r="G82" i="1"/>
  <c r="C75" i="1"/>
  <c r="E75" i="1"/>
  <c r="G75" i="1"/>
  <c r="C74" i="1"/>
  <c r="E74" i="1"/>
  <c r="G74" i="1"/>
  <c r="C67" i="1"/>
  <c r="E67" i="1"/>
  <c r="G67" i="1"/>
  <c r="C66" i="1"/>
  <c r="E66" i="1"/>
  <c r="G66" i="1"/>
  <c r="C100" i="1"/>
  <c r="E100" i="1"/>
  <c r="G100" i="1"/>
  <c r="C93" i="1"/>
  <c r="E93" i="1"/>
  <c r="G93" i="1"/>
  <c r="C92" i="1"/>
  <c r="E92" i="1"/>
  <c r="G92" i="1"/>
  <c r="C85" i="1"/>
  <c r="E85" i="1"/>
  <c r="G85" i="1"/>
  <c r="C84" i="1"/>
  <c r="E84" i="1"/>
  <c r="G84" i="1"/>
  <c r="C77" i="1"/>
  <c r="E77" i="1"/>
  <c r="G77" i="1"/>
  <c r="C76" i="1"/>
  <c r="E76" i="1"/>
  <c r="G76" i="1"/>
  <c r="C95" i="1"/>
  <c r="E95" i="1"/>
  <c r="G95" i="1"/>
  <c r="C89" i="1"/>
  <c r="E89" i="1"/>
  <c r="G89" i="1"/>
  <c r="C80" i="1"/>
  <c r="E80" i="1"/>
  <c r="G80" i="1"/>
  <c r="C78" i="1"/>
  <c r="E78" i="1"/>
  <c r="G78" i="1"/>
  <c r="C72" i="1"/>
  <c r="E72" i="1"/>
  <c r="G72" i="1"/>
  <c r="C65" i="1"/>
  <c r="E65" i="1"/>
  <c r="G65" i="1"/>
  <c r="C62" i="1"/>
  <c r="E62" i="1"/>
  <c r="G62" i="1"/>
  <c r="C61" i="1"/>
  <c r="E61" i="1"/>
  <c r="G61" i="1"/>
  <c r="C54" i="1"/>
  <c r="C53" i="1"/>
  <c r="E53" i="1"/>
  <c r="G53" i="1"/>
  <c r="C46" i="1"/>
  <c r="C45" i="1"/>
  <c r="E45" i="1"/>
  <c r="G45" i="1"/>
  <c r="C38" i="1"/>
  <c r="E38" i="1"/>
  <c r="G38" i="1"/>
  <c r="C94" i="1"/>
  <c r="E94" i="1"/>
  <c r="G94" i="1"/>
  <c r="C63" i="1"/>
  <c r="E63" i="1"/>
  <c r="G63" i="1"/>
  <c r="C57" i="1"/>
  <c r="E57" i="1"/>
  <c r="G57" i="1"/>
  <c r="C49" i="1"/>
  <c r="E49" i="1"/>
  <c r="G49" i="1"/>
  <c r="C41" i="1"/>
  <c r="E41" i="1"/>
  <c r="G41" i="1"/>
  <c r="C51" i="1"/>
  <c r="E51" i="1"/>
  <c r="G51" i="1"/>
  <c r="C43" i="1"/>
  <c r="E43" i="1"/>
  <c r="G43" i="1"/>
  <c r="C87" i="1"/>
  <c r="E87" i="1"/>
  <c r="G87" i="1"/>
  <c r="C81" i="1"/>
  <c r="E81" i="1"/>
  <c r="G81" i="1"/>
  <c r="C71" i="1"/>
  <c r="E71" i="1"/>
  <c r="G71" i="1"/>
  <c r="C64" i="1"/>
  <c r="E64" i="1"/>
  <c r="G64" i="1"/>
  <c r="C56" i="1"/>
  <c r="E56" i="1"/>
  <c r="G56" i="1"/>
  <c r="C55" i="1"/>
  <c r="E55" i="1"/>
  <c r="G55" i="1"/>
  <c r="C48" i="1"/>
  <c r="E48" i="1"/>
  <c r="G48" i="1"/>
  <c r="C47" i="1"/>
  <c r="E47" i="1"/>
  <c r="G47" i="1"/>
  <c r="C40" i="1"/>
  <c r="E40" i="1"/>
  <c r="G40" i="1"/>
  <c r="C39" i="1"/>
  <c r="E39" i="1"/>
  <c r="G39" i="1"/>
  <c r="C96" i="1"/>
  <c r="E96" i="1"/>
  <c r="G96" i="1"/>
  <c r="C79" i="1"/>
  <c r="C58" i="1"/>
  <c r="E58" i="1"/>
  <c r="G58" i="1"/>
  <c r="C50" i="1"/>
  <c r="E50" i="1"/>
  <c r="G50" i="1"/>
  <c r="C42" i="1"/>
  <c r="E42" i="1"/>
  <c r="G42" i="1"/>
  <c r="C97" i="1"/>
  <c r="E97" i="1"/>
  <c r="G97" i="1"/>
  <c r="C88" i="1"/>
  <c r="E88" i="1"/>
  <c r="G88" i="1"/>
  <c r="C86" i="1"/>
  <c r="E86" i="1"/>
  <c r="G86" i="1"/>
  <c r="C73" i="1"/>
  <c r="E73" i="1"/>
  <c r="G73" i="1"/>
  <c r="C70" i="1"/>
  <c r="E70" i="1"/>
  <c r="G70" i="1"/>
  <c r="C69" i="1"/>
  <c r="E69" i="1"/>
  <c r="G69" i="1"/>
  <c r="C68" i="1"/>
  <c r="E68" i="1"/>
  <c r="G68" i="1"/>
  <c r="C60" i="1"/>
  <c r="E60" i="1"/>
  <c r="G60" i="1"/>
  <c r="C59" i="1"/>
  <c r="E59" i="1"/>
  <c r="G59" i="1"/>
  <c r="C52" i="1"/>
  <c r="C44" i="1"/>
  <c r="E44" i="1"/>
  <c r="G44" i="1"/>
  <c r="E79" i="1"/>
  <c r="G79" i="1"/>
  <c r="E209" i="1"/>
  <c r="G209" i="1"/>
  <c r="E193" i="1"/>
  <c r="G193" i="1"/>
  <c r="E161" i="1"/>
  <c r="G161" i="1"/>
  <c r="E145" i="1"/>
  <c r="G145" i="1"/>
  <c r="E129" i="1"/>
  <c r="G129" i="1"/>
  <c r="E52" i="1"/>
  <c r="G52" i="1"/>
  <c r="C19" i="1"/>
  <c r="E19" i="1"/>
  <c r="G19" i="1"/>
  <c r="C15" i="1"/>
  <c r="E15" i="1"/>
  <c r="G15" i="1"/>
  <c r="C37" i="1"/>
  <c r="E37" i="1"/>
  <c r="G37" i="1"/>
  <c r="C30" i="1"/>
  <c r="E30" i="1"/>
  <c r="G30" i="1"/>
  <c r="C29" i="1"/>
  <c r="E29" i="1"/>
  <c r="G29" i="1"/>
  <c r="C22" i="1"/>
  <c r="E22" i="1"/>
  <c r="G22" i="1"/>
  <c r="C21" i="1"/>
  <c r="E21" i="1"/>
  <c r="G21" i="1"/>
  <c r="C14" i="1"/>
  <c r="E14" i="1"/>
  <c r="G14" i="1"/>
  <c r="C34" i="1"/>
  <c r="E34" i="1"/>
  <c r="G34" i="1"/>
  <c r="C25" i="1"/>
  <c r="E25" i="1"/>
  <c r="G25" i="1"/>
  <c r="C18" i="1"/>
  <c r="E18" i="1"/>
  <c r="G18" i="1"/>
  <c r="C36" i="1"/>
  <c r="E36" i="1"/>
  <c r="G36" i="1"/>
  <c r="C27" i="1"/>
  <c r="E27" i="1"/>
  <c r="G27" i="1"/>
  <c r="C32" i="1"/>
  <c r="E32" i="1"/>
  <c r="G32" i="1"/>
  <c r="C31" i="1"/>
  <c r="E31" i="1"/>
  <c r="G31" i="1"/>
  <c r="C24" i="1"/>
  <c r="E24" i="1"/>
  <c r="G24" i="1"/>
  <c r="C23" i="1"/>
  <c r="E23" i="1"/>
  <c r="G23" i="1"/>
  <c r="C20" i="1"/>
  <c r="E20" i="1"/>
  <c r="G20" i="1"/>
  <c r="C33" i="1"/>
  <c r="E33" i="1"/>
  <c r="G33" i="1"/>
  <c r="C26" i="1"/>
  <c r="E26" i="1"/>
  <c r="G26" i="1"/>
  <c r="C17" i="1"/>
  <c r="E17" i="1"/>
  <c r="G17" i="1"/>
  <c r="C35" i="1"/>
  <c r="E35" i="1"/>
  <c r="G35" i="1"/>
  <c r="C28" i="1"/>
  <c r="E28" i="1"/>
  <c r="G28" i="1"/>
  <c r="C16" i="1"/>
  <c r="E16" i="1"/>
  <c r="G16" i="1"/>
  <c r="E54" i="1"/>
  <c r="G54" i="1"/>
  <c r="E217" i="1"/>
  <c r="G217" i="1"/>
  <c r="E169" i="1"/>
  <c r="G169" i="1"/>
  <c r="E153" i="1"/>
  <c r="G153" i="1"/>
  <c r="E121" i="1"/>
  <c r="G121" i="1"/>
  <c r="E105" i="1"/>
  <c r="G105" i="1"/>
  <c r="E115" i="1"/>
  <c r="G115" i="1"/>
  <c r="E46" i="1"/>
  <c r="G46" i="1"/>
</calcChain>
</file>

<file path=xl/comments1.xml><?xml version="1.0" encoding="utf-8"?>
<comments xmlns="http://schemas.openxmlformats.org/spreadsheetml/2006/main">
  <authors>
    <author>win7</author>
  </authors>
  <commentList>
    <comment ref="D208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设为平均数
</t>
        </r>
      </text>
    </comment>
    <comment ref="R208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设为平均数
</t>
        </r>
      </text>
    </comment>
  </commentList>
</comments>
</file>

<file path=xl/sharedStrings.xml><?xml version="1.0" encoding="utf-8"?>
<sst xmlns="http://schemas.openxmlformats.org/spreadsheetml/2006/main" count="943" uniqueCount="722">
  <si>
    <t>hycc</t>
    <phoneticPr fontId="3" type="noConversion"/>
  </si>
  <si>
    <t>hym</t>
    <phoneticPr fontId="3" type="noConversion"/>
  </si>
  <si>
    <t>hyccsy</t>
    <phoneticPr fontId="3" type="noConversion"/>
  </si>
  <si>
    <t>hypjsy</t>
    <phoneticPr fontId="3" type="noConversion"/>
  </si>
  <si>
    <t>hycpjfg</t>
    <phoneticPr fontId="3" type="noConversion"/>
  </si>
  <si>
    <t>hyzgfz</t>
    <phoneticPr fontId="3" type="noConversion"/>
  </si>
  <si>
    <t>hyde</t>
    <phoneticPr fontId="3" type="noConversion"/>
  </si>
  <si>
    <t>hyzsy</t>
    <phoneticPr fontId="3" type="noConversion"/>
  </si>
  <si>
    <t>hyysy</t>
    <phoneticPr fontId="3" type="noConversion"/>
  </si>
  <si>
    <t>hynsy</t>
    <phoneticPr fontId="3" type="noConversion"/>
  </si>
  <si>
    <t>hylnsy</t>
    <phoneticPr fontId="3" type="noConversion"/>
  </si>
  <si>
    <t>hywnsy</t>
    <phoneticPr fontId="3" type="noConversion"/>
  </si>
  <si>
    <t>hysjsz</t>
    <phoneticPr fontId="3" type="noConversion"/>
  </si>
  <si>
    <t>lyllsz</t>
    <phoneticPr fontId="3" type="noConversion"/>
  </si>
  <si>
    <t>hypm</t>
    <phoneticPr fontId="3" type="noConversion"/>
  </si>
  <si>
    <t>层次</t>
    <phoneticPr fontId="3" type="noConversion"/>
  </si>
  <si>
    <t>行业名</t>
    <phoneticPr fontId="3" type="noConversion"/>
  </si>
  <si>
    <t>层次收益</t>
    <phoneticPr fontId="3" type="noConversion"/>
  </si>
  <si>
    <t>平均收益</t>
    <phoneticPr fontId="3" type="noConversion"/>
  </si>
  <si>
    <t>除平均方根</t>
    <phoneticPr fontId="3" type="noConversion"/>
  </si>
  <si>
    <t>主观赋权</t>
    <phoneticPr fontId="3" type="noConversion"/>
  </si>
  <si>
    <t>行业得分</t>
    <phoneticPr fontId="3" type="noConversion"/>
  </si>
  <si>
    <t>周收益</t>
    <phoneticPr fontId="3" type="noConversion"/>
  </si>
  <si>
    <t>月收益</t>
    <phoneticPr fontId="3" type="noConversion"/>
  </si>
  <si>
    <t>年收益</t>
    <phoneticPr fontId="3" type="noConversion"/>
  </si>
  <si>
    <t>两年收益</t>
    <phoneticPr fontId="3" type="noConversion"/>
  </si>
  <si>
    <t>五年收益</t>
    <phoneticPr fontId="3" type="noConversion"/>
  </si>
  <si>
    <t>实际市值</t>
    <phoneticPr fontId="3" type="noConversion"/>
  </si>
  <si>
    <t>理论市值</t>
    <phoneticPr fontId="3" type="noConversion"/>
  </si>
  <si>
    <t>泡沫率</t>
    <phoneticPr fontId="3" type="noConversion"/>
  </si>
  <si>
    <t>行业英文名</t>
    <phoneticPr fontId="3" type="noConversion"/>
  </si>
  <si>
    <t>行业1</t>
  </si>
  <si>
    <t>金融</t>
  </si>
  <si>
    <t>公用事业</t>
  </si>
  <si>
    <t>可选消费</t>
  </si>
  <si>
    <t>日常消费</t>
  </si>
  <si>
    <t>医疗保健</t>
  </si>
  <si>
    <t>工业</t>
  </si>
  <si>
    <t>电信服务</t>
  </si>
  <si>
    <t>行业1</t>
    <phoneticPr fontId="3" type="noConversion"/>
  </si>
  <si>
    <t>材料</t>
  </si>
  <si>
    <t>信息技术</t>
  </si>
  <si>
    <t>能源</t>
  </si>
  <si>
    <t>行业2</t>
  </si>
  <si>
    <t>银行</t>
  </si>
  <si>
    <t>多元金融</t>
  </si>
  <si>
    <t>公用事业Ⅱ</t>
  </si>
  <si>
    <t>家庭与个人用品</t>
  </si>
  <si>
    <t>汽车与汽车零部件</t>
  </si>
  <si>
    <t>行业2</t>
    <phoneticPr fontId="3" type="noConversion"/>
  </si>
  <si>
    <t>保险Ⅱ</t>
  </si>
  <si>
    <t>耐用消费品与服装</t>
  </si>
  <si>
    <t>运输</t>
  </si>
  <si>
    <t>制药、生物科技与生命科学</t>
  </si>
  <si>
    <t>食品、饮料与烟草</t>
  </si>
  <si>
    <t>商业和专业服务</t>
  </si>
  <si>
    <t>软件与服务</t>
  </si>
  <si>
    <t>食品与主要用品零售Ⅱ</t>
  </si>
  <si>
    <t>电信服务Ⅱ</t>
  </si>
  <si>
    <t>媒体Ⅱ</t>
  </si>
  <si>
    <t>资本货物</t>
  </si>
  <si>
    <t>材料Ⅱ</t>
  </si>
  <si>
    <t>技术硬件与设备</t>
  </si>
  <si>
    <t>消费者服务Ⅱ</t>
  </si>
  <si>
    <t>房地产</t>
  </si>
  <si>
    <t>医疗保健设备与服务</t>
  </si>
  <si>
    <t>能源Ⅱ</t>
  </si>
  <si>
    <t>零售业</t>
  </si>
  <si>
    <t>半导体与半导体生产设备</t>
  </si>
  <si>
    <t>行业3</t>
  </si>
  <si>
    <t>商业银行</t>
  </si>
  <si>
    <t>个人用品Ⅲ</t>
  </si>
  <si>
    <t>资本市场</t>
  </si>
  <si>
    <t>电力Ⅲ</t>
  </si>
  <si>
    <t>汽车</t>
  </si>
  <si>
    <t>航空Ⅲ</t>
  </si>
  <si>
    <t>家庭耐用消费品</t>
  </si>
  <si>
    <t>独立电力生产商与能源贸易商Ⅲ</t>
  </si>
  <si>
    <t>行业3</t>
    <phoneticPr fontId="3" type="noConversion"/>
  </si>
  <si>
    <t>保险Ⅲ</t>
  </si>
  <si>
    <t>公路与铁路运输</t>
  </si>
  <si>
    <t>饮料</t>
  </si>
  <si>
    <t>建筑与工程Ⅲ</t>
  </si>
  <si>
    <t>互联网软件与服务Ⅲ</t>
  </si>
  <si>
    <t>生物科技Ⅲ</t>
  </si>
  <si>
    <t>制药</t>
  </si>
  <si>
    <t>纺织品、服装与奢侈品</t>
  </si>
  <si>
    <t>交通基础设施</t>
  </si>
  <si>
    <t>电气设备</t>
  </si>
  <si>
    <t>化工</t>
  </si>
  <si>
    <t>食品</t>
  </si>
  <si>
    <t>水务Ⅲ</t>
  </si>
  <si>
    <t>容器与包装</t>
  </si>
  <si>
    <t>能源设备与服务</t>
  </si>
  <si>
    <t>建材Ⅲ</t>
  </si>
  <si>
    <t>汽车零配件</t>
  </si>
  <si>
    <t>商业服务与用品</t>
  </si>
  <si>
    <t>多元电信服务</t>
  </si>
  <si>
    <t>食品与主要用品零售Ⅲ</t>
  </si>
  <si>
    <t>媒体Ⅲ</t>
  </si>
  <si>
    <t>建筑产品Ⅲ</t>
  </si>
  <si>
    <t>通信设备Ⅲ</t>
  </si>
  <si>
    <t>电子设备、仪器和元件</t>
  </si>
  <si>
    <t>专业服务</t>
  </si>
  <si>
    <t>酒店、餐馆与休闲Ⅲ</t>
  </si>
  <si>
    <t>软件</t>
  </si>
  <si>
    <t>房地产管理与开发</t>
  </si>
  <si>
    <t>生命科学工具和服务Ⅲ</t>
  </si>
  <si>
    <t>航空货运与物流Ⅲ</t>
  </si>
  <si>
    <t>信息技术服务</t>
  </si>
  <si>
    <t>机械</t>
  </si>
  <si>
    <t>多元化零售</t>
  </si>
  <si>
    <t>燃气Ⅲ</t>
  </si>
  <si>
    <t>纸与林木产品</t>
  </si>
  <si>
    <t>海运Ⅲ</t>
  </si>
  <si>
    <t>医疗保健设备与用品</t>
  </si>
  <si>
    <t>贸易公司与工业品经销商Ⅲ</t>
  </si>
  <si>
    <t>复合型公用事业Ⅲ</t>
  </si>
  <si>
    <t>电脑与外围设备</t>
  </si>
  <si>
    <t>金属、非金属与采矿</t>
  </si>
  <si>
    <t>医疗保健提供商与服务</t>
  </si>
  <si>
    <t>半导体产品与半导体设备</t>
  </si>
  <si>
    <t>专营零售</t>
  </si>
  <si>
    <t>石油、天然气与供消费用燃料</t>
  </si>
  <si>
    <t>医疗保健技术Ⅲ</t>
  </si>
  <si>
    <t>综合类Ⅲ</t>
  </si>
  <si>
    <t>休闲设备与用品</t>
  </si>
  <si>
    <t>综合消费者服务Ⅲ</t>
  </si>
  <si>
    <t>消费品经销商Ⅲ</t>
  </si>
  <si>
    <t>多元金融服务</t>
  </si>
  <si>
    <t>家庭用品Ⅲ</t>
  </si>
  <si>
    <t>无线电信业务Ⅲ</t>
  </si>
  <si>
    <t>互联网与售货目录零售</t>
  </si>
  <si>
    <t>航空航天与国防Ⅲ</t>
  </si>
  <si>
    <t>行业4</t>
  </si>
  <si>
    <t>多元化银行</t>
  </si>
  <si>
    <t>个人用品</t>
  </si>
  <si>
    <t>家用电器</t>
  </si>
  <si>
    <t>投资银行业与经纪业</t>
  </si>
  <si>
    <t>区域性银行</t>
  </si>
  <si>
    <t>电力</t>
  </si>
  <si>
    <t>家庭娱乐软件</t>
  </si>
  <si>
    <t>汽车制造</t>
  </si>
  <si>
    <t>资产管理与托管银行</t>
  </si>
  <si>
    <t>铁路运输</t>
  </si>
  <si>
    <t>航空</t>
  </si>
  <si>
    <t>新能源发电业者</t>
  </si>
  <si>
    <t>多元化保险</t>
  </si>
  <si>
    <t>行业4</t>
    <phoneticPr fontId="3" type="noConversion"/>
  </si>
  <si>
    <t>白酒与葡萄酒</t>
  </si>
  <si>
    <t>石油与天然气的储存和运输</t>
  </si>
  <si>
    <t>公路与铁路</t>
  </si>
  <si>
    <t>机场服务</t>
  </si>
  <si>
    <t>服装、服饰与奢侈品</t>
  </si>
  <si>
    <t>人寿与健康保险</t>
  </si>
  <si>
    <t>休闲设施</t>
  </si>
  <si>
    <t>软饮料</t>
  </si>
  <si>
    <t>特种化工</t>
  </si>
  <si>
    <t>中药</t>
  </si>
  <si>
    <t>家庭装饰品</t>
  </si>
  <si>
    <t>建筑与工程</t>
  </si>
  <si>
    <t>重型电气设备</t>
  </si>
  <si>
    <t>多元化工</t>
  </si>
  <si>
    <t>互联网软件与服务</t>
  </si>
  <si>
    <t>生物科技</t>
  </si>
  <si>
    <t>非传统电信运营商</t>
  </si>
  <si>
    <t>金属与玻璃容器</t>
  </si>
  <si>
    <t>轮胎与橡胶</t>
  </si>
  <si>
    <t>摩托车制造</t>
  </si>
  <si>
    <t>办公服务与用品</t>
  </si>
  <si>
    <t>药品零售</t>
  </si>
  <si>
    <t>西药</t>
  </si>
  <si>
    <t>消费电子产品</t>
  </si>
  <si>
    <t>医疗保健用品</t>
  </si>
  <si>
    <t>化肥与农用化工</t>
  </si>
  <si>
    <t>保健护理设施</t>
  </si>
  <si>
    <t>农产品</t>
  </si>
  <si>
    <t>出版</t>
  </si>
  <si>
    <t>食品加工与肉类</t>
  </si>
  <si>
    <t>水务</t>
  </si>
  <si>
    <t>基础化工</t>
  </si>
  <si>
    <t>石油天然气设备与服务</t>
  </si>
  <si>
    <t>建材</t>
  </si>
  <si>
    <t>电子元件</t>
  </si>
  <si>
    <t>电脑存储与外围设备</t>
  </si>
  <si>
    <t>钢铁</t>
  </si>
  <si>
    <t>电气部件与设备</t>
  </si>
  <si>
    <t>环境与设施服务</t>
  </si>
  <si>
    <t>电影与娱乐</t>
  </si>
  <si>
    <t>商业印刷</t>
  </si>
  <si>
    <t>机动车零配件与设备</t>
  </si>
  <si>
    <t>石油与天然气的炼制和销售</t>
  </si>
  <si>
    <t>建筑产品</t>
  </si>
  <si>
    <t>财产与意外伤害保险</t>
  </si>
  <si>
    <t>通信设备</t>
  </si>
  <si>
    <t>煤炭与消费用燃料</t>
  </si>
  <si>
    <t>调查和咨询服务</t>
  </si>
  <si>
    <t>综合电信服务</t>
  </si>
  <si>
    <t>有线和卫星电视</t>
  </si>
  <si>
    <t>纸制品</t>
  </si>
  <si>
    <t>房地产服务</t>
  </si>
  <si>
    <t>鞋类</t>
  </si>
  <si>
    <t>海港与服务</t>
  </si>
  <si>
    <t>房地产开发</t>
  </si>
  <si>
    <t>建筑机械与重型卡车</t>
  </si>
  <si>
    <t>生命科学工具和服务</t>
  </si>
  <si>
    <t>信息科技咨询与其它服务</t>
  </si>
  <si>
    <t>航空货运与物流</t>
  </si>
  <si>
    <t>摄影用品</t>
  </si>
  <si>
    <t>百货商店</t>
  </si>
  <si>
    <t>酒店、度假村与豪华游轮</t>
  </si>
  <si>
    <t>数据处理与外包服务</t>
  </si>
  <si>
    <t>铝</t>
  </si>
  <si>
    <t>工业机械</t>
  </si>
  <si>
    <t>纺织品</t>
  </si>
  <si>
    <t>燃气</t>
  </si>
  <si>
    <t>应用软件</t>
  </si>
  <si>
    <t>海运</t>
  </si>
  <si>
    <t>贸易公司与工业品经销商</t>
  </si>
  <si>
    <t>电子设备和仪器</t>
  </si>
  <si>
    <t>复合型公用事业</t>
  </si>
  <si>
    <t>医疗保健设备</t>
  </si>
  <si>
    <t>房地产经营公司</t>
  </si>
  <si>
    <t>半导体产品</t>
  </si>
  <si>
    <t>化纤</t>
  </si>
  <si>
    <t>电子制造服务</t>
  </si>
  <si>
    <t>汽车零售</t>
  </si>
  <si>
    <t>多领域控股</t>
  </si>
  <si>
    <t>住宅建筑</t>
  </si>
  <si>
    <t>家用器具与特殊消费品</t>
  </si>
  <si>
    <t>电脑与电子产品零售</t>
  </si>
  <si>
    <t>农用农业机械</t>
  </si>
  <si>
    <t>纸包装</t>
  </si>
  <si>
    <t>医疗保健技术</t>
  </si>
  <si>
    <t>综合类行业</t>
  </si>
  <si>
    <t>教育服务</t>
  </si>
  <si>
    <t>大卖场与超市</t>
  </si>
  <si>
    <t>消费品经销商</t>
  </si>
  <si>
    <t>综合支持服务</t>
  </si>
  <si>
    <t>休闲用品</t>
  </si>
  <si>
    <t>林木产品</t>
  </si>
  <si>
    <t>电脑硬件</t>
  </si>
  <si>
    <t>综合性石油天然气</t>
  </si>
  <si>
    <t>黄金</t>
  </si>
  <si>
    <t>啤酒</t>
  </si>
  <si>
    <t>广告</t>
  </si>
  <si>
    <t>家庭用品</t>
  </si>
  <si>
    <t>金属非金属</t>
  </si>
  <si>
    <t>无线电信业务</t>
  </si>
  <si>
    <t>白银</t>
  </si>
  <si>
    <t>半导体设备</t>
  </si>
  <si>
    <t>贵金属与矿石</t>
  </si>
  <si>
    <t>食品分销商</t>
  </si>
  <si>
    <t>互联网零售</t>
  </si>
  <si>
    <t>公路运输</t>
  </si>
  <si>
    <t>石油天然气勘探与生产</t>
  </si>
  <si>
    <t>保健护理服务</t>
  </si>
  <si>
    <t>技术产品经销商</t>
  </si>
  <si>
    <t>餐馆</t>
  </si>
  <si>
    <t>航天航空与国防</t>
  </si>
  <si>
    <t>综合货品商店</t>
  </si>
  <si>
    <t>工业气体</t>
  </si>
  <si>
    <t>独立电力生产商与能源贸易商</t>
  </si>
  <si>
    <t>售货目录零售</t>
  </si>
  <si>
    <t>其他多元金融服务</t>
  </si>
  <si>
    <t>专卖店</t>
  </si>
  <si>
    <t>行业1 金融</t>
  </si>
  <si>
    <t>行业1 公用事业</t>
  </si>
  <si>
    <t>行业1 可选消费</t>
  </si>
  <si>
    <t>行业1 日常消费</t>
  </si>
  <si>
    <t>行业1 医疗保健</t>
  </si>
  <si>
    <t>行业1 工业</t>
  </si>
  <si>
    <t>行业1 电信服务</t>
  </si>
  <si>
    <t>行业1 材料</t>
  </si>
  <si>
    <t>行业1 信息技术</t>
  </si>
  <si>
    <t>行业1 能源</t>
  </si>
  <si>
    <t>行业2 银行</t>
  </si>
  <si>
    <t>行业2 多元金融</t>
  </si>
  <si>
    <t>行业2 公用事业Ⅱ</t>
  </si>
  <si>
    <t>行业2 家庭与个人用品</t>
  </si>
  <si>
    <t>行业2 汽车与汽车零部件</t>
  </si>
  <si>
    <t>行业2 保险Ⅱ</t>
  </si>
  <si>
    <t>行业2 耐用消费品与服装</t>
  </si>
  <si>
    <t>行业2 运输</t>
  </si>
  <si>
    <t>行业2 制药、生物科技与生命科学</t>
  </si>
  <si>
    <t>行业2 食品、饮料与烟草</t>
  </si>
  <si>
    <t>行业2 商业和专业服务</t>
  </si>
  <si>
    <t>行业2 软件与服务</t>
  </si>
  <si>
    <t>行业2 食品与主要用品零售Ⅱ</t>
  </si>
  <si>
    <t>行业2 电信服务Ⅱ</t>
  </si>
  <si>
    <t>行业2 媒体Ⅱ</t>
  </si>
  <si>
    <t>行业2 资本货物</t>
  </si>
  <si>
    <t>行业2 材料Ⅱ</t>
  </si>
  <si>
    <t>行业2 技术硬件与设备</t>
  </si>
  <si>
    <t>行业2 消费者服务Ⅱ</t>
  </si>
  <si>
    <t>行业2 房地产</t>
  </si>
  <si>
    <t>行业2 医疗保健设备与服务</t>
  </si>
  <si>
    <t>行业2 能源Ⅱ</t>
  </si>
  <si>
    <t>行业2 零售业</t>
  </si>
  <si>
    <t>行业2 半导体与半导体生产设备</t>
  </si>
  <si>
    <t>行业3 商业银行</t>
  </si>
  <si>
    <t>行业3 个人用品Ⅲ</t>
  </si>
  <si>
    <t>行业3 资本市场</t>
  </si>
  <si>
    <t>行业3 电力Ⅲ</t>
  </si>
  <si>
    <t>行业3 汽车</t>
  </si>
  <si>
    <t>行业3 航空Ⅲ</t>
  </si>
  <si>
    <t>行业3 家庭耐用消费品</t>
  </si>
  <si>
    <t>行业3 独立电力生产商与能源贸易商Ⅲ</t>
  </si>
  <si>
    <t>行业3 保险Ⅲ</t>
  </si>
  <si>
    <t>行业3 公路与铁路运输</t>
  </si>
  <si>
    <t>行业3 饮料</t>
  </si>
  <si>
    <t>行业3 建筑与工程Ⅲ</t>
  </si>
  <si>
    <t>行业3 互联网软件与服务Ⅲ</t>
  </si>
  <si>
    <t>行业3 生物科技Ⅲ</t>
  </si>
  <si>
    <t>行业3 制药</t>
  </si>
  <si>
    <t>行业3 纺织品、服装与奢侈品</t>
  </si>
  <si>
    <t>行业3 交通基础设施</t>
  </si>
  <si>
    <t>行业3 电气设备</t>
  </si>
  <si>
    <t>行业3 化工</t>
  </si>
  <si>
    <t>行业3 食品</t>
  </si>
  <si>
    <t>行业3 水务Ⅲ</t>
  </si>
  <si>
    <t>行业3 容器与包装</t>
  </si>
  <si>
    <t>行业3 能源设备与服务</t>
  </si>
  <si>
    <t>行业3 建材Ⅲ</t>
  </si>
  <si>
    <t>行业3 汽车零配件</t>
  </si>
  <si>
    <t>行业3 商业服务与用品</t>
  </si>
  <si>
    <t>行业3 多元电信服务</t>
  </si>
  <si>
    <t>行业3 食品与主要用品零售Ⅲ</t>
  </si>
  <si>
    <t>行业3 媒体Ⅲ</t>
  </si>
  <si>
    <t>行业3 建筑产品Ⅲ</t>
  </si>
  <si>
    <t>行业3 通信设备Ⅲ</t>
  </si>
  <si>
    <t>行业3 电子设备、仪器和元件</t>
  </si>
  <si>
    <t>行业3 专业服务</t>
  </si>
  <si>
    <t>行业3 酒店、餐馆与休闲Ⅲ</t>
  </si>
  <si>
    <t>行业3 软件</t>
  </si>
  <si>
    <t>行业3 房地产管理与开发</t>
  </si>
  <si>
    <t>行业3 生命科学工具和服务Ⅲ</t>
  </si>
  <si>
    <t>行业3 航空货运与物流Ⅲ</t>
  </si>
  <si>
    <t>行业3 信息技术服务</t>
  </si>
  <si>
    <t>行业3 机械</t>
  </si>
  <si>
    <t>行业3 多元化零售</t>
  </si>
  <si>
    <t>行业3 燃气Ⅲ</t>
  </si>
  <si>
    <t>行业3 纸与林木产品</t>
  </si>
  <si>
    <t>行业3 海运Ⅲ</t>
  </si>
  <si>
    <t>行业3 医疗保健设备与用品</t>
  </si>
  <si>
    <t>行业3 贸易公司与工业品经销商Ⅲ</t>
  </si>
  <si>
    <t>行业3 复合型公用事业Ⅲ</t>
  </si>
  <si>
    <t>行业3 电脑与外围设备</t>
  </si>
  <si>
    <t>行业3 金属、非金属与采矿</t>
  </si>
  <si>
    <t>行业3 医疗保健提供商与服务</t>
  </si>
  <si>
    <t>行业3 半导体产品与半导体设备</t>
  </si>
  <si>
    <t>行业3 专营零售</t>
  </si>
  <si>
    <t>行业3 石油、天然气与供消费用燃料</t>
  </si>
  <si>
    <t>行业3 医疗保健技术Ⅲ</t>
  </si>
  <si>
    <t>行业3 综合类Ⅲ</t>
  </si>
  <si>
    <t>行业3 休闲设备与用品</t>
  </si>
  <si>
    <t>行业3 综合消费者服务Ⅲ</t>
  </si>
  <si>
    <t>行业3 消费品经销商Ⅲ</t>
  </si>
  <si>
    <t>行业3 多元金融服务</t>
  </si>
  <si>
    <t>行业3 家庭用品Ⅲ</t>
  </si>
  <si>
    <t>行业3 无线电信业务Ⅲ</t>
  </si>
  <si>
    <t>行业3 互联网与售货目录零售</t>
  </si>
  <si>
    <t>行业3 航空航天与国防Ⅲ</t>
  </si>
  <si>
    <t>行业4 多元化银行</t>
  </si>
  <si>
    <t>行业4 个人用品</t>
  </si>
  <si>
    <t>行业4 家用电器</t>
  </si>
  <si>
    <t>行业4 投资银行业与经纪业</t>
  </si>
  <si>
    <t>行业4 区域性银行</t>
  </si>
  <si>
    <t>行业4 电力</t>
  </si>
  <si>
    <t>行业4 家庭娱乐软件</t>
  </si>
  <si>
    <t>行业4 汽车制造</t>
  </si>
  <si>
    <t>行业4 媒体Ⅲ</t>
  </si>
  <si>
    <t>行业4 资产管理与托管银行</t>
  </si>
  <si>
    <t>行业4 铁路运输</t>
  </si>
  <si>
    <t>行业4 航空</t>
  </si>
  <si>
    <t>行业4 新能源发电业者</t>
  </si>
  <si>
    <t>行业4 多元化保险</t>
  </si>
  <si>
    <t>行业4 白酒与葡萄酒</t>
  </si>
  <si>
    <t>行业4 石油与天然气的储存和运输</t>
  </si>
  <si>
    <t>行业4 公路与铁路</t>
  </si>
  <si>
    <t>行业4 机场服务</t>
  </si>
  <si>
    <t>行业4 服装、服饰与奢侈品</t>
  </si>
  <si>
    <t>行业4 人寿与健康保险</t>
  </si>
  <si>
    <t>行业4 休闲设施</t>
  </si>
  <si>
    <t>行业4 软饮料</t>
  </si>
  <si>
    <t>行业4 特种化工</t>
  </si>
  <si>
    <t>行业4 中药</t>
  </si>
  <si>
    <t>行业4 家庭装饰品</t>
  </si>
  <si>
    <t>行业4 建筑与工程</t>
  </si>
  <si>
    <t>行业4 重型电气设备</t>
  </si>
  <si>
    <t>行业4 多元化工</t>
  </si>
  <si>
    <t>行业4 互联网软件与服务</t>
  </si>
  <si>
    <t>行业4 生物科技</t>
  </si>
  <si>
    <t>行业4 非传统电信运营商</t>
  </si>
  <si>
    <t>行业4 金属与玻璃容器</t>
  </si>
  <si>
    <t>行业4 轮胎与橡胶</t>
  </si>
  <si>
    <t>行业4 摩托车制造</t>
  </si>
  <si>
    <t>行业4 办公服务与用品</t>
  </si>
  <si>
    <t>行业4 药品零售</t>
  </si>
  <si>
    <t>行业4 西药</t>
  </si>
  <si>
    <t>行业4 消费电子产品</t>
  </si>
  <si>
    <t>行业4 医疗保健用品</t>
  </si>
  <si>
    <t>行业4 化肥与农用化工</t>
  </si>
  <si>
    <t>行业4 保健护理设施</t>
  </si>
  <si>
    <t>行业4 农产品</t>
  </si>
  <si>
    <t>行业4 出版</t>
  </si>
  <si>
    <t>行业4 食品加工与肉类</t>
  </si>
  <si>
    <t>行业4 水务</t>
  </si>
  <si>
    <t>行业4 基础化工</t>
  </si>
  <si>
    <t>行业4 石油天然气设备与服务</t>
  </si>
  <si>
    <t>行业4 建材</t>
  </si>
  <si>
    <t>行业4 电子元件</t>
  </si>
  <si>
    <t>行业4 电脑存储与外围设备</t>
  </si>
  <si>
    <t>行业4 钢铁</t>
  </si>
  <si>
    <t>行业4 电气部件与设备</t>
  </si>
  <si>
    <t>行业4 环境与设施服务</t>
  </si>
  <si>
    <t>行业4 电影与娱乐</t>
  </si>
  <si>
    <t>行业4 商业印刷</t>
  </si>
  <si>
    <t>行业4 机动车零配件与设备</t>
  </si>
  <si>
    <t>行业4 石油与天然气的炼制和销售</t>
  </si>
  <si>
    <t>行业4 建筑产品</t>
  </si>
  <si>
    <t>行业4 财产与意外伤害保险</t>
  </si>
  <si>
    <t>行业4 通信设备</t>
  </si>
  <si>
    <t>行业4 煤炭与消费用燃料</t>
  </si>
  <si>
    <t>行业4 调查和咨询服务</t>
  </si>
  <si>
    <t>行业4 综合电信服务</t>
  </si>
  <si>
    <t>行业4 有线和卫星电视</t>
  </si>
  <si>
    <t>行业4 纸制品</t>
  </si>
  <si>
    <t>行业4 房地产服务</t>
  </si>
  <si>
    <t>行业4 鞋类</t>
  </si>
  <si>
    <t>行业4 海港与服务</t>
  </si>
  <si>
    <t>行业4 房地产开发</t>
  </si>
  <si>
    <t>行业4 建筑机械与重型卡车</t>
  </si>
  <si>
    <t>行业4 生命科学工具和服务</t>
  </si>
  <si>
    <t>行业4 信息科技咨询与其它服务</t>
  </si>
  <si>
    <t>行业4 航空货运与物流</t>
  </si>
  <si>
    <t>行业4 摄影用品</t>
  </si>
  <si>
    <t>行业4 百货商店</t>
  </si>
  <si>
    <t>行业4 酒店、度假村与豪华游轮</t>
  </si>
  <si>
    <t>行业4 数据处理与外包服务</t>
  </si>
  <si>
    <t>行业4 铝</t>
  </si>
  <si>
    <t>行业4 工业机械</t>
  </si>
  <si>
    <t>行业4 纺织品</t>
  </si>
  <si>
    <t>行业4 燃气</t>
  </si>
  <si>
    <t>行业4 应用软件</t>
  </si>
  <si>
    <t>行业4 海运</t>
  </si>
  <si>
    <t>行业4 贸易公司与工业品经销商</t>
  </si>
  <si>
    <t>行业4 电子设备和仪器</t>
  </si>
  <si>
    <t>行业4 复合型公用事业</t>
  </si>
  <si>
    <t>行业4 医疗保健设备</t>
  </si>
  <si>
    <t>行业4 房地产经营公司</t>
  </si>
  <si>
    <t>行业4 半导体产品</t>
  </si>
  <si>
    <t>行业4 化纤</t>
  </si>
  <si>
    <t>行业4 电子制造服务</t>
  </si>
  <si>
    <t>行业4 汽车零售</t>
  </si>
  <si>
    <t>行业4 多领域控股</t>
  </si>
  <si>
    <t>行业4 住宅建筑</t>
  </si>
  <si>
    <t>行业4 家用器具与特殊消费品</t>
  </si>
  <si>
    <t>行业4 电脑与电子产品零售</t>
  </si>
  <si>
    <t>行业4 农用农业机械</t>
  </si>
  <si>
    <t>行业4 纸包装</t>
  </si>
  <si>
    <t>行业4 医疗保健技术</t>
  </si>
  <si>
    <t>行业4 综合类行业</t>
  </si>
  <si>
    <t>行业4 教育服务</t>
  </si>
  <si>
    <t>行业4 消费品经销商</t>
  </si>
  <si>
    <t>行业4 综合支持服务</t>
  </si>
  <si>
    <t>行业4 休闲用品</t>
  </si>
  <si>
    <t>行业4 林木产品</t>
  </si>
  <si>
    <t>行业4 电脑硬件</t>
  </si>
  <si>
    <t>行业4 综合性石油天然气</t>
  </si>
  <si>
    <t>行业4 黄金</t>
  </si>
  <si>
    <t>行业4 啤酒</t>
  </si>
  <si>
    <t>行业4 广告</t>
  </si>
  <si>
    <t>行业4 家庭用品</t>
  </si>
  <si>
    <t>行业4 金属非金属</t>
  </si>
  <si>
    <t>zyjswkjysmkx2</t>
  </si>
  <si>
    <t>spjylyyc2</t>
  </si>
  <si>
    <t>syhzyfw2</t>
  </si>
  <si>
    <t>rjyfw2</t>
  </si>
  <si>
    <t>spyzyyplse2</t>
  </si>
  <si>
    <t>dxfwe2</t>
  </si>
  <si>
    <t>mte2</t>
  </si>
  <si>
    <t>zbhw2</t>
  </si>
  <si>
    <t>cle2</t>
  </si>
  <si>
    <t>jsyjysb2</t>
  </si>
  <si>
    <t>xfzfwe2</t>
  </si>
  <si>
    <t>fdc2</t>
  </si>
  <si>
    <t>ylbjsbyfw2</t>
  </si>
  <si>
    <t>nye2</t>
  </si>
  <si>
    <t>lsy2</t>
  </si>
  <si>
    <t>bdtybdtscsb2</t>
  </si>
  <si>
    <t>syyx3</t>
  </si>
  <si>
    <t>gryps3</t>
  </si>
  <si>
    <t>zbsc3</t>
  </si>
  <si>
    <t>dls3</t>
  </si>
  <si>
    <t>qc3</t>
  </si>
  <si>
    <t>hks3</t>
  </si>
  <si>
    <t>jtnyxfp3</t>
  </si>
  <si>
    <t>dldlscsynymyss3</t>
  </si>
  <si>
    <t>bxs3</t>
  </si>
  <si>
    <t>glytlys3</t>
  </si>
  <si>
    <t>yl3</t>
  </si>
  <si>
    <t>jzygcs3</t>
  </si>
  <si>
    <t>hlwrjyfws3</t>
  </si>
  <si>
    <t>swkjs3</t>
  </si>
  <si>
    <t>zy3</t>
  </si>
  <si>
    <t>fzpjfzyscp3</t>
  </si>
  <si>
    <t>jtjcss3</t>
  </si>
  <si>
    <t>dqsb3</t>
  </si>
  <si>
    <t>hg3</t>
  </si>
  <si>
    <t>sp3</t>
  </si>
  <si>
    <t>sws3</t>
  </si>
  <si>
    <t>rqybz3</t>
  </si>
  <si>
    <t>nysbyfw3</t>
  </si>
  <si>
    <t>jcs3</t>
  </si>
  <si>
    <t>qclpj3</t>
  </si>
  <si>
    <t>syfwyyp3</t>
  </si>
  <si>
    <t>dydxfw3</t>
  </si>
  <si>
    <t>spyzyyplss3</t>
  </si>
  <si>
    <t>mts3</t>
  </si>
  <si>
    <t>jzcps3</t>
  </si>
  <si>
    <t>txsbs3</t>
  </si>
  <si>
    <t>dzsbjyqhyj3</t>
  </si>
  <si>
    <t>zyfw3</t>
  </si>
  <si>
    <t>jdjcgyxxs3</t>
  </si>
  <si>
    <t>rj3</t>
  </si>
  <si>
    <t>fdcglykf3</t>
  </si>
  <si>
    <t>smkxgjhfws3</t>
  </si>
  <si>
    <t>hkhyywls3</t>
  </si>
  <si>
    <t>xxjsfw3</t>
  </si>
  <si>
    <t>jx3</t>
  </si>
  <si>
    <t>dyhls3</t>
  </si>
  <si>
    <t>rqs3</t>
  </si>
  <si>
    <t>zylmcp3</t>
  </si>
  <si>
    <t>hys3</t>
  </si>
  <si>
    <t>ylbjsbyyp3</t>
  </si>
  <si>
    <t>mygsygypjxss3</t>
  </si>
  <si>
    <t>fhxgysys3</t>
  </si>
  <si>
    <t>dnywwsb3</t>
  </si>
  <si>
    <t>jsjfjsyck3</t>
  </si>
  <si>
    <t>ylbjtgsyfw3</t>
  </si>
  <si>
    <t>bdtcpybdtsb3</t>
  </si>
  <si>
    <t>zyls3</t>
  </si>
  <si>
    <t>syjtrqygxfyrl3</t>
  </si>
  <si>
    <t>ylbjjss3</t>
  </si>
  <si>
    <t>zhls3</t>
  </si>
  <si>
    <t>xxsbyyp3</t>
  </si>
  <si>
    <t>zhxfzfws3</t>
  </si>
  <si>
    <t>xfpjxss3</t>
  </si>
  <si>
    <t>dyjrfw3</t>
  </si>
  <si>
    <t>jtyps3</t>
  </si>
  <si>
    <t>wxdxyws3</t>
  </si>
  <si>
    <t>hlwyshmlls3</t>
  </si>
  <si>
    <t>hkhtygfs3</t>
  </si>
  <si>
    <t>dyhyx4</t>
  </si>
  <si>
    <t>gryp4</t>
  </si>
  <si>
    <t>jydq4</t>
  </si>
  <si>
    <t>tzyxyyjjy4</t>
  </si>
  <si>
    <t>qyxyx4</t>
  </si>
  <si>
    <t>dl4</t>
  </si>
  <si>
    <t>jtylrj4</t>
  </si>
  <si>
    <t>qczz4</t>
  </si>
  <si>
    <t>mts4</t>
  </si>
  <si>
    <t>zcglytgyx4</t>
  </si>
  <si>
    <t>tlys4</t>
  </si>
  <si>
    <t>hk4</t>
  </si>
  <si>
    <t>xnyfdyz4</t>
  </si>
  <si>
    <t>dyhbx4</t>
  </si>
  <si>
    <t>bjyptj4</t>
  </si>
  <si>
    <t>syytrqdcchys4</t>
  </si>
  <si>
    <t>glytl4</t>
  </si>
  <si>
    <t>jcfw4</t>
  </si>
  <si>
    <t>fzjfsyscp4</t>
  </si>
  <si>
    <t>rsyjkbx4</t>
  </si>
  <si>
    <t>xxss4</t>
  </si>
  <si>
    <t>ryl4</t>
  </si>
  <si>
    <t>tzhg4</t>
  </si>
  <si>
    <t>zy4</t>
  </si>
  <si>
    <t>jtzsp4</t>
  </si>
  <si>
    <t>jzygc4</t>
  </si>
  <si>
    <t>zxdqsb4</t>
  </si>
  <si>
    <t>dyhg4</t>
  </si>
  <si>
    <t>hlwrjyfw4</t>
  </si>
  <si>
    <t>swkj4</t>
  </si>
  <si>
    <t>fctdxyys4</t>
  </si>
  <si>
    <t>jsyblrq4</t>
  </si>
  <si>
    <t>ltyxj4</t>
  </si>
  <si>
    <t>mtczz4</t>
  </si>
  <si>
    <t>bgfwyyp4</t>
  </si>
  <si>
    <t>ypls4</t>
  </si>
  <si>
    <t>xy4</t>
  </si>
  <si>
    <t>xfdzcp4</t>
  </si>
  <si>
    <t>ylbjyp4</t>
  </si>
  <si>
    <t>hfynyhg4</t>
  </si>
  <si>
    <t>bjhlss4</t>
  </si>
  <si>
    <t>ncp4</t>
  </si>
  <si>
    <t>cb4</t>
  </si>
  <si>
    <t>spjgyrl4</t>
  </si>
  <si>
    <t>sw4</t>
  </si>
  <si>
    <t>jchg4</t>
  </si>
  <si>
    <t>sytrqsbyfw4</t>
  </si>
  <si>
    <t>jc4</t>
  </si>
  <si>
    <t>dzyj4</t>
  </si>
  <si>
    <t>dnccywwsb4</t>
  </si>
  <si>
    <t>gt4</t>
  </si>
  <si>
    <t>dqbjysb4</t>
  </si>
  <si>
    <t>hjyssfw4</t>
  </si>
  <si>
    <t>dyyyl4</t>
  </si>
  <si>
    <t>syys4</t>
  </si>
  <si>
    <t>jdclpjysb4</t>
  </si>
  <si>
    <t>syytrqdlzhxs4</t>
  </si>
  <si>
    <t>jzcp4</t>
  </si>
  <si>
    <t>ccyywshbx4</t>
  </si>
  <si>
    <t>txsb4</t>
  </si>
  <si>
    <t>mtyxfyrl4</t>
  </si>
  <si>
    <t>dchzxfw4</t>
  </si>
  <si>
    <t>zhdxfw4</t>
  </si>
  <si>
    <t>yxhwxds4</t>
  </si>
  <si>
    <t>zzp4</t>
  </si>
  <si>
    <t>fdcfw4</t>
  </si>
  <si>
    <t>xl4</t>
  </si>
  <si>
    <t>hgyfw4</t>
  </si>
  <si>
    <t>fdckf4</t>
  </si>
  <si>
    <t>jzjxyzxkc4</t>
  </si>
  <si>
    <t>smkxgjhfw4</t>
  </si>
  <si>
    <t>xxkjzxyqtfw4</t>
  </si>
  <si>
    <t>hkhyywl4</t>
  </si>
  <si>
    <t>syyp4</t>
  </si>
  <si>
    <t>bhsd4</t>
  </si>
  <si>
    <t>jdjdjcyhhyl4</t>
  </si>
  <si>
    <t>sjclywbfw4</t>
  </si>
  <si>
    <t>l4</t>
  </si>
  <si>
    <t>gyjx4</t>
  </si>
  <si>
    <t>fzp4</t>
  </si>
  <si>
    <t>rq4</t>
  </si>
  <si>
    <t>yyrj4</t>
  </si>
  <si>
    <t>hy4</t>
  </si>
  <si>
    <t>mygsygypjxs4</t>
  </si>
  <si>
    <t>dzsbhyq4</t>
  </si>
  <si>
    <t>fhxgysy4</t>
  </si>
  <si>
    <t>ylbjsb4</t>
  </si>
  <si>
    <t>fdcjygs4</t>
  </si>
  <si>
    <t>bdtcp4</t>
  </si>
  <si>
    <t>hx4</t>
  </si>
  <si>
    <t>dzzzfw4</t>
  </si>
  <si>
    <t>qcls4</t>
  </si>
  <si>
    <t>dlykg4</t>
  </si>
  <si>
    <t>zzjz4</t>
  </si>
  <si>
    <t>jyqjytsxfp4</t>
  </si>
  <si>
    <t>dnydzcpls4</t>
  </si>
  <si>
    <t>nynyjx4</t>
  </si>
  <si>
    <t>zbz4</t>
  </si>
  <si>
    <t>ylbjjs4</t>
  </si>
  <si>
    <t>zhlxy4</t>
  </si>
  <si>
    <t>jyfw4</t>
  </si>
  <si>
    <t>dmcycs4</t>
  </si>
  <si>
    <t>xfpjxs4</t>
  </si>
  <si>
    <t>zhzcfw4</t>
  </si>
  <si>
    <t>xxyp4</t>
  </si>
  <si>
    <t>lmcp4</t>
  </si>
  <si>
    <t>dnyj4</t>
  </si>
  <si>
    <t>zhxsytrq4</t>
  </si>
  <si>
    <t>hj4</t>
  </si>
  <si>
    <t>pj4</t>
  </si>
  <si>
    <t>gg4</t>
  </si>
  <si>
    <t>jtyp4</t>
  </si>
  <si>
    <t>jsfjs4</t>
  </si>
  <si>
    <t>wxdxyw4</t>
  </si>
  <si>
    <t>by4</t>
  </si>
  <si>
    <t>bdtsb4</t>
  </si>
  <si>
    <t>gjsyks4</t>
  </si>
  <si>
    <t>spfxs4</t>
  </si>
  <si>
    <t>hlwls4</t>
  </si>
  <si>
    <t>glys4</t>
  </si>
  <si>
    <t>sytrqktysc4</t>
  </si>
  <si>
    <t>bjhlfw4</t>
  </si>
  <si>
    <t>jscpjxs4</t>
  </si>
  <si>
    <t>cg4</t>
  </si>
  <si>
    <t>hthkygf4</t>
  </si>
  <si>
    <t>zhhpsd4</t>
  </si>
  <si>
    <t>gyqt4</t>
  </si>
  <si>
    <t>dldlscsynymys4</t>
  </si>
  <si>
    <t>shmlls4</t>
  </si>
  <si>
    <t>qtdyjrfw4</t>
  </si>
  <si>
    <t>zmd4</t>
  </si>
  <si>
    <t>jr1</t>
  </si>
  <si>
    <t>gysy1</t>
  </si>
  <si>
    <t>kxxf1</t>
  </si>
  <si>
    <t>rcxf1</t>
  </si>
  <si>
    <t>ylbj1</t>
  </si>
  <si>
    <t>gy1</t>
  </si>
  <si>
    <t>dxfw1</t>
  </si>
  <si>
    <t>cl1</t>
  </si>
  <si>
    <t>xxjs1</t>
  </si>
  <si>
    <t>ny1</t>
  </si>
  <si>
    <t>yx2</t>
  </si>
  <si>
    <t>dyjr2</t>
  </si>
  <si>
    <t>gysye2</t>
  </si>
  <si>
    <t>jtygryp2</t>
  </si>
  <si>
    <t>qcyqclbj2</t>
  </si>
  <si>
    <t>bxe2</t>
  </si>
  <si>
    <t>nyxfpyfz2</t>
  </si>
  <si>
    <t>ys2</t>
  </si>
  <si>
    <t>行业4 大卖场与超市</t>
    <phoneticPr fontId="3" type="noConversion"/>
  </si>
  <si>
    <t>行业4 无线电信业务</t>
  </si>
  <si>
    <t>行业4 白银</t>
  </si>
  <si>
    <t>行业4 半导体设备</t>
  </si>
  <si>
    <t>行业4 贵金属与矿石</t>
  </si>
  <si>
    <t>行业4 食品分销商</t>
  </si>
  <si>
    <t>行业4 互联网零售</t>
  </si>
  <si>
    <t>行业4 公路运输</t>
  </si>
  <si>
    <t>行业4 石油天然气勘探与生产</t>
  </si>
  <si>
    <t>行业4 保健护理服务</t>
  </si>
  <si>
    <t>行业4 技术产品经销商</t>
  </si>
  <si>
    <t>行业4 餐馆</t>
  </si>
  <si>
    <t>行业4 航天航空与国防</t>
  </si>
  <si>
    <t>行业4 综合货品商店</t>
  </si>
  <si>
    <t>行业4 工业气体</t>
  </si>
  <si>
    <t>行业4 独立电力生产商与能源贸易商</t>
  </si>
  <si>
    <t>行业4 售货目录零售</t>
  </si>
  <si>
    <t>行业4 其他多元金融服务</t>
  </si>
  <si>
    <t>行业4 专卖店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</si>
</sst>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_ "/>
  </numFmts>
  <fonts count="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70C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0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9" fontId="0" fillId="0" borderId="0" xfId="1" applyFont="1" applyAlignment="1">
      <alignment horizontal="left" vertical="center"/>
    </xf>
    <xf numFmtId="9" fontId="0" fillId="0" borderId="0" xfId="1" applyFont="1">
      <alignment vertical="center"/>
    </xf>
    <xf numFmtId="176" fontId="0" fillId="0" borderId="0" xfId="1" applyNumberFormat="1" applyFont="1">
      <alignment vertical="center"/>
    </xf>
    <xf numFmtId="176" fontId="4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9" fontId="4" fillId="0" borderId="0" xfId="1" applyFont="1">
      <alignment vertical="center"/>
    </xf>
    <xf numFmtId="9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</cellXfs>
  <cellStyles count="20">
    <cellStyle name="普通" xfId="0" builtinId="0"/>
    <cellStyle name="百分比" xfId="1" builtinId="5"/>
    <cellStyle name="访问过的超链接" xfId="3" builtinId="9" hidden="1"/>
    <cellStyle name="访问过的超链接" xfId="5" builtinId="9" hidden="1"/>
    <cellStyle name="访问过的超链接" xfId="7" builtinId="9" hidden="1"/>
    <cellStyle name="访问过的超链接" xfId="9" builtinId="9" hidden="1"/>
    <cellStyle name="访问过的超链接" xfId="11" builtinId="9" hidden="1"/>
    <cellStyle name="访问过的超链接" xfId="13" builtinId="9" hidden="1"/>
    <cellStyle name="访问过的超链接" xfId="15" builtinId="9" hidden="1"/>
    <cellStyle name="访问过的超链接" xfId="17" builtinId="9" hidden="1"/>
    <cellStyle name="访问过的超链接" xfId="19" builtinId="9" hidden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929;&#31080;&#35266;&#23519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_ironspread_data_"/>
      <sheetName val="个股"/>
      <sheetName val="行业"/>
      <sheetName val="变量名"/>
      <sheetName val="Sheet2"/>
      <sheetName val="Sheet3"/>
    </sheetNames>
    <sheetDataSet>
      <sheetData sheetId="0"/>
      <sheetData sheetId="1">
        <row r="9">
          <cell r="D9" t="str">
            <v>电气部件与设备</v>
          </cell>
          <cell r="M9">
            <v>119.65455249999999</v>
          </cell>
          <cell r="N9">
            <v>324.3316048245776</v>
          </cell>
          <cell r="O9" t="str">
            <v>工业</v>
          </cell>
          <cell r="P9" t="str">
            <v>资本货物</v>
          </cell>
          <cell r="Q9" t="str">
            <v>电气设备</v>
          </cell>
          <cell r="BC9">
            <v>7.5068870523415973E-2</v>
          </cell>
          <cell r="BD9">
            <v>1.5614834092387782E-2</v>
          </cell>
          <cell r="BE9">
            <v>0.26191446943923369</v>
          </cell>
          <cell r="BF9">
            <v>1.1945760345458984</v>
          </cell>
          <cell r="BG9">
            <v>0</v>
          </cell>
        </row>
        <row r="10">
          <cell r="D10" t="str">
            <v>电子元件</v>
          </cell>
          <cell r="M10">
            <v>133.36294029699999</v>
          </cell>
          <cell r="N10">
            <v>354.13182839095191</v>
          </cell>
          <cell r="O10" t="str">
            <v>信息技术</v>
          </cell>
          <cell r="P10" t="str">
            <v>技术硬件与设备</v>
          </cell>
          <cell r="Q10" t="str">
            <v>电子设备、仪器和元件</v>
          </cell>
          <cell r="BC10">
            <v>2.6534859521332027E-2</v>
          </cell>
          <cell r="BD10">
            <v>-6.9339622641509377E-2</v>
          </cell>
          <cell r="BE10">
            <v>-1.2200281301815157E-2</v>
          </cell>
          <cell r="BF10">
            <v>0.69204002380371099</v>
          </cell>
          <cell r="BG10">
            <v>0.43306800842285154</v>
          </cell>
        </row>
        <row r="11">
          <cell r="D11" t="str">
            <v>工业机械</v>
          </cell>
          <cell r="M11">
            <v>133.63574748299996</v>
          </cell>
          <cell r="N11">
            <v>321.41018877809108</v>
          </cell>
          <cell r="O11" t="str">
            <v>工业</v>
          </cell>
          <cell r="P11" t="str">
            <v>资本货物</v>
          </cell>
          <cell r="Q11" t="str">
            <v>机械</v>
          </cell>
          <cell r="BC11">
            <v>1.1060507482107998E-2</v>
          </cell>
          <cell r="BD11">
            <v>-5.758157389635421E-3</v>
          </cell>
          <cell r="BE11">
            <v>-0.30435469336906795</v>
          </cell>
          <cell r="BF11">
            <v>0.15483599662780761</v>
          </cell>
          <cell r="BG11">
            <v>0.22772399902343751</v>
          </cell>
        </row>
        <row r="12">
          <cell r="D12" t="str">
            <v>互联网软件与服务</v>
          </cell>
          <cell r="M12">
            <v>403.0513921383</v>
          </cell>
          <cell r="N12">
            <v>925.81624478018182</v>
          </cell>
          <cell r="O12" t="str">
            <v>信息技术</v>
          </cell>
          <cell r="P12" t="str">
            <v>软件与服务</v>
          </cell>
          <cell r="Q12" t="str">
            <v>互联网软件与服务Ⅲ</v>
          </cell>
          <cell r="BC12">
            <v>1.6940179989412402E-2</v>
          </cell>
          <cell r="BD12">
            <v>1.8917963224893922E-2</v>
          </cell>
          <cell r="BE12">
            <v>0.47434914550060597</v>
          </cell>
          <cell r="BF12">
            <v>0.48903598785400393</v>
          </cell>
          <cell r="BG12">
            <v>0.63427200317382815</v>
          </cell>
        </row>
        <row r="13">
          <cell r="D13" t="str">
            <v>电力</v>
          </cell>
          <cell r="M13">
            <v>158.91725955119995</v>
          </cell>
          <cell r="N13">
            <v>345.38949498090108</v>
          </cell>
          <cell r="O13" t="str">
            <v>公用事业</v>
          </cell>
          <cell r="P13" t="str">
            <v>公用事业Ⅱ</v>
          </cell>
          <cell r="Q13" t="str">
            <v>电力Ⅲ</v>
          </cell>
          <cell r="BC13">
            <v>1.4874141876430092E-2</v>
          </cell>
          <cell r="BD13">
            <v>-1.0044642857143038E-2</v>
          </cell>
          <cell r="BE13">
            <v>-0.25416147401998723</v>
          </cell>
          <cell r="BF13">
            <v>0.37244400024414065</v>
          </cell>
          <cell r="BG13">
            <v>0.14373600006103515</v>
          </cell>
        </row>
        <row r="14">
          <cell r="D14" t="str">
            <v>汽车制造</v>
          </cell>
          <cell r="M14">
            <v>830.58147899999994</v>
          </cell>
          <cell r="N14">
            <v>1790.8478415577601</v>
          </cell>
          <cell r="O14" t="str">
            <v>可选消费</v>
          </cell>
          <cell r="P14" t="str">
            <v>汽车与汽车零部件</v>
          </cell>
          <cell r="Q14" t="str">
            <v>汽车</v>
          </cell>
          <cell r="BC14">
            <v>-7.6335877862595729E-3</v>
          </cell>
          <cell r="BD14">
            <v>0</v>
          </cell>
          <cell r="BE14">
            <v>-0.46653184602421638</v>
          </cell>
          <cell r="BF14">
            <v>1.0764000415802001E-2</v>
          </cell>
          <cell r="BG14">
            <v>0</v>
          </cell>
        </row>
        <row r="15">
          <cell r="D15" t="str">
            <v>轮胎与橡胶</v>
          </cell>
          <cell r="M15">
            <v>83.551669371000003</v>
          </cell>
          <cell r="N15">
            <v>172.86788714118728</v>
          </cell>
          <cell r="O15" t="str">
            <v>可选消费</v>
          </cell>
          <cell r="P15" t="str">
            <v>汽车与汽车零部件</v>
          </cell>
          <cell r="Q15" t="str">
            <v>汽车零配件</v>
          </cell>
          <cell r="BC15">
            <v>0.14364640883977889</v>
          </cell>
          <cell r="BD15">
            <v>8.9473684210526275E-2</v>
          </cell>
          <cell r="BE15">
            <v>0.13876240721692931</v>
          </cell>
          <cell r="BF15">
            <v>0.56512798309326173</v>
          </cell>
          <cell r="BG15">
            <v>0</v>
          </cell>
        </row>
        <row r="16">
          <cell r="D16" t="str">
            <v>基础化工</v>
          </cell>
          <cell r="M16">
            <v>54.273252224000004</v>
          </cell>
          <cell r="N16">
            <v>107.31417826184408</v>
          </cell>
          <cell r="O16" t="str">
            <v>材料</v>
          </cell>
          <cell r="P16" t="str">
            <v>材料Ⅱ</v>
          </cell>
          <cell r="Q16" t="str">
            <v>化工</v>
          </cell>
          <cell r="BC16">
            <v>2.7287319422150871E-2</v>
          </cell>
          <cell r="BD16">
            <v>-5.0445103857566745E-2</v>
          </cell>
          <cell r="BE16">
            <v>5.2122937457625511E-4</v>
          </cell>
          <cell r="BF16">
            <v>0.30714000701904298</v>
          </cell>
          <cell r="BG16">
            <v>0.2871240043640137</v>
          </cell>
        </row>
        <row r="17">
          <cell r="D17" t="str">
            <v>电力</v>
          </cell>
          <cell r="M17">
            <v>62.562636315999995</v>
          </cell>
          <cell r="N17">
            <v>122.09942612703799</v>
          </cell>
          <cell r="O17" t="str">
            <v>公用事业</v>
          </cell>
          <cell r="P17" t="str">
            <v>公用事业Ⅱ</v>
          </cell>
          <cell r="Q17" t="str">
            <v>电力Ⅲ</v>
          </cell>
          <cell r="BC17">
            <v>0</v>
          </cell>
          <cell r="BD17">
            <v>-9.6491228070176502E-3</v>
          </cell>
          <cell r="BE17">
            <v>-0.14984939759036148</v>
          </cell>
          <cell r="BF17">
            <v>0.34231201171874998</v>
          </cell>
          <cell r="BG17">
            <v>0.21879600524902343</v>
          </cell>
        </row>
        <row r="18">
          <cell r="D18" t="str">
            <v>电力</v>
          </cell>
          <cell r="M18">
            <v>367.57873007999996</v>
          </cell>
          <cell r="N18">
            <v>708.46092815672148</v>
          </cell>
          <cell r="O18" t="str">
            <v>公用事业</v>
          </cell>
          <cell r="P18" t="str">
            <v>公用事业Ⅱ</v>
          </cell>
          <cell r="Q18" t="str">
            <v>电力Ⅲ</v>
          </cell>
          <cell r="BC18">
            <v>-1.0663507109004723E-2</v>
          </cell>
          <cell r="BD18">
            <v>1.3349514563106726E-2</v>
          </cell>
          <cell r="BE18">
            <v>-0.23785820912542427</v>
          </cell>
          <cell r="BF18">
            <v>0.26474399566650392</v>
          </cell>
          <cell r="BG18">
            <v>0.16084800720214842</v>
          </cell>
        </row>
        <row r="19">
          <cell r="D19" t="str">
            <v>电力</v>
          </cell>
          <cell r="M19">
            <v>457.3779735878</v>
          </cell>
          <cell r="N19">
            <v>879.68529523006134</v>
          </cell>
          <cell r="O19" t="str">
            <v>公用事业</v>
          </cell>
          <cell r="P19" t="str">
            <v>公用事业Ⅱ</v>
          </cell>
          <cell r="Q19" t="str">
            <v>电力Ⅲ</v>
          </cell>
          <cell r="BC19">
            <v>4.4709388971684427E-3</v>
          </cell>
          <cell r="BD19">
            <v>-1.4619883040935621E-2</v>
          </cell>
          <cell r="BE19">
            <v>-0.36375501290611634</v>
          </cell>
          <cell r="BF19">
            <v>0.42670799255371095</v>
          </cell>
          <cell r="BG19">
            <v>0.24988800048828125</v>
          </cell>
        </row>
        <row r="20">
          <cell r="D20" t="str">
            <v>基础化工</v>
          </cell>
          <cell r="M20">
            <v>515.92819437599996</v>
          </cell>
          <cell r="N20">
            <v>982.91930812345026</v>
          </cell>
          <cell r="O20" t="str">
            <v>材料</v>
          </cell>
          <cell r="P20" t="str">
            <v>材料Ⅱ</v>
          </cell>
          <cell r="Q20" t="str">
            <v>化工</v>
          </cell>
          <cell r="BC20">
            <v>1.5832805573147563E-2</v>
          </cell>
          <cell r="BD20">
            <v>7.2909698996655517E-2</v>
          </cell>
          <cell r="BE20">
            <v>0.31890268921699366</v>
          </cell>
          <cell r="BF20">
            <v>0.50398799896240232</v>
          </cell>
          <cell r="BG20">
            <v>0.44543998718261718</v>
          </cell>
        </row>
        <row r="21">
          <cell r="D21" t="str">
            <v>航空</v>
          </cell>
          <cell r="M21">
            <v>295.5872</v>
          </cell>
          <cell r="N21">
            <v>561.8928395495999</v>
          </cell>
          <cell r="O21" t="str">
            <v>工业</v>
          </cell>
          <cell r="P21" t="str">
            <v>运输</v>
          </cell>
          <cell r="Q21" t="str">
            <v>航空Ⅲ</v>
          </cell>
          <cell r="BC21">
            <v>2.4812918471839265E-2</v>
          </cell>
          <cell r="BD21">
            <v>2.3112480739598891E-3</v>
          </cell>
          <cell r="BE21">
            <v>0</v>
          </cell>
          <cell r="BF21">
            <v>0</v>
          </cell>
          <cell r="BG21">
            <v>0</v>
          </cell>
        </row>
        <row r="22">
          <cell r="D22" t="str">
            <v>汽车制造</v>
          </cell>
          <cell r="M22">
            <v>668.65786788720004</v>
          </cell>
          <cell r="N22">
            <v>1262.5874143224112</v>
          </cell>
          <cell r="O22" t="str">
            <v>可选消费</v>
          </cell>
          <cell r="P22" t="str">
            <v>汽车与汽车零部件</v>
          </cell>
          <cell r="Q22" t="str">
            <v>汽车</v>
          </cell>
          <cell r="BC22">
            <v>0</v>
          </cell>
          <cell r="BD22">
            <v>-6.7013662979830801E-2</v>
          </cell>
          <cell r="BE22">
            <v>-0.28480604942958193</v>
          </cell>
          <cell r="BF22">
            <v>0.26919599533081057</v>
          </cell>
          <cell r="BG22">
            <v>0.26422800064086915</v>
          </cell>
        </row>
        <row r="23">
          <cell r="D23" t="str">
            <v>化肥与农用化工</v>
          </cell>
          <cell r="M23">
            <v>117.99846964709999</v>
          </cell>
          <cell r="N23">
            <v>222.28651989266984</v>
          </cell>
          <cell r="O23" t="str">
            <v>材料</v>
          </cell>
          <cell r="P23" t="str">
            <v>材料Ⅱ</v>
          </cell>
          <cell r="Q23" t="str">
            <v>化工</v>
          </cell>
          <cell r="BC23">
            <v>0</v>
          </cell>
          <cell r="BD23">
            <v>-3.155339805825233E-2</v>
          </cell>
          <cell r="BE23">
            <v>-0.3574538600198095</v>
          </cell>
          <cell r="BF23">
            <v>7.7147998809814447E-2</v>
          </cell>
          <cell r="BG23">
            <v>3.0095999240875245E-2</v>
          </cell>
        </row>
        <row r="24">
          <cell r="D24" t="str">
            <v>电力</v>
          </cell>
          <cell r="M24">
            <v>551.34039490269993</v>
          </cell>
          <cell r="N24">
            <v>1026.1398865307231</v>
          </cell>
          <cell r="O24" t="str">
            <v>公用事业</v>
          </cell>
          <cell r="P24" t="str">
            <v>公用事业Ⅱ</v>
          </cell>
          <cell r="Q24" t="str">
            <v>电力Ⅲ</v>
          </cell>
          <cell r="BC24">
            <v>7.2072072072072143E-3</v>
          </cell>
          <cell r="BD24">
            <v>7.2072072072072143E-3</v>
          </cell>
          <cell r="BE24">
            <v>-0.14206535502455442</v>
          </cell>
          <cell r="BF24">
            <v>0.48667198181152344</v>
          </cell>
          <cell r="BG24">
            <v>0.21151199340820312</v>
          </cell>
        </row>
        <row r="25">
          <cell r="D25" t="str">
            <v>电气部件与设备</v>
          </cell>
          <cell r="M25">
            <v>168.12036768939998</v>
          </cell>
          <cell r="N25">
            <v>297.9385199199001</v>
          </cell>
          <cell r="O25" t="str">
            <v>工业</v>
          </cell>
          <cell r="P25" t="str">
            <v>资本货物</v>
          </cell>
          <cell r="Q25" t="str">
            <v>电气设备</v>
          </cell>
          <cell r="BC25">
            <v>5.4421768707483041E-3</v>
          </cell>
          <cell r="BD25">
            <v>-4.3984476067270468E-2</v>
          </cell>
          <cell r="BE25">
            <v>-0.22805458901449285</v>
          </cell>
          <cell r="BF25">
            <v>7.406400203704834E-2</v>
          </cell>
          <cell r="BG25">
            <v>9.3240003585815426E-2</v>
          </cell>
        </row>
        <row r="26">
          <cell r="D26" t="str">
            <v>石油天然气设备与服务</v>
          </cell>
          <cell r="M26">
            <v>317.89541012000007</v>
          </cell>
          <cell r="N26">
            <v>562.63293279765514</v>
          </cell>
          <cell r="O26" t="str">
            <v>能源</v>
          </cell>
          <cell r="P26" t="str">
            <v>能源Ⅱ</v>
          </cell>
          <cell r="Q26" t="str">
            <v>能源设备与服务</v>
          </cell>
          <cell r="BC26">
            <v>-1.2362637362637343E-2</v>
          </cell>
          <cell r="BD26">
            <v>5.5944055944055987E-3</v>
          </cell>
          <cell r="BE26">
            <v>-0.38466498473704697</v>
          </cell>
          <cell r="BF26">
            <v>5.3628001213073734E-2</v>
          </cell>
          <cell r="BG26">
            <v>2.4563999176025392E-2</v>
          </cell>
        </row>
        <row r="27">
          <cell r="D27" t="str">
            <v>重型电气设备</v>
          </cell>
          <cell r="M27">
            <v>449.72294040000003</v>
          </cell>
          <cell r="N27">
            <v>786.88305351319241</v>
          </cell>
          <cell r="O27" t="str">
            <v>工业</v>
          </cell>
          <cell r="P27" t="str">
            <v>资本货物</v>
          </cell>
          <cell r="Q27" t="str">
            <v>电气设备</v>
          </cell>
          <cell r="BC27">
            <v>3.4612964128382676E-2</v>
          </cell>
          <cell r="BD27">
            <v>-3.6906854130052666E-2</v>
          </cell>
          <cell r="BE27">
            <v>3.7625025530285114E-2</v>
          </cell>
          <cell r="BF27">
            <v>0.35011199951171873</v>
          </cell>
          <cell r="BG27">
            <v>3.3143999576568606E-2</v>
          </cell>
        </row>
        <row r="28">
          <cell r="D28" t="str">
            <v>信息科技咨询与其它服务</v>
          </cell>
          <cell r="M28">
            <v>260.60914419049999</v>
          </cell>
          <cell r="N28">
            <v>453.41556765941834</v>
          </cell>
          <cell r="O28" t="str">
            <v>信息技术</v>
          </cell>
          <cell r="P28" t="str">
            <v>软件与服务</v>
          </cell>
          <cell r="Q28" t="str">
            <v>信息技术服务</v>
          </cell>
          <cell r="BC28">
            <v>-1.0851871947910783E-3</v>
          </cell>
          <cell r="BD28">
            <v>4.2468856172140433E-2</v>
          </cell>
          <cell r="BE28">
            <v>0.46955060619466082</v>
          </cell>
          <cell r="BF28">
            <v>0.57569999694824214</v>
          </cell>
          <cell r="BG28">
            <v>0.52286399841308595</v>
          </cell>
        </row>
        <row r="29">
          <cell r="D29" t="str">
            <v>公路与铁路</v>
          </cell>
          <cell r="M29">
            <v>119.56018146240001</v>
          </cell>
          <cell r="N29">
            <v>194.90326808479961</v>
          </cell>
          <cell r="O29" t="str">
            <v>工业</v>
          </cell>
          <cell r="P29" t="str">
            <v>运输</v>
          </cell>
          <cell r="Q29" t="str">
            <v>交通基础设施</v>
          </cell>
          <cell r="BC29">
            <v>-1.1152416356877252E-2</v>
          </cell>
          <cell r="BD29">
            <v>-7.462686567164185E-3</v>
          </cell>
          <cell r="BE29">
            <v>-2.6024056815239425E-2</v>
          </cell>
          <cell r="BF29">
            <v>0.5812799835205078</v>
          </cell>
          <cell r="BG29">
            <v>0.1625160026550293</v>
          </cell>
        </row>
        <row r="30">
          <cell r="D30" t="str">
            <v>资产管理与托管银行</v>
          </cell>
          <cell r="M30">
            <v>290.96988772320003</v>
          </cell>
          <cell r="N30">
            <v>468.92163580019377</v>
          </cell>
          <cell r="O30" t="str">
            <v>金融</v>
          </cell>
          <cell r="P30" t="str">
            <v>多元金融</v>
          </cell>
          <cell r="Q30" t="str">
            <v>资本市场</v>
          </cell>
          <cell r="BC30">
            <v>1.8587360594795582E-2</v>
          </cell>
          <cell r="BD30">
            <v>-1.4388489208633001E-2</v>
          </cell>
          <cell r="BE30">
            <v>0.23294785572493473</v>
          </cell>
          <cell r="BF30">
            <v>0.61280399322509771</v>
          </cell>
          <cell r="BG30">
            <v>0.34622398376464841</v>
          </cell>
        </row>
        <row r="31">
          <cell r="D31" t="str">
            <v>西药</v>
          </cell>
          <cell r="M31">
            <v>215.13998212979999</v>
          </cell>
          <cell r="N31">
            <v>338.65629748618716</v>
          </cell>
          <cell r="O31" t="str">
            <v>医疗保健</v>
          </cell>
          <cell r="P31" t="str">
            <v>制药、生物科技与生命科学</v>
          </cell>
          <cell r="Q31" t="str">
            <v>制药</v>
          </cell>
          <cell r="BC31">
            <v>-8.1799591002043245E-4</v>
          </cell>
          <cell r="BD31">
            <v>-8.1799591002043245E-4</v>
          </cell>
          <cell r="BE31">
            <v>0.652751380402528</v>
          </cell>
          <cell r="BF31">
            <v>0.47710800170898438</v>
          </cell>
          <cell r="BG31">
            <v>0.4059120178222656</v>
          </cell>
        </row>
        <row r="32">
          <cell r="D32" t="str">
            <v>医疗保健用品</v>
          </cell>
          <cell r="M32">
            <v>52.25808</v>
          </cell>
          <cell r="N32">
            <v>82.14820785705507</v>
          </cell>
          <cell r="O32" t="str">
            <v>医疗保健</v>
          </cell>
          <cell r="P32" t="str">
            <v>医疗保健设备与服务</v>
          </cell>
          <cell r="Q32" t="str">
            <v>医疗保健设备与用品</v>
          </cell>
          <cell r="BC32">
            <v>2.8462998102467872E-3</v>
          </cell>
          <cell r="BD32">
            <v>-9.2314297981966456E-2</v>
          </cell>
          <cell r="BE32">
            <v>-0.1459185709242414</v>
          </cell>
          <cell r="BF32">
            <v>0.26936399459838867</v>
          </cell>
          <cell r="BG32">
            <v>0.23433599472045899</v>
          </cell>
        </row>
        <row r="33">
          <cell r="D33" t="str">
            <v>电力</v>
          </cell>
          <cell r="M33">
            <v>125.14867886220001</v>
          </cell>
          <cell r="N33">
            <v>196.58771042471037</v>
          </cell>
          <cell r="O33" t="str">
            <v>公用事业</v>
          </cell>
          <cell r="P33" t="str">
            <v>公用事业Ⅱ</v>
          </cell>
          <cell r="Q33" t="str">
            <v>电力Ⅲ</v>
          </cell>
          <cell r="BC33">
            <v>5.2710843373494055E-2</v>
          </cell>
          <cell r="BD33">
            <v>3.4023668639053317E-2</v>
          </cell>
          <cell r="BE33">
            <v>-0.12551489242203032</v>
          </cell>
          <cell r="BF33">
            <v>0.35612400054931642</v>
          </cell>
          <cell r="BG33">
            <v>0.18685199737548827</v>
          </cell>
        </row>
        <row r="34">
          <cell r="D34" t="str">
            <v>中药</v>
          </cell>
          <cell r="M34">
            <v>238.72561776769996</v>
          </cell>
          <cell r="N34">
            <v>374.97927539985534</v>
          </cell>
          <cell r="O34" t="str">
            <v>医疗保健</v>
          </cell>
          <cell r="P34" t="str">
            <v>制药、生物科技与生命科学</v>
          </cell>
          <cell r="Q34" t="str">
            <v>制药</v>
          </cell>
          <cell r="BC34">
            <v>5.2444794952681464E-2</v>
          </cell>
          <cell r="BD34">
            <v>6.8027210884353859E-2</v>
          </cell>
          <cell r="BE34">
            <v>-0.24135673430979604</v>
          </cell>
          <cell r="BF34">
            <v>0.25643999099731446</v>
          </cell>
          <cell r="BG34">
            <v>7.6655998229980468E-2</v>
          </cell>
        </row>
        <row r="35">
          <cell r="D35" t="str">
            <v>投资银行业与经纪业</v>
          </cell>
          <cell r="M35">
            <v>272.63322825760002</v>
          </cell>
          <cell r="N35">
            <v>424.11480951302235</v>
          </cell>
          <cell r="O35" t="str">
            <v>金融</v>
          </cell>
          <cell r="P35" t="str">
            <v>多元金融</v>
          </cell>
          <cell r="Q35" t="str">
            <v>资本市场</v>
          </cell>
          <cell r="BC35">
            <v>5.530303030303034E-2</v>
          </cell>
          <cell r="BD35">
            <v>5.2910052910052852E-2</v>
          </cell>
          <cell r="BE35">
            <v>-0.30629638654265479</v>
          </cell>
          <cell r="BF35">
            <v>0.40245601654052732</v>
          </cell>
          <cell r="BG35">
            <v>0.11209199905395507</v>
          </cell>
        </row>
        <row r="36">
          <cell r="D36" t="str">
            <v>电气部件与设备</v>
          </cell>
          <cell r="M36">
            <v>105.669505376</v>
          </cell>
          <cell r="N36">
            <v>163.37354534467951</v>
          </cell>
          <cell r="O36" t="str">
            <v>工业</v>
          </cell>
          <cell r="P36" t="str">
            <v>资本货物</v>
          </cell>
          <cell r="Q36" t="str">
            <v>电气设备</v>
          </cell>
          <cell r="BC36">
            <v>6.526104417670632E-3</v>
          </cell>
          <cell r="BD36">
            <v>-1.7638412542871115E-2</v>
          </cell>
          <cell r="BE36">
            <v>-0.1981845739523147</v>
          </cell>
          <cell r="BF36">
            <v>0.59209201812744139</v>
          </cell>
          <cell r="BG36">
            <v>0.27477600097656252</v>
          </cell>
        </row>
        <row r="37">
          <cell r="D37" t="str">
            <v>个人用品</v>
          </cell>
          <cell r="M37">
            <v>202.88366541100001</v>
          </cell>
          <cell r="N37">
            <v>311.92696184148588</v>
          </cell>
          <cell r="O37" t="str">
            <v>日常消费</v>
          </cell>
          <cell r="P37" t="str">
            <v>家庭与个人用品</v>
          </cell>
          <cell r="Q37" t="str">
            <v>个人用品Ⅲ</v>
          </cell>
          <cell r="BC37">
            <v>-1.6661221822933617E-2</v>
          </cell>
          <cell r="BD37">
            <v>-6.0256009990633769E-2</v>
          </cell>
          <cell r="BE37">
            <v>-0.29770360879137792</v>
          </cell>
          <cell r="BF37">
            <v>2.0160000324249267E-2</v>
          </cell>
          <cell r="BG37">
            <v>9.6599998474121096E-2</v>
          </cell>
        </row>
        <row r="38">
          <cell r="D38" t="str">
            <v>环境与设施服务</v>
          </cell>
          <cell r="M38">
            <v>123.01961233040001</v>
          </cell>
          <cell r="N38">
            <v>188.60636121610631</v>
          </cell>
          <cell r="O38" t="str">
            <v>工业</v>
          </cell>
          <cell r="P38" t="str">
            <v>商业和专业服务</v>
          </cell>
          <cell r="Q38" t="str">
            <v>商业服务与用品</v>
          </cell>
          <cell r="BC38">
            <v>1.3043478260869674E-2</v>
          </cell>
          <cell r="BD38">
            <v>7.5675675675675987E-3</v>
          </cell>
          <cell r="BE38">
            <v>-1.4999766081483731E-3</v>
          </cell>
          <cell r="BF38">
            <v>0.13532400131225586</v>
          </cell>
          <cell r="BG38">
            <v>0.22488000869750976</v>
          </cell>
        </row>
        <row r="39">
          <cell r="D39" t="str">
            <v>服装、服饰与奢侈品</v>
          </cell>
          <cell r="M39">
            <v>510.37730016639995</v>
          </cell>
          <cell r="N39">
            <v>778.55116972734857</v>
          </cell>
          <cell r="O39" t="str">
            <v>可选消费</v>
          </cell>
          <cell r="P39" t="str">
            <v>耐用消费品与服装</v>
          </cell>
          <cell r="Q39" t="str">
            <v>纺织品、服装与奢侈品</v>
          </cell>
          <cell r="BC39">
            <v>2.4346257889990945E-2</v>
          </cell>
          <cell r="BD39">
            <v>0.10398445092322647</v>
          </cell>
          <cell r="BE39">
            <v>-0.18011449727939666</v>
          </cell>
          <cell r="BF39">
            <v>0.16078800201416016</v>
          </cell>
          <cell r="BG39">
            <v>0.24313199996948243</v>
          </cell>
        </row>
        <row r="40">
          <cell r="D40" t="str">
            <v>贸易公司与工业品经销商</v>
          </cell>
          <cell r="M40">
            <v>114.7512161664</v>
          </cell>
          <cell r="N40">
            <v>174.25729108172899</v>
          </cell>
          <cell r="O40" t="str">
            <v>工业</v>
          </cell>
          <cell r="P40" t="str">
            <v>资本货物</v>
          </cell>
          <cell r="Q40" t="str">
            <v>贸易公司与工业品经销商Ⅲ</v>
          </cell>
          <cell r="BC40">
            <v>4.4810417464573024E-2</v>
          </cell>
          <cell r="BD40">
            <v>-5.7034220532319345E-2</v>
          </cell>
          <cell r="BE40">
            <v>8.5304904454878538E-2</v>
          </cell>
          <cell r="BF40">
            <v>0.39765598297119142</v>
          </cell>
          <cell r="BG40">
            <v>0.2327039909362793</v>
          </cell>
        </row>
        <row r="41">
          <cell r="D41" t="str">
            <v>基础化工</v>
          </cell>
          <cell r="M41">
            <v>96.47999999999999</v>
          </cell>
          <cell r="N41">
            <v>145.92030181922274</v>
          </cell>
          <cell r="O41" t="str">
            <v>材料</v>
          </cell>
          <cell r="P41" t="str">
            <v>材料Ⅱ</v>
          </cell>
          <cell r="Q41" t="str">
            <v>化工</v>
          </cell>
          <cell r="BC41">
            <v>0</v>
          </cell>
          <cell r="BD41">
            <v>0</v>
          </cell>
          <cell r="BE41">
            <v>-0.45126335296015496</v>
          </cell>
          <cell r="BF41">
            <v>0</v>
          </cell>
          <cell r="BG41">
            <v>0</v>
          </cell>
        </row>
        <row r="42">
          <cell r="D42" t="str">
            <v>化纤</v>
          </cell>
          <cell r="M42">
            <v>38.383660499999998</v>
          </cell>
          <cell r="N42">
            <v>57.012018654086624</v>
          </cell>
          <cell r="O42" t="str">
            <v>材料</v>
          </cell>
          <cell r="P42" t="str">
            <v>材料Ⅱ</v>
          </cell>
          <cell r="Q42" t="str">
            <v>化工</v>
          </cell>
          <cell r="BC42">
            <v>-2.7993779160186583E-2</v>
          </cell>
          <cell r="BD42">
            <v>1.2965964343598067E-2</v>
          </cell>
          <cell r="BE42">
            <v>-7.2071428118876305E-2</v>
          </cell>
          <cell r="BF42">
            <v>0.59088001251220701</v>
          </cell>
          <cell r="BG42">
            <v>0.19854000091552734</v>
          </cell>
        </row>
        <row r="43">
          <cell r="D43" t="str">
            <v>家用电器</v>
          </cell>
          <cell r="M43">
            <v>1156.2234747516</v>
          </cell>
          <cell r="N43">
            <v>1689.0204901786344</v>
          </cell>
          <cell r="O43" t="str">
            <v>可选消费</v>
          </cell>
          <cell r="P43" t="str">
            <v>耐用消费品与服装</v>
          </cell>
          <cell r="Q43" t="str">
            <v>家庭耐用消费品</v>
          </cell>
          <cell r="BC43">
            <v>0</v>
          </cell>
          <cell r="BD43">
            <v>0</v>
          </cell>
          <cell r="BE43">
            <v>-3.1534503571751395E-2</v>
          </cell>
          <cell r="BF43">
            <v>0.30748800277709959</v>
          </cell>
          <cell r="BG43">
            <v>0.20991600036621094</v>
          </cell>
        </row>
        <row r="44">
          <cell r="D44" t="str">
            <v>食品加工与肉类</v>
          </cell>
          <cell r="M44">
            <v>129.92784155850001</v>
          </cell>
          <cell r="N44">
            <v>187.41081901536091</v>
          </cell>
          <cell r="O44" t="str">
            <v>日常消费</v>
          </cell>
          <cell r="P44" t="str">
            <v>食品、饮料与烟草</v>
          </cell>
          <cell r="Q44" t="str">
            <v>食品</v>
          </cell>
          <cell r="BC44">
            <v>6.5815983881799767E-2</v>
          </cell>
          <cell r="BD44">
            <v>8.7731322823851904E-2</v>
          </cell>
          <cell r="BE44">
            <v>0.18892880679756702</v>
          </cell>
          <cell r="BF44">
            <v>0.70872001647949223</v>
          </cell>
          <cell r="BG44">
            <v>0.32101200103759764</v>
          </cell>
        </row>
        <row r="45">
          <cell r="D45" t="str">
            <v>建材</v>
          </cell>
          <cell r="M45">
            <v>54.697369660200003</v>
          </cell>
          <cell r="N45">
            <v>77.416282358163826</v>
          </cell>
          <cell r="O45" t="str">
            <v>材料</v>
          </cell>
          <cell r="P45" t="str">
            <v>材料Ⅱ</v>
          </cell>
          <cell r="Q45" t="str">
            <v>建材Ⅲ</v>
          </cell>
          <cell r="BC45">
            <v>2.5813692480359196E-2</v>
          </cell>
          <cell r="BD45">
            <v>-4.1928721174004049E-2</v>
          </cell>
          <cell r="BE45">
            <v>-4.2931937172774881E-2</v>
          </cell>
          <cell r="BF45">
            <v>0.49432800292968748</v>
          </cell>
          <cell r="BG45">
            <v>6.9456000328063969E-2</v>
          </cell>
        </row>
        <row r="46">
          <cell r="D46" t="str">
            <v>建材</v>
          </cell>
          <cell r="M46">
            <v>134.24005974240001</v>
          </cell>
          <cell r="N46">
            <v>189.63404109821641</v>
          </cell>
          <cell r="O46" t="str">
            <v>材料</v>
          </cell>
          <cell r="P46" t="str">
            <v>材料Ⅱ</v>
          </cell>
          <cell r="Q46" t="str">
            <v>建材Ⅲ</v>
          </cell>
          <cell r="BC46">
            <v>-4.9411764705882343E-2</v>
          </cell>
          <cell r="BD46">
            <v>4.3927648578811353E-2</v>
          </cell>
          <cell r="BE46">
            <v>-0.21387662603908236</v>
          </cell>
          <cell r="BF46">
            <v>0.24426000595092773</v>
          </cell>
          <cell r="BG46">
            <v>0.18077999114990234</v>
          </cell>
        </row>
        <row r="47">
          <cell r="D47" t="str">
            <v>电力</v>
          </cell>
          <cell r="M47">
            <v>1182.5898316319999</v>
          </cell>
          <cell r="N47">
            <v>1657.020452840213</v>
          </cell>
          <cell r="O47" t="str">
            <v>公用事业</v>
          </cell>
          <cell r="P47" t="str">
            <v>公用事业Ⅱ</v>
          </cell>
          <cell r="Q47" t="str">
            <v>电力Ⅲ</v>
          </cell>
          <cell r="BC47">
            <v>-7.6530612244897463E-3</v>
          </cell>
          <cell r="BD47">
            <v>6.721536351165984E-2</v>
          </cell>
          <cell r="BE47">
            <v>-1.8245230135253445E-2</v>
          </cell>
          <cell r="BF47">
            <v>0.33990001678466797</v>
          </cell>
          <cell r="BG47">
            <v>0.14185199737548829</v>
          </cell>
        </row>
        <row r="48">
          <cell r="D48" t="str">
            <v>服装、服饰与奢侈品</v>
          </cell>
          <cell r="M48">
            <v>330.2065143685</v>
          </cell>
          <cell r="N48">
            <v>461.33249146886101</v>
          </cell>
          <cell r="O48" t="str">
            <v>可选消费</v>
          </cell>
          <cell r="P48" t="str">
            <v>耐用消费品与服装</v>
          </cell>
          <cell r="Q48" t="str">
            <v>纺织品、服装与奢侈品</v>
          </cell>
          <cell r="BC48">
            <v>2.064693737095669E-2</v>
          </cell>
          <cell r="BD48">
            <v>0.18734987990392313</v>
          </cell>
          <cell r="BE48">
            <v>-0.14321759616250407</v>
          </cell>
          <cell r="BF48">
            <v>0.45964801788330079</v>
          </cell>
          <cell r="BG48">
            <v>0.13225199699401854</v>
          </cell>
        </row>
        <row r="49">
          <cell r="D49" t="str">
            <v>纺织品</v>
          </cell>
          <cell r="M49">
            <v>56.477600311000003</v>
          </cell>
          <cell r="N49">
            <v>78.8279169063061</v>
          </cell>
          <cell r="O49" t="str">
            <v>可选消费</v>
          </cell>
          <cell r="P49" t="str">
            <v>耐用消费品与服装</v>
          </cell>
          <cell r="Q49" t="str">
            <v>纺织品、服装与奢侈品</v>
          </cell>
          <cell r="BC49">
            <v>0</v>
          </cell>
          <cell r="BD49">
            <v>-6.3897763578274818E-3</v>
          </cell>
          <cell r="BE49">
            <v>-5.8379435508332855E-2</v>
          </cell>
          <cell r="BF49">
            <v>0.18362400054931641</v>
          </cell>
          <cell r="BG49">
            <v>-5.3772001266479491E-2</v>
          </cell>
        </row>
        <row r="50">
          <cell r="D50" t="str">
            <v>生物科技</v>
          </cell>
          <cell r="M50">
            <v>1063.4993054009999</v>
          </cell>
          <cell r="N50">
            <v>1464.580269546301</v>
          </cell>
          <cell r="O50" t="str">
            <v>医疗保健</v>
          </cell>
          <cell r="P50" t="str">
            <v>制药、生物科技与生命科学</v>
          </cell>
          <cell r="Q50" t="str">
            <v>生物科技Ⅲ</v>
          </cell>
          <cell r="BC50">
            <v>-2.5037936267071372E-2</v>
          </cell>
          <cell r="BD50">
            <v>-4.904491481672814E-3</v>
          </cell>
          <cell r="BE50">
            <v>0.38359938581860825</v>
          </cell>
          <cell r="BF50">
            <v>0.66572402954101562</v>
          </cell>
          <cell r="BG50">
            <v>0.52582801818847658</v>
          </cell>
        </row>
        <row r="51">
          <cell r="D51" t="str">
            <v>家用电器</v>
          </cell>
          <cell r="M51">
            <v>1339.4343542559998</v>
          </cell>
          <cell r="N51">
            <v>1836.5015922903087</v>
          </cell>
          <cell r="O51" t="str">
            <v>可选消费</v>
          </cell>
          <cell r="P51" t="str">
            <v>耐用消费品与服装</v>
          </cell>
          <cell r="Q51" t="str">
            <v>家庭耐用消费品</v>
          </cell>
          <cell r="BC51">
            <v>4.5272969374167756E-2</v>
          </cell>
          <cell r="BD51">
            <v>0.12787356321839075</v>
          </cell>
          <cell r="BE51">
            <v>2.2874183155299779E-2</v>
          </cell>
          <cell r="BF51">
            <v>0.36375598907470702</v>
          </cell>
          <cell r="BG51">
            <v>0</v>
          </cell>
        </row>
        <row r="52">
          <cell r="D52" t="str">
            <v>金属与玻璃容器</v>
          </cell>
          <cell r="M52">
            <v>56.505851614699999</v>
          </cell>
          <cell r="N52">
            <v>76.430087206212548</v>
          </cell>
          <cell r="O52" t="str">
            <v>材料</v>
          </cell>
          <cell r="P52" t="str">
            <v>材料Ⅱ</v>
          </cell>
          <cell r="Q52" t="str">
            <v>容器与包装</v>
          </cell>
          <cell r="BC52">
            <v>7.563587684069617E-2</v>
          </cell>
          <cell r="BD52">
            <v>0.15197132616487463</v>
          </cell>
          <cell r="BE52">
            <v>0.20827067669172927</v>
          </cell>
          <cell r="BF52">
            <v>0.45624000549316407</v>
          </cell>
          <cell r="BG52">
            <v>0.14008799552917481</v>
          </cell>
        </row>
        <row r="53">
          <cell r="D53" t="str">
            <v>药品零售</v>
          </cell>
          <cell r="M53">
            <v>69.370998725400014</v>
          </cell>
          <cell r="N53">
            <v>93.813370549084297</v>
          </cell>
          <cell r="O53" t="str">
            <v>日常消费</v>
          </cell>
          <cell r="P53" t="str">
            <v>食品与主要用品零售Ⅱ</v>
          </cell>
          <cell r="Q53" t="str">
            <v>食品与主要用品零售Ⅲ</v>
          </cell>
          <cell r="BC53">
            <v>2.519893899204249E-2</v>
          </cell>
          <cell r="BD53">
            <v>-6.4267352185089742E-3</v>
          </cell>
          <cell r="BE53">
            <v>-0.20799180327868846</v>
          </cell>
          <cell r="BF53">
            <v>0.19825199127197266</v>
          </cell>
          <cell r="BG53">
            <v>0.12770400047302247</v>
          </cell>
        </row>
        <row r="54">
          <cell r="D54" t="str">
            <v>互联网软件与服务</v>
          </cell>
          <cell r="M54">
            <v>266.50992888000002</v>
          </cell>
          <cell r="N54">
            <v>356.33690262580882</v>
          </cell>
          <cell r="O54" t="str">
            <v>信息技术</v>
          </cell>
          <cell r="P54" t="str">
            <v>软件与服务</v>
          </cell>
          <cell r="Q54" t="str">
            <v>互联网软件与服务Ⅲ</v>
          </cell>
          <cell r="BC54">
            <v>9.9290780141843962E-2</v>
          </cell>
          <cell r="BD54">
            <v>5.0451807228915659E-2</v>
          </cell>
          <cell r="BE54">
            <v>-0.59798270893371763</v>
          </cell>
          <cell r="BF54">
            <v>0.46918800354003909</v>
          </cell>
          <cell r="BG54">
            <v>0.58145999908447266</v>
          </cell>
        </row>
        <row r="55">
          <cell r="D55" t="str">
            <v>汽车制造</v>
          </cell>
          <cell r="M55">
            <v>437.03160262019992</v>
          </cell>
          <cell r="N55">
            <v>579.11025207953764</v>
          </cell>
          <cell r="O55" t="str">
            <v>可选消费</v>
          </cell>
          <cell r="P55" t="str">
            <v>汽车与汽车零部件</v>
          </cell>
          <cell r="Q55" t="str">
            <v>汽车</v>
          </cell>
          <cell r="BC55">
            <v>-1.6932270916334657E-2</v>
          </cell>
          <cell r="BD55">
            <v>-2.5265285497726485E-3</v>
          </cell>
          <cell r="BE55">
            <v>7.5929576962137646E-2</v>
          </cell>
          <cell r="BF55">
            <v>0.30789600372314452</v>
          </cell>
          <cell r="BG55">
            <v>0.21332399368286134</v>
          </cell>
        </row>
        <row r="56">
          <cell r="D56" t="str">
            <v>投资银行业与经纪业</v>
          </cell>
          <cell r="M56">
            <v>1476.2</v>
          </cell>
          <cell r="N56">
            <v>1953.6525364718125</v>
          </cell>
          <cell r="O56" t="str">
            <v>金融</v>
          </cell>
          <cell r="P56" t="str">
            <v>多元金融</v>
          </cell>
          <cell r="Q56" t="str">
            <v>资本市场</v>
          </cell>
          <cell r="BC56">
            <v>3.3084311632870921E-2</v>
          </cell>
          <cell r="BD56">
            <v>6.843267108167761E-2</v>
          </cell>
          <cell r="BE56">
            <v>0</v>
          </cell>
          <cell r="BF56">
            <v>0</v>
          </cell>
          <cell r="BG56">
            <v>0</v>
          </cell>
        </row>
        <row r="57">
          <cell r="D57" t="str">
            <v>西药</v>
          </cell>
          <cell r="M57">
            <v>79.090871821500002</v>
          </cell>
          <cell r="N57">
            <v>104.4061150384685</v>
          </cell>
          <cell r="O57" t="str">
            <v>医疗保健</v>
          </cell>
          <cell r="P57" t="str">
            <v>制药、生物科技与生命科学</v>
          </cell>
          <cell r="Q57" t="str">
            <v>制药</v>
          </cell>
          <cell r="BC57">
            <v>7.3195876288659881E-2</v>
          </cell>
          <cell r="BD57">
            <v>-5.6598487602635056E-2</v>
          </cell>
          <cell r="BE57">
            <v>0.64272192993703969</v>
          </cell>
          <cell r="BF57">
            <v>0.72943199157714844</v>
          </cell>
          <cell r="BG57">
            <v>0.22352399826049804</v>
          </cell>
        </row>
        <row r="58">
          <cell r="D58" t="str">
            <v>多元化银行</v>
          </cell>
          <cell r="M58">
            <v>12100.5313103224</v>
          </cell>
          <cell r="N58">
            <v>15782.989373478149</v>
          </cell>
          <cell r="O58" t="str">
            <v>金融</v>
          </cell>
          <cell r="P58" t="str">
            <v>银行</v>
          </cell>
          <cell r="Q58" t="str">
            <v>商业银行</v>
          </cell>
          <cell r="BC58">
            <v>-4.1152263374486546E-3</v>
          </cell>
          <cell r="BD58">
            <v>2.325581395348825E-2</v>
          </cell>
          <cell r="BE58">
            <v>-0.15508488705407139</v>
          </cell>
          <cell r="BF58">
            <v>0.21536399841308593</v>
          </cell>
          <cell r="BG58">
            <v>8.0243997573852532E-2</v>
          </cell>
        </row>
        <row r="59">
          <cell r="D59" t="str">
            <v>工业机械</v>
          </cell>
          <cell r="M59">
            <v>44.042405101100002</v>
          </cell>
          <cell r="N59">
            <v>57.425390374393508</v>
          </cell>
          <cell r="O59" t="str">
            <v>工业</v>
          </cell>
          <cell r="P59" t="str">
            <v>资本货物</v>
          </cell>
          <cell r="Q59" t="str">
            <v>机械</v>
          </cell>
          <cell r="BC59">
            <v>-1.7478152309612943E-2</v>
          </cell>
          <cell r="BD59">
            <v>4.3766578249336878E-2</v>
          </cell>
          <cell r="BE59">
            <v>-0.12523090590070571</v>
          </cell>
          <cell r="BF59">
            <v>0.17745599746704102</v>
          </cell>
          <cell r="BG59">
            <v>5.9340000152587891E-2</v>
          </cell>
        </row>
        <row r="60">
          <cell r="D60" t="str">
            <v>电气部件与设备</v>
          </cell>
          <cell r="M60">
            <v>139.554936</v>
          </cell>
          <cell r="N60">
            <v>181.32182322595227</v>
          </cell>
          <cell r="O60" t="str">
            <v>工业</v>
          </cell>
          <cell r="P60" t="str">
            <v>资本货物</v>
          </cell>
          <cell r="Q60" t="str">
            <v>电气设备</v>
          </cell>
          <cell r="BC60">
            <v>1.0486177311725398E-2</v>
          </cell>
          <cell r="BD60">
            <v>-7.0257611241218796E-3</v>
          </cell>
          <cell r="BE60">
            <v>-0.27893402647202103</v>
          </cell>
          <cell r="BF60">
            <v>0.24698400497436523</v>
          </cell>
          <cell r="BG60">
            <v>0</v>
          </cell>
        </row>
        <row r="61">
          <cell r="D61" t="str">
            <v>食品加工与肉类</v>
          </cell>
          <cell r="M61">
            <v>47.685770633400004</v>
          </cell>
          <cell r="N61">
            <v>61.636875456837963</v>
          </cell>
          <cell r="O61" t="str">
            <v>日常消费</v>
          </cell>
          <cell r="P61" t="str">
            <v>食品、饮料与烟草</v>
          </cell>
          <cell r="Q61" t="str">
            <v>食品</v>
          </cell>
          <cell r="BC61">
            <v>3.5986159169550266E-2</v>
          </cell>
          <cell r="BD61">
            <v>-5.1330798479087371E-2</v>
          </cell>
          <cell r="BE61">
            <v>-0.12028612418474603</v>
          </cell>
          <cell r="BF61">
            <v>0.19712400436401367</v>
          </cell>
          <cell r="BG61">
            <v>0.15082799911499023</v>
          </cell>
        </row>
        <row r="62">
          <cell r="D62" t="str">
            <v>电力</v>
          </cell>
          <cell r="M62">
            <v>307.14161318099997</v>
          </cell>
          <cell r="N62">
            <v>396.89897119633974</v>
          </cell>
          <cell r="O62" t="str">
            <v>公用事业</v>
          </cell>
          <cell r="P62" t="str">
            <v>公用事业Ⅱ</v>
          </cell>
          <cell r="Q62" t="str">
            <v>电力Ⅲ</v>
          </cell>
          <cell r="BC62">
            <v>3.4305317324184515E-3</v>
          </cell>
          <cell r="BD62">
            <v>-1.7064846416383404E-3</v>
          </cell>
          <cell r="BE62">
            <v>-0.12219856480544464</v>
          </cell>
          <cell r="BF62">
            <v>0.28126800537109375</v>
          </cell>
          <cell r="BG62">
            <v>8.8319997787475582E-2</v>
          </cell>
        </row>
        <row r="63">
          <cell r="D63" t="str">
            <v>多元化银行</v>
          </cell>
          <cell r="M63">
            <v>1083.5170221954002</v>
          </cell>
          <cell r="N63">
            <v>1388.3373818938344</v>
          </cell>
          <cell r="O63" t="str">
            <v>金融</v>
          </cell>
          <cell r="P63" t="str">
            <v>银行</v>
          </cell>
          <cell r="Q63" t="str">
            <v>商业银行</v>
          </cell>
          <cell r="BC63">
            <v>-1.6488845780795337E-2</v>
          </cell>
          <cell r="BD63">
            <v>4.5360824742268178E-2</v>
          </cell>
          <cell r="BE63">
            <v>-5.4349951137344496E-3</v>
          </cell>
          <cell r="BF63">
            <v>0.27057600021362305</v>
          </cell>
          <cell r="BG63">
            <v>0.13265999794006347</v>
          </cell>
        </row>
        <row r="64">
          <cell r="D64" t="str">
            <v>电子元件</v>
          </cell>
          <cell r="M64">
            <v>98.029878106599995</v>
          </cell>
          <cell r="N64">
            <v>124.63553734082042</v>
          </cell>
          <cell r="O64" t="str">
            <v>信息技术</v>
          </cell>
          <cell r="P64" t="str">
            <v>技术硬件与设备</v>
          </cell>
          <cell r="Q64" t="str">
            <v>电子设备、仪器和元件</v>
          </cell>
          <cell r="BC64">
            <v>2.2718052738336807E-2</v>
          </cell>
          <cell r="BD64">
            <v>-3.5208572522005287E-2</v>
          </cell>
          <cell r="BE64">
            <v>0.26285039956796197</v>
          </cell>
          <cell r="BF64">
            <v>0.22440000534057616</v>
          </cell>
          <cell r="BG64">
            <v>0</v>
          </cell>
        </row>
        <row r="65">
          <cell r="D65" t="str">
            <v>投资银行业与经纪业</v>
          </cell>
          <cell r="M65">
            <v>591.31610881419999</v>
          </cell>
          <cell r="N65">
            <v>747.74613578466756</v>
          </cell>
          <cell r="O65" t="str">
            <v>金融</v>
          </cell>
          <cell r="P65" t="str">
            <v>多元金融</v>
          </cell>
          <cell r="Q65" t="str">
            <v>资本市场</v>
          </cell>
          <cell r="BC65">
            <v>4.6208530805687272E-2</v>
          </cell>
          <cell r="BD65">
            <v>4.74495848161329E-2</v>
          </cell>
          <cell r="BE65">
            <v>-0.37031102456938919</v>
          </cell>
          <cell r="BF65">
            <v>0.52628398895263673</v>
          </cell>
          <cell r="BG65">
            <v>0.11773200035095215</v>
          </cell>
        </row>
        <row r="66">
          <cell r="D66" t="str">
            <v>投资银行业与经纪业</v>
          </cell>
          <cell r="M66">
            <v>1244.5236155311998</v>
          </cell>
          <cell r="N66">
            <v>1569.5401992176241</v>
          </cell>
          <cell r="O66" t="str">
            <v>金融</v>
          </cell>
          <cell r="P66" t="str">
            <v>多元金融</v>
          </cell>
          <cell r="Q66" t="str">
            <v>资本市场</v>
          </cell>
          <cell r="BC66">
            <v>5.9014267185473306E-2</v>
          </cell>
          <cell r="BD66">
            <v>0.11849315068493142</v>
          </cell>
          <cell r="BE66">
            <v>-0.36238473908221536</v>
          </cell>
          <cell r="BF66">
            <v>0.29851200103759767</v>
          </cell>
          <cell r="BG66">
            <v>4.7375998497009277E-2</v>
          </cell>
        </row>
        <row r="67">
          <cell r="D67" t="str">
            <v>电力</v>
          </cell>
          <cell r="M67">
            <v>223.01660207820001</v>
          </cell>
          <cell r="N67">
            <v>280.65001059960719</v>
          </cell>
          <cell r="O67" t="str">
            <v>公用事业</v>
          </cell>
          <cell r="P67" t="str">
            <v>公用事业Ⅱ</v>
          </cell>
          <cell r="Q67" t="str">
            <v>电力Ⅲ</v>
          </cell>
          <cell r="BC67">
            <v>-6.1728395061728903E-3</v>
          </cell>
          <cell r="BD67">
            <v>-0.15114235500878739</v>
          </cell>
          <cell r="BE67">
            <v>-0.23149680606156189</v>
          </cell>
          <cell r="BF67">
            <v>0.24958799362182618</v>
          </cell>
          <cell r="BG67">
            <v>0.1126200008392334</v>
          </cell>
        </row>
        <row r="68">
          <cell r="D68" t="str">
            <v>特种化工</v>
          </cell>
          <cell r="M68">
            <v>251.59964138500001</v>
          </cell>
          <cell r="N68">
            <v>316.46041517945008</v>
          </cell>
          <cell r="O68" t="str">
            <v>材料</v>
          </cell>
          <cell r="P68" t="str">
            <v>材料Ⅱ</v>
          </cell>
          <cell r="Q68" t="str">
            <v>化工</v>
          </cell>
          <cell r="BC68">
            <v>-4.9245921822100242E-3</v>
          </cell>
          <cell r="BD68">
            <v>4.9675324675324595E-2</v>
          </cell>
          <cell r="BE68">
            <v>0.2112994156896166</v>
          </cell>
          <cell r="BF68">
            <v>0.40669200897216795</v>
          </cell>
          <cell r="BG68">
            <v>0.41296798706054688</v>
          </cell>
        </row>
        <row r="69">
          <cell r="D69" t="str">
            <v>多元化银行</v>
          </cell>
          <cell r="M69">
            <v>15254.187803409202</v>
          </cell>
          <cell r="N69">
            <v>19183.057384966316</v>
          </cell>
          <cell r="O69" t="str">
            <v>金融</v>
          </cell>
          <cell r="P69" t="str">
            <v>银行</v>
          </cell>
          <cell r="Q69" t="str">
            <v>商业银行</v>
          </cell>
          <cell r="BC69">
            <v>-4.6511627906975755E-3</v>
          </cell>
          <cell r="BD69">
            <v>5.6790123456790229E-2</v>
          </cell>
          <cell r="BE69">
            <v>-5.0587163459328219E-2</v>
          </cell>
          <cell r="BF69">
            <v>0.18314399719238281</v>
          </cell>
          <cell r="BG69">
            <v>5.9292001724243162E-2</v>
          </cell>
        </row>
        <row r="70">
          <cell r="D70" t="str">
            <v>铁路运输</v>
          </cell>
          <cell r="M70">
            <v>1013.9151796862001</v>
          </cell>
          <cell r="N70">
            <v>1267.2890875797345</v>
          </cell>
          <cell r="O70" t="str">
            <v>工业</v>
          </cell>
          <cell r="P70" t="str">
            <v>运输</v>
          </cell>
          <cell r="Q70" t="str">
            <v>公路与铁路运输</v>
          </cell>
          <cell r="BC70">
            <v>-2.710413694721819E-2</v>
          </cell>
          <cell r="BD70">
            <v>-2.849002849002839E-2</v>
          </cell>
          <cell r="BE70">
            <v>-0.35490045313924623</v>
          </cell>
          <cell r="BF70">
            <v>0.11300399780273437</v>
          </cell>
          <cell r="BG70">
            <v>4.6655998229980469E-2</v>
          </cell>
        </row>
        <row r="71">
          <cell r="D71" t="str">
            <v>西药</v>
          </cell>
          <cell r="M71">
            <v>305.83456348179999</v>
          </cell>
          <cell r="N71">
            <v>377.80439856340661</v>
          </cell>
          <cell r="O71" t="str">
            <v>医疗保健</v>
          </cell>
          <cell r="P71" t="str">
            <v>制药、生物科技与生命科学</v>
          </cell>
          <cell r="Q71" t="str">
            <v>制药</v>
          </cell>
          <cell r="BC71">
            <v>1.7796030116358646E-2</v>
          </cell>
          <cell r="BD71">
            <v>-6.3481456732375971E-3</v>
          </cell>
          <cell r="BE71">
            <v>0.28689782843435457</v>
          </cell>
          <cell r="BF71">
            <v>0.45338401794433592</v>
          </cell>
          <cell r="BG71">
            <v>0</v>
          </cell>
        </row>
        <row r="72">
          <cell r="D72" t="str">
            <v>特种化工</v>
          </cell>
          <cell r="M72">
            <v>333.141182464</v>
          </cell>
          <cell r="N72">
            <v>410.47280541614805</v>
          </cell>
          <cell r="O72" t="str">
            <v>材料</v>
          </cell>
          <cell r="P72" t="str">
            <v>材料Ⅱ</v>
          </cell>
          <cell r="Q72" t="str">
            <v>化工</v>
          </cell>
          <cell r="BC72">
            <v>-2.8462998102466695E-2</v>
          </cell>
          <cell r="BD72">
            <v>0.10702702702702704</v>
          </cell>
          <cell r="BE72">
            <v>-0.27030519293918664</v>
          </cell>
          <cell r="BF72">
            <v>0.31829999923706054</v>
          </cell>
          <cell r="BG72">
            <v>0.17406000137329103</v>
          </cell>
        </row>
        <row r="73">
          <cell r="D73" t="str">
            <v>生物科技</v>
          </cell>
          <cell r="M73">
            <v>132.37718255999999</v>
          </cell>
          <cell r="N73">
            <v>162.2754224059357</v>
          </cell>
          <cell r="O73" t="str">
            <v>医疗保健</v>
          </cell>
          <cell r="P73" t="str">
            <v>制药、生物科技与生命科学</v>
          </cell>
          <cell r="Q73" t="str">
            <v>生物科技Ⅲ</v>
          </cell>
          <cell r="BC73">
            <v>1.002004008016032E-2</v>
          </cell>
          <cell r="BD73">
            <v>-2.0217729393468102E-2</v>
          </cell>
          <cell r="BE73">
            <v>-6.4787920543897343E-2</v>
          </cell>
          <cell r="BF73">
            <v>3.2039999961853027E-2</v>
          </cell>
          <cell r="BG73">
            <v>0.19211999893188478</v>
          </cell>
        </row>
        <row r="74">
          <cell r="D74" t="str">
            <v>多元化银行</v>
          </cell>
          <cell r="M74">
            <v>9891.4297856976009</v>
          </cell>
          <cell r="N74">
            <v>12078.663101330771</v>
          </cell>
          <cell r="O74" t="str">
            <v>金融</v>
          </cell>
          <cell r="P74" t="str">
            <v>银行</v>
          </cell>
          <cell r="Q74" t="str">
            <v>商业银行</v>
          </cell>
          <cell r="BC74">
            <v>-2.0408163265306204E-2</v>
          </cell>
          <cell r="BD74">
            <v>3.7037037037036931E-2</v>
          </cell>
          <cell r="BE74">
            <v>-0.18968702293821466</v>
          </cell>
          <cell r="BF74">
            <v>0.22837200164794921</v>
          </cell>
          <cell r="BG74">
            <v>7.4999999999999997E-2</v>
          </cell>
        </row>
        <row r="75">
          <cell r="D75" t="str">
            <v>投资银行业与经纪业</v>
          </cell>
          <cell r="M75">
            <v>484.35036283919999</v>
          </cell>
          <cell r="N75">
            <v>589.84682397610334</v>
          </cell>
          <cell r="O75" t="str">
            <v>金融</v>
          </cell>
          <cell r="P75" t="str">
            <v>多元金融</v>
          </cell>
          <cell r="Q75" t="str">
            <v>资本市场</v>
          </cell>
          <cell r="BC75">
            <v>3.2490974729241826E-2</v>
          </cell>
          <cell r="BD75">
            <v>2.508960573476713E-2</v>
          </cell>
          <cell r="BE75">
            <v>-0.16769592202576122</v>
          </cell>
          <cell r="BF75">
            <v>0.50860801696777347</v>
          </cell>
          <cell r="BG75">
            <v>0.20428800582885742</v>
          </cell>
        </row>
        <row r="76">
          <cell r="D76" t="str">
            <v>特种化工</v>
          </cell>
          <cell r="M76">
            <v>47.396489275900002</v>
          </cell>
          <cell r="N76">
            <v>57.577793370002972</v>
          </cell>
          <cell r="O76" t="str">
            <v>材料</v>
          </cell>
          <cell r="P76" t="str">
            <v>材料Ⅱ</v>
          </cell>
          <cell r="Q76" t="str">
            <v>化工</v>
          </cell>
          <cell r="BC76">
            <v>1.0743061772605122E-2</v>
          </cell>
          <cell r="BD76">
            <v>3.0109489051094732E-2</v>
          </cell>
          <cell r="BE76">
            <v>0.29142921342167188</v>
          </cell>
          <cell r="BF76">
            <v>0.36565200805664061</v>
          </cell>
          <cell r="BG76">
            <v>8.014800071716309E-2</v>
          </cell>
        </row>
        <row r="77">
          <cell r="D77" t="str">
            <v>通信设备</v>
          </cell>
          <cell r="M77">
            <v>106.088746822</v>
          </cell>
          <cell r="N77">
            <v>128.62708870116768</v>
          </cell>
          <cell r="O77" t="str">
            <v>信息技术</v>
          </cell>
          <cell r="P77" t="str">
            <v>技术硬件与设备</v>
          </cell>
          <cell r="Q77" t="str">
            <v>通信设备Ⅲ</v>
          </cell>
          <cell r="BC77">
            <v>0</v>
          </cell>
          <cell r="BD77">
            <v>0</v>
          </cell>
          <cell r="BE77">
            <v>-1.4129459882872874E-2</v>
          </cell>
          <cell r="BF77">
            <v>0.64527603149414059</v>
          </cell>
          <cell r="BG77">
            <v>0</v>
          </cell>
        </row>
        <row r="78">
          <cell r="D78" t="str">
            <v>多元化银行</v>
          </cell>
          <cell r="M78">
            <v>1727.1265150000002</v>
          </cell>
          <cell r="N78">
            <v>2079.5613792351396</v>
          </cell>
          <cell r="O78" t="str">
            <v>金融</v>
          </cell>
          <cell r="P78" t="str">
            <v>银行</v>
          </cell>
          <cell r="Q78" t="str">
            <v>商业银行</v>
          </cell>
          <cell r="BC78">
            <v>-1.0695187165775409E-2</v>
          </cell>
          <cell r="BD78">
            <v>3.9325842696629247E-2</v>
          </cell>
          <cell r="BE78">
            <v>-0.15712180313630877</v>
          </cell>
          <cell r="BF78">
            <v>0.29161199569702151</v>
          </cell>
          <cell r="BG78">
            <v>5.495999813079834E-2</v>
          </cell>
        </row>
        <row r="79">
          <cell r="D79" t="str">
            <v>多元化银行</v>
          </cell>
          <cell r="M79">
            <v>1515.2888031200998</v>
          </cell>
          <cell r="N79">
            <v>1818.1080385105104</v>
          </cell>
          <cell r="O79" t="str">
            <v>金融</v>
          </cell>
          <cell r="P79" t="str">
            <v>银行</v>
          </cell>
          <cell r="Q79" t="str">
            <v>商业银行</v>
          </cell>
          <cell r="BC79">
            <v>4.7438330170778663E-3</v>
          </cell>
          <cell r="BD79">
            <v>4.3349753694581231E-2</v>
          </cell>
          <cell r="BE79">
            <v>-0.15177047376045436</v>
          </cell>
          <cell r="BF79">
            <v>0.19064399719238281</v>
          </cell>
          <cell r="BG79">
            <v>0.1392840003967285</v>
          </cell>
        </row>
        <row r="80">
          <cell r="D80" t="str">
            <v>电子设备和仪器</v>
          </cell>
          <cell r="M80">
            <v>97.677198273000002</v>
          </cell>
          <cell r="N80">
            <v>116.99104384877275</v>
          </cell>
          <cell r="O80" t="str">
            <v>信息技术</v>
          </cell>
          <cell r="P80" t="str">
            <v>技术硬件与设备</v>
          </cell>
          <cell r="Q80" t="str">
            <v>电子设备、仪器和元件</v>
          </cell>
          <cell r="BC80">
            <v>6.644518272425225E-3</v>
          </cell>
          <cell r="BD80">
            <v>0.18529778372946082</v>
          </cell>
          <cell r="BE80">
            <v>0.4431378735396711</v>
          </cell>
          <cell r="BF80">
            <v>0.86290802001953126</v>
          </cell>
          <cell r="BG80">
            <v>0</v>
          </cell>
        </row>
        <row r="81">
          <cell r="D81" t="str">
            <v>投资银行业与经纪业</v>
          </cell>
          <cell r="M81">
            <v>1035.5905648206999</v>
          </cell>
          <cell r="N81">
            <v>1238.0217149741304</v>
          </cell>
          <cell r="O81" t="str">
            <v>金融</v>
          </cell>
          <cell r="P81" t="str">
            <v>多元金融</v>
          </cell>
          <cell r="Q81" t="str">
            <v>资本市场</v>
          </cell>
          <cell r="BC81">
            <v>2.2948938611589132E-2</v>
          </cell>
          <cell r="BD81">
            <v>0.1335028607755879</v>
          </cell>
          <cell r="BE81">
            <v>-0.38747141991339917</v>
          </cell>
          <cell r="BF81">
            <v>0.37832401275634764</v>
          </cell>
          <cell r="BG81">
            <v>0.12872400283813476</v>
          </cell>
        </row>
        <row r="82">
          <cell r="D82" t="str">
            <v>投资银行业与经纪业</v>
          </cell>
          <cell r="M82">
            <v>729.38067324130009</v>
          </cell>
          <cell r="N82">
            <v>869.56777358776969</v>
          </cell>
          <cell r="O82" t="str">
            <v>金融</v>
          </cell>
          <cell r="P82" t="str">
            <v>多元金融</v>
          </cell>
          <cell r="Q82" t="str">
            <v>资本市场</v>
          </cell>
          <cell r="BC82">
            <v>5.0647158131682732E-2</v>
          </cell>
          <cell r="BD82">
            <v>6.6857142857142948E-2</v>
          </cell>
          <cell r="BE82">
            <v>-0.3052883639814517</v>
          </cell>
          <cell r="BF82">
            <v>0.56680801391601565</v>
          </cell>
          <cell r="BG82">
            <v>0.14677200317382813</v>
          </cell>
        </row>
        <row r="83">
          <cell r="D83" t="str">
            <v>电力</v>
          </cell>
          <cell r="M83">
            <v>86.835320639999992</v>
          </cell>
          <cell r="N83">
            <v>103.48153483628904</v>
          </cell>
          <cell r="O83" t="str">
            <v>公用事业</v>
          </cell>
          <cell r="P83" t="str">
            <v>公用事业Ⅱ</v>
          </cell>
          <cell r="Q83" t="str">
            <v>电力Ⅲ</v>
          </cell>
          <cell r="BC83">
            <v>4.7058823529411806E-2</v>
          </cell>
          <cell r="BD83">
            <v>-1.8743109151047401E-2</v>
          </cell>
          <cell r="BE83">
            <v>0.12181403162191777</v>
          </cell>
          <cell r="BF83">
            <v>0.36473999023437498</v>
          </cell>
          <cell r="BG83">
            <v>0.16996799468994139</v>
          </cell>
        </row>
        <row r="84">
          <cell r="D84" t="str">
            <v>电子元件</v>
          </cell>
          <cell r="M84">
            <v>298.74654097540002</v>
          </cell>
          <cell r="N84">
            <v>354.92496128249246</v>
          </cell>
          <cell r="O84" t="str">
            <v>信息技术</v>
          </cell>
          <cell r="P84" t="str">
            <v>技术硬件与设备</v>
          </cell>
          <cell r="Q84" t="str">
            <v>电子设备、仪器和元件</v>
          </cell>
          <cell r="BC84">
            <v>5.1612903225806495E-3</v>
          </cell>
          <cell r="BD84">
            <v>5.2702702702702657E-2</v>
          </cell>
          <cell r="BE84">
            <v>-0.33491226294994625</v>
          </cell>
          <cell r="BF84">
            <v>0.14318400382995605</v>
          </cell>
          <cell r="BG84">
            <v>0.15470399856567382</v>
          </cell>
        </row>
        <row r="85">
          <cell r="D85" t="str">
            <v>投资银行业与经纪业</v>
          </cell>
          <cell r="M85">
            <v>1330.04</v>
          </cell>
          <cell r="N85">
            <v>1578.2695710514956</v>
          </cell>
          <cell r="O85" t="str">
            <v>金融</v>
          </cell>
          <cell r="P85" t="str">
            <v>多元金融</v>
          </cell>
          <cell r="Q85" t="str">
            <v>资本市场</v>
          </cell>
          <cell r="BC85">
            <v>4.4430135222150648E-2</v>
          </cell>
          <cell r="BD85">
            <v>5.6677524429967374E-2</v>
          </cell>
          <cell r="BE85">
            <v>-0.2602254873188406</v>
          </cell>
          <cell r="BF85">
            <v>0</v>
          </cell>
          <cell r="BG85">
            <v>0</v>
          </cell>
        </row>
        <row r="86">
          <cell r="D86" t="str">
            <v>水务</v>
          </cell>
          <cell r="M86">
            <v>171.55545012130005</v>
          </cell>
          <cell r="N86">
            <v>203.04045600730535</v>
          </cell>
          <cell r="O86" t="str">
            <v>公用事业</v>
          </cell>
          <cell r="P86" t="str">
            <v>公用事业Ⅱ</v>
          </cell>
          <cell r="Q86" t="str">
            <v>水务Ⅲ</v>
          </cell>
          <cell r="BC86">
            <v>2.4669603524229176E-2</v>
          </cell>
          <cell r="BD86">
            <v>4.3985637342908453E-2</v>
          </cell>
          <cell r="BE86">
            <v>-0.12771733873582305</v>
          </cell>
          <cell r="BF86">
            <v>0.37497600555419924</v>
          </cell>
          <cell r="BG86">
            <v>0.14109600067138672</v>
          </cell>
        </row>
        <row r="87">
          <cell r="D87" t="str">
            <v>工业机械</v>
          </cell>
          <cell r="M87">
            <v>100.691828313</v>
          </cell>
          <cell r="N87">
            <v>118.52751280502649</v>
          </cell>
          <cell r="O87" t="str">
            <v>工业</v>
          </cell>
          <cell r="P87" t="str">
            <v>资本货物</v>
          </cell>
          <cell r="Q87" t="str">
            <v>机械</v>
          </cell>
          <cell r="BC87">
            <v>4.0794979079497778E-2</v>
          </cell>
          <cell r="BD87">
            <v>-2.9268292682926897E-2</v>
          </cell>
          <cell r="BE87">
            <v>0.32042000253873965</v>
          </cell>
          <cell r="BF87">
            <v>0.56518798828125005</v>
          </cell>
          <cell r="BG87">
            <v>0.303036003112793</v>
          </cell>
        </row>
        <row r="88">
          <cell r="D88" t="str">
            <v>多元化银行</v>
          </cell>
          <cell r="M88">
            <v>10263.4940972</v>
          </cell>
          <cell r="N88">
            <v>12076.428351626961</v>
          </cell>
          <cell r="O88" t="str">
            <v>金融</v>
          </cell>
          <cell r="P88" t="str">
            <v>银行</v>
          </cell>
          <cell r="Q88" t="str">
            <v>商业银行</v>
          </cell>
          <cell r="BC88">
            <v>-1.8633540372670822E-2</v>
          </cell>
          <cell r="BD88">
            <v>6.0402684563758441E-2</v>
          </cell>
          <cell r="BE88">
            <v>-9.4794598939856242E-2</v>
          </cell>
          <cell r="BF88">
            <v>0.22292400360107423</v>
          </cell>
          <cell r="BG88">
            <v>9.9600000381469725E-2</v>
          </cell>
        </row>
        <row r="89">
          <cell r="D89" t="str">
            <v>出版</v>
          </cell>
          <cell r="M89">
            <v>117.8258471079</v>
          </cell>
          <cell r="N89">
            <v>138.63022314060808</v>
          </cell>
          <cell r="O89" t="str">
            <v>可选消费</v>
          </cell>
          <cell r="P89" t="str">
            <v>媒体Ⅱ</v>
          </cell>
          <cell r="Q89" t="str">
            <v>媒体Ⅲ</v>
          </cell>
          <cell r="BC89">
            <v>-1.1881188118811862E-2</v>
          </cell>
          <cell r="BD89">
            <v>-2.1568627450980395E-2</v>
          </cell>
          <cell r="BE89">
            <v>-9.1105575672521977E-2</v>
          </cell>
          <cell r="BF89">
            <v>0.15157199859619142</v>
          </cell>
          <cell r="BG89">
            <v>0.22724399566650391</v>
          </cell>
        </row>
        <row r="90">
          <cell r="D90" t="str">
            <v>多元化银行</v>
          </cell>
          <cell r="M90">
            <v>4091.8762381394999</v>
          </cell>
          <cell r="N90">
            <v>4809.3425109710024</v>
          </cell>
          <cell r="O90" t="str">
            <v>金融</v>
          </cell>
          <cell r="P90" t="str">
            <v>银行</v>
          </cell>
          <cell r="Q90" t="str">
            <v>商业银行</v>
          </cell>
          <cell r="BC90">
            <v>-2.650176678445236E-2</v>
          </cell>
          <cell r="BD90">
            <v>3.5714285714285622E-2</v>
          </cell>
          <cell r="BE90">
            <v>-9.2553792732092965E-2</v>
          </cell>
          <cell r="BF90">
            <v>0.28864799499511717</v>
          </cell>
          <cell r="BG90">
            <v>8.6772003173828119E-2</v>
          </cell>
        </row>
        <row r="91">
          <cell r="D91" t="str">
            <v>新能源发电业者</v>
          </cell>
          <cell r="M91">
            <v>360.16403187600002</v>
          </cell>
          <cell r="N91">
            <v>423.20320348765119</v>
          </cell>
          <cell r="O91" t="str">
            <v>公用事业</v>
          </cell>
          <cell r="P91" t="str">
            <v>公用事业Ⅱ</v>
          </cell>
          <cell r="Q91" t="str">
            <v>独立电力生产商与能源贸易商Ⅲ</v>
          </cell>
          <cell r="BC91">
            <v>2.9462738301559935E-2</v>
          </cell>
          <cell r="BD91">
            <v>6.7796610169491584E-3</v>
          </cell>
          <cell r="BE91">
            <v>-9.4226950968714945E-2</v>
          </cell>
          <cell r="BF91">
            <v>0.42948001861572266</v>
          </cell>
          <cell r="BG91">
            <v>9.063599586486816E-2</v>
          </cell>
        </row>
        <row r="92">
          <cell r="D92" t="str">
            <v>汽车制造</v>
          </cell>
          <cell r="M92">
            <v>2190.7800891823003</v>
          </cell>
          <cell r="N92">
            <v>2561.1082051924309</v>
          </cell>
          <cell r="O92" t="str">
            <v>可选消费</v>
          </cell>
          <cell r="P92" t="str">
            <v>汽车与汽车零部件</v>
          </cell>
          <cell r="Q92" t="str">
            <v>汽车</v>
          </cell>
          <cell r="BC92">
            <v>2.0171457387797632E-3</v>
          </cell>
          <cell r="BD92">
            <v>5.5791710945802375E-2</v>
          </cell>
          <cell r="BE92">
            <v>-0.15319270980711905</v>
          </cell>
          <cell r="BF92">
            <v>0.28264799118041994</v>
          </cell>
          <cell r="BG92">
            <v>8.3615999221801754E-2</v>
          </cell>
        </row>
        <row r="93">
          <cell r="D93" t="str">
            <v>工业机械</v>
          </cell>
          <cell r="M93">
            <v>150.56</v>
          </cell>
          <cell r="N93">
            <v>175.91071504627291</v>
          </cell>
          <cell r="O93" t="str">
            <v>工业</v>
          </cell>
          <cell r="P93" t="str">
            <v>资本货物</v>
          </cell>
          <cell r="Q93" t="str">
            <v>机械</v>
          </cell>
          <cell r="BC93">
            <v>-4.759386567953456E-3</v>
          </cell>
          <cell r="BD93">
            <v>-1.4659685863874405E-2</v>
          </cell>
          <cell r="BE93">
            <v>-2.7233902363971271E-2</v>
          </cell>
          <cell r="BF93">
            <v>0.43091999053955077</v>
          </cell>
          <cell r="BG93">
            <v>0</v>
          </cell>
        </row>
        <row r="94">
          <cell r="D94" t="str">
            <v>应用软件</v>
          </cell>
          <cell r="M94">
            <v>399.97440000000006</v>
          </cell>
          <cell r="N94">
            <v>466.88664849216116</v>
          </cell>
          <cell r="O94" t="str">
            <v>信息技术</v>
          </cell>
          <cell r="P94" t="str">
            <v>软件与服务</v>
          </cell>
          <cell r="Q94" t="str">
            <v>软件</v>
          </cell>
          <cell r="BC94">
            <v>0.15617715617715636</v>
          </cell>
          <cell r="BD94">
            <v>0.17695057628989769</v>
          </cell>
          <cell r="BE94">
            <v>0.25226384666306134</v>
          </cell>
          <cell r="BF94">
            <v>1.8893760681152343</v>
          </cell>
          <cell r="BG94">
            <v>0.74887199401855464</v>
          </cell>
        </row>
        <row r="95">
          <cell r="D95" t="str">
            <v>多元化银行</v>
          </cell>
          <cell r="M95">
            <v>2947.3964953797004</v>
          </cell>
          <cell r="N95">
            <v>3438.9165091306591</v>
          </cell>
          <cell r="O95" t="str">
            <v>金融</v>
          </cell>
          <cell r="P95" t="str">
            <v>银行</v>
          </cell>
          <cell r="Q95" t="str">
            <v>商业银行</v>
          </cell>
          <cell r="BC95">
            <v>3.893575600259604E-3</v>
          </cell>
          <cell r="BD95">
            <v>6.1770761839396039E-2</v>
          </cell>
          <cell r="BE95">
            <v>-6.5063645229398087E-2</v>
          </cell>
          <cell r="BF95">
            <v>0.33460800170898436</v>
          </cell>
          <cell r="BG95">
            <v>0.16977600097656251</v>
          </cell>
        </row>
        <row r="96">
          <cell r="D96" t="str">
            <v>工业机械</v>
          </cell>
          <cell r="M96">
            <v>75.211634160000003</v>
          </cell>
          <cell r="N96">
            <v>87.542673003365636</v>
          </cell>
          <cell r="O96" t="str">
            <v>工业</v>
          </cell>
          <cell r="P96" t="str">
            <v>资本货物</v>
          </cell>
          <cell r="Q96" t="str">
            <v>机械</v>
          </cell>
          <cell r="BC96">
            <v>0</v>
          </cell>
          <cell r="BD96">
            <v>0</v>
          </cell>
          <cell r="BE96">
            <v>-3.0410183875530388E-2</v>
          </cell>
          <cell r="BF96">
            <v>0.21148799896240233</v>
          </cell>
          <cell r="BG96">
            <v>6.1079998016357419E-2</v>
          </cell>
        </row>
        <row r="97">
          <cell r="D97" t="str">
            <v>钢铁</v>
          </cell>
          <cell r="M97">
            <v>296.62712172699997</v>
          </cell>
          <cell r="N97">
            <v>344.05106086349997</v>
          </cell>
          <cell r="O97" t="str">
            <v>材料</v>
          </cell>
          <cell r="P97" t="str">
            <v>材料Ⅱ</v>
          </cell>
          <cell r="Q97" t="str">
            <v>金属、非金属与采矿</v>
          </cell>
          <cell r="BC97">
            <v>-2.3809523809523937E-2</v>
          </cell>
          <cell r="BD97">
            <v>-2.8436018957345998E-2</v>
          </cell>
          <cell r="BE97">
            <v>-0.32169715808618182</v>
          </cell>
          <cell r="BF97">
            <v>0.25858800888061523</v>
          </cell>
          <cell r="BG97">
            <v>-7.7616000175476069E-2</v>
          </cell>
        </row>
        <row r="98">
          <cell r="D98" t="str">
            <v>中药</v>
          </cell>
          <cell r="M98">
            <v>146.90380402220001</v>
          </cell>
          <cell r="N98">
            <v>169.06436927941405</v>
          </cell>
          <cell r="O98" t="str">
            <v>医疗保健</v>
          </cell>
          <cell r="P98" t="str">
            <v>制药、生物科技与生命科学</v>
          </cell>
          <cell r="Q98" t="str">
            <v>制药</v>
          </cell>
          <cell r="BC98">
            <v>6.8446269678301079E-4</v>
          </cell>
          <cell r="BD98">
            <v>-1.8132975151108215E-2</v>
          </cell>
          <cell r="BE98">
            <v>-0.32220757533765293</v>
          </cell>
          <cell r="BF98">
            <v>-8.7911996841430667E-2</v>
          </cell>
          <cell r="BG98">
            <v>0.23296800613403321</v>
          </cell>
        </row>
        <row r="99">
          <cell r="D99" t="str">
            <v>投资银行业与经纪业</v>
          </cell>
          <cell r="M99">
            <v>2119.2472791599998</v>
          </cell>
          <cell r="N99">
            <v>2438.7200426714644</v>
          </cell>
          <cell r="O99" t="str">
            <v>金融</v>
          </cell>
          <cell r="P99" t="str">
            <v>多元金融</v>
          </cell>
          <cell r="Q99" t="str">
            <v>资本市场</v>
          </cell>
          <cell r="BC99">
            <v>3.1858407079645969E-2</v>
          </cell>
          <cell r="BD99">
            <v>0.13424124513618668</v>
          </cell>
          <cell r="BE99">
            <v>-0.44678888576227305</v>
          </cell>
          <cell r="BF99">
            <v>0.41139598846435549</v>
          </cell>
          <cell r="BG99">
            <v>0.16263599395751954</v>
          </cell>
        </row>
        <row r="100">
          <cell r="D100" t="str">
            <v>多元化银行</v>
          </cell>
          <cell r="M100">
            <v>3309.1258290209998</v>
          </cell>
          <cell r="N100">
            <v>3781.2960751225573</v>
          </cell>
          <cell r="O100" t="str">
            <v>金融</v>
          </cell>
          <cell r="P100" t="str">
            <v>银行</v>
          </cell>
          <cell r="Q100" t="str">
            <v>商业银行</v>
          </cell>
          <cell r="BC100">
            <v>-5.605381165919362E-3</v>
          </cell>
          <cell r="BD100">
            <v>-3.848238482384829E-2</v>
          </cell>
          <cell r="BE100">
            <v>0.20876517408725023</v>
          </cell>
          <cell r="BF100">
            <v>0.47570400238037108</v>
          </cell>
          <cell r="BG100">
            <v>0.21800399780273438</v>
          </cell>
        </row>
        <row r="101">
          <cell r="D101" t="str">
            <v>电力</v>
          </cell>
          <cell r="M101">
            <v>756.19836333279989</v>
          </cell>
          <cell r="N101">
            <v>863.14511107252588</v>
          </cell>
          <cell r="O101" t="str">
            <v>公用事业</v>
          </cell>
          <cell r="P101" t="str">
            <v>公用事业Ⅱ</v>
          </cell>
          <cell r="Q101" t="str">
            <v>电力Ⅲ</v>
          </cell>
          <cell r="BC101">
            <v>-8.9126559714796279E-3</v>
          </cell>
          <cell r="BD101">
            <v>-2.9668411867364887E-2</v>
          </cell>
          <cell r="BE101">
            <v>-0.20155842563891951</v>
          </cell>
          <cell r="BF101">
            <v>0.13770000457763673</v>
          </cell>
          <cell r="BG101">
            <v>0</v>
          </cell>
        </row>
        <row r="102">
          <cell r="D102" t="str">
            <v>电子元件</v>
          </cell>
          <cell r="M102">
            <v>167.4026715</v>
          </cell>
          <cell r="N102">
            <v>190.32173021707504</v>
          </cell>
          <cell r="O102" t="str">
            <v>信息技术</v>
          </cell>
          <cell r="P102" t="str">
            <v>技术硬件与设备</v>
          </cell>
          <cell r="Q102" t="str">
            <v>电子设备、仪器和元件</v>
          </cell>
          <cell r="BC102">
            <v>3.5928143712574794E-2</v>
          </cell>
          <cell r="BD102">
            <v>6.7901234567901175E-2</v>
          </cell>
          <cell r="BE102">
            <v>0.2630365438684481</v>
          </cell>
          <cell r="BF102">
            <v>0.53262001037597662</v>
          </cell>
          <cell r="BG102">
            <v>0</v>
          </cell>
        </row>
        <row r="103">
          <cell r="D103" t="str">
            <v>西药</v>
          </cell>
          <cell r="M103">
            <v>208.85012325</v>
          </cell>
          <cell r="N103">
            <v>235.39457999654186</v>
          </cell>
          <cell r="O103" t="str">
            <v>医疗保健</v>
          </cell>
          <cell r="P103" t="str">
            <v>制药、生物科技与生命科学</v>
          </cell>
          <cell r="Q103" t="str">
            <v>制药</v>
          </cell>
          <cell r="BC103">
            <v>1.2073863636363631E-2</v>
          </cell>
          <cell r="BD103">
            <v>8.13583303855679E-3</v>
          </cell>
          <cell r="BE103">
            <v>-0.12324799779697107</v>
          </cell>
          <cell r="BF103">
            <v>0.26816400527954104</v>
          </cell>
          <cell r="BG103">
            <v>0.1952280044555664</v>
          </cell>
        </row>
        <row r="104">
          <cell r="D104" t="str">
            <v>生物科技</v>
          </cell>
          <cell r="M104">
            <v>160.91495824959998</v>
          </cell>
          <cell r="N104">
            <v>181.02354027595896</v>
          </cell>
          <cell r="O104" t="str">
            <v>医疗保健</v>
          </cell>
          <cell r="P104" t="str">
            <v>制药、生物科技与生命科学</v>
          </cell>
          <cell r="Q104" t="str">
            <v>生物科技Ⅲ</v>
          </cell>
          <cell r="BC104">
            <v>-4.942166140904318E-2</v>
          </cell>
          <cell r="BD104">
            <v>2.0316027088036086E-2</v>
          </cell>
          <cell r="BE104">
            <v>-0.10574728650857534</v>
          </cell>
          <cell r="BF104">
            <v>0.2635799980163574</v>
          </cell>
          <cell r="BG104">
            <v>0</v>
          </cell>
        </row>
        <row r="105">
          <cell r="D105" t="str">
            <v>建筑与工程</v>
          </cell>
          <cell r="M105">
            <v>119.60744136060001</v>
          </cell>
          <cell r="N105">
            <v>134.4193825023286</v>
          </cell>
          <cell r="O105" t="str">
            <v>工业</v>
          </cell>
          <cell r="P105" t="str">
            <v>资本货物</v>
          </cell>
          <cell r="Q105" t="str">
            <v>建筑与工程Ⅲ</v>
          </cell>
          <cell r="BC105">
            <v>3.7861915367483276E-2</v>
          </cell>
          <cell r="BD105">
            <v>7.9307858687816309E-3</v>
          </cell>
          <cell r="BE105">
            <v>-0.15327142772551031</v>
          </cell>
          <cell r="BF105">
            <v>0.48829200744628909</v>
          </cell>
          <cell r="BG105">
            <v>0.16786800384521483</v>
          </cell>
        </row>
        <row r="106">
          <cell r="D106" t="str">
            <v>多元化银行</v>
          </cell>
          <cell r="M106">
            <v>4067.9610954412997</v>
          </cell>
          <cell r="N106">
            <v>4554.3343920454581</v>
          </cell>
          <cell r="O106" t="str">
            <v>金融</v>
          </cell>
          <cell r="P106" t="str">
            <v>银行</v>
          </cell>
          <cell r="Q106" t="str">
            <v>商业银行</v>
          </cell>
          <cell r="BC106">
            <v>-2.4737167594312119E-3</v>
          </cell>
          <cell r="BD106">
            <v>8.9128966914247029E-2</v>
          </cell>
          <cell r="BE106">
            <v>9.9281471761133777E-2</v>
          </cell>
          <cell r="BF106">
            <v>0.30056400299072267</v>
          </cell>
          <cell r="BG106">
            <v>0.11614800453186035</v>
          </cell>
        </row>
        <row r="107">
          <cell r="D107" t="str">
            <v>机动车零配件与设备</v>
          </cell>
          <cell r="M107">
            <v>474.1696871936</v>
          </cell>
          <cell r="N107">
            <v>528.55350103883347</v>
          </cell>
          <cell r="O107" t="str">
            <v>可选消费</v>
          </cell>
          <cell r="P107" t="str">
            <v>汽车与汽车零部件</v>
          </cell>
          <cell r="Q107" t="str">
            <v>汽车零配件</v>
          </cell>
          <cell r="BC107">
            <v>5.7665260196905661E-2</v>
          </cell>
          <cell r="BD107">
            <v>8.5137085137085122E-2</v>
          </cell>
          <cell r="BE107">
            <v>-0.22547004051490466</v>
          </cell>
          <cell r="BF107">
            <v>0.25836000442504881</v>
          </cell>
          <cell r="BG107">
            <v>8.3736000061035154E-2</v>
          </cell>
        </row>
        <row r="108">
          <cell r="D108" t="str">
            <v>区域性银行</v>
          </cell>
          <cell r="M108">
            <v>532.49416421319995</v>
          </cell>
          <cell r="N108">
            <v>590.5584734171257</v>
          </cell>
          <cell r="O108" t="str">
            <v>金融</v>
          </cell>
          <cell r="P108" t="str">
            <v>银行</v>
          </cell>
          <cell r="Q108" t="str">
            <v>商业银行</v>
          </cell>
          <cell r="BC108">
            <v>-6.905210295040768E-3</v>
          </cell>
          <cell r="BD108">
            <v>2.3948220064724985E-2</v>
          </cell>
          <cell r="BE108">
            <v>0.11170828670261766</v>
          </cell>
          <cell r="BF108">
            <v>0.44493598937988282</v>
          </cell>
          <cell r="BG108">
            <v>0.15748800277709962</v>
          </cell>
        </row>
        <row r="109">
          <cell r="D109" t="str">
            <v>电力</v>
          </cell>
          <cell r="M109">
            <v>103.22119124000001</v>
          </cell>
          <cell r="N109">
            <v>114.39422742408001</v>
          </cell>
          <cell r="O109" t="str">
            <v>公用事业</v>
          </cell>
          <cell r="P109" t="str">
            <v>公用事业Ⅱ</v>
          </cell>
          <cell r="Q109" t="str">
            <v>电力Ⅲ</v>
          </cell>
          <cell r="BC109">
            <v>6.593406593406648E-3</v>
          </cell>
          <cell r="BD109">
            <v>-5.371900826446277E-2</v>
          </cell>
          <cell r="BE109">
            <v>-0.27531645569620256</v>
          </cell>
          <cell r="BF109">
            <v>0.33531600952148438</v>
          </cell>
          <cell r="BG109">
            <v>0.10820400238037109</v>
          </cell>
        </row>
        <row r="110">
          <cell r="D110" t="str">
            <v>机场服务</v>
          </cell>
          <cell r="M110">
            <v>140.29999999999998</v>
          </cell>
          <cell r="N110">
            <v>155.3784482384853</v>
          </cell>
          <cell r="O110" t="str">
            <v>工业</v>
          </cell>
          <cell r="P110" t="str">
            <v>运输</v>
          </cell>
          <cell r="Q110" t="str">
            <v>交通基础设施</v>
          </cell>
          <cell r="BC110">
            <v>-1.1345218800648345E-2</v>
          </cell>
          <cell r="BD110">
            <v>-9.8966026587887737E-2</v>
          </cell>
          <cell r="BE110">
            <v>-8.8466725525243716E-3</v>
          </cell>
          <cell r="BF110">
            <v>0.31760400772094727</v>
          </cell>
          <cell r="BG110">
            <v>0.12439200401306152</v>
          </cell>
        </row>
        <row r="111">
          <cell r="D111" t="str">
            <v>投资银行业与经纪业</v>
          </cell>
          <cell r="M111">
            <v>1216.95441912</v>
          </cell>
          <cell r="N111">
            <v>1346.6588518438434</v>
          </cell>
          <cell r="O111" t="str">
            <v>金融</v>
          </cell>
          <cell r="P111" t="str">
            <v>多元金融</v>
          </cell>
          <cell r="Q111" t="str">
            <v>资本市场</v>
          </cell>
          <cell r="BC111">
            <v>3.914373088684997E-2</v>
          </cell>
          <cell r="BD111">
            <v>9.0500641848523647E-2</v>
          </cell>
          <cell r="BE111">
            <v>-0.34724322089060988</v>
          </cell>
          <cell r="BF111">
            <v>0.50846401214599612</v>
          </cell>
          <cell r="BG111">
            <v>0.13429200172424316</v>
          </cell>
        </row>
        <row r="112">
          <cell r="D112" t="str">
            <v>农产品</v>
          </cell>
          <cell r="M112">
            <v>229.88362534200002</v>
          </cell>
          <cell r="N112">
            <v>254.00489431454255</v>
          </cell>
          <cell r="O112" t="str">
            <v>日常消费</v>
          </cell>
          <cell r="P112" t="str">
            <v>食品、饮料与烟草</v>
          </cell>
          <cell r="Q112" t="str">
            <v>食品</v>
          </cell>
          <cell r="BC112">
            <v>2.5784753363228746E-2</v>
          </cell>
          <cell r="BD112">
            <v>-1.0275824770145903E-2</v>
          </cell>
          <cell r="BE112">
            <v>-0.15225930698395257</v>
          </cell>
          <cell r="BF112">
            <v>0.26487600326538085</v>
          </cell>
          <cell r="BG112">
            <v>0.14188799858093262</v>
          </cell>
        </row>
        <row r="113">
          <cell r="D113" t="str">
            <v>化肥与农用化工</v>
          </cell>
          <cell r="M113">
            <v>117.84450849999999</v>
          </cell>
          <cell r="N113">
            <v>130.09876550021843</v>
          </cell>
          <cell r="O113" t="str">
            <v>材料</v>
          </cell>
          <cell r="P113" t="str">
            <v>材料Ⅱ</v>
          </cell>
          <cell r="Q113" t="str">
            <v>化工</v>
          </cell>
          <cell r="BC113">
            <v>-8.1300813008142788E-4</v>
          </cell>
          <cell r="BD113">
            <v>4.1525423728813425E-2</v>
          </cell>
          <cell r="BE113">
            <v>-1.0215381674008575E-3</v>
          </cell>
          <cell r="BF113">
            <v>0.38066398620605468</v>
          </cell>
          <cell r="BG113">
            <v>8.7491998672485347E-2</v>
          </cell>
        </row>
        <row r="114">
          <cell r="D114" t="str">
            <v>化肥与农用化工</v>
          </cell>
          <cell r="M114">
            <v>65.995254007699998</v>
          </cell>
          <cell r="N114">
            <v>72.765513327890872</v>
          </cell>
          <cell r="O114" t="str">
            <v>材料</v>
          </cell>
          <cell r="P114" t="str">
            <v>材料Ⅱ</v>
          </cell>
          <cell r="Q114" t="str">
            <v>化工</v>
          </cell>
          <cell r="BC114">
            <v>-8.6299892125134923E-3</v>
          </cell>
          <cell r="BD114">
            <v>-3.4663865546218496E-2</v>
          </cell>
          <cell r="BE114">
            <v>-0.34357142857142858</v>
          </cell>
          <cell r="BF114">
            <v>0.42530399322509765</v>
          </cell>
          <cell r="BG114">
            <v>0.141899995803833</v>
          </cell>
        </row>
        <row r="115">
          <cell r="D115" t="str">
            <v>建材</v>
          </cell>
          <cell r="M115">
            <v>95.191199999999995</v>
          </cell>
          <cell r="N115">
            <v>104.93703012437777</v>
          </cell>
          <cell r="O115" t="str">
            <v>材料</v>
          </cell>
          <cell r="P115" t="str">
            <v>材料Ⅱ</v>
          </cell>
          <cell r="Q115" t="str">
            <v>建材Ⅲ</v>
          </cell>
          <cell r="BC115">
            <v>-1.070038910505831E-2</v>
          </cell>
          <cell r="BD115">
            <v>9.9304865938430621E-3</v>
          </cell>
          <cell r="BE115">
            <v>-0.36067491940140628</v>
          </cell>
          <cell r="BF115">
            <v>0.2628000068664551</v>
          </cell>
          <cell r="BG115">
            <v>0.16506000518798827</v>
          </cell>
        </row>
        <row r="116">
          <cell r="D116" t="str">
            <v>多元化银行</v>
          </cell>
          <cell r="M116">
            <v>2926.3008350654004</v>
          </cell>
          <cell r="N116">
            <v>3222.8582544117066</v>
          </cell>
          <cell r="O116" t="str">
            <v>金融</v>
          </cell>
          <cell r="P116" t="str">
            <v>银行</v>
          </cell>
          <cell r="Q116" t="str">
            <v>商业银行</v>
          </cell>
          <cell r="BC116">
            <v>-3.3333333333332624E-3</v>
          </cell>
          <cell r="BD116">
            <v>4.9122807017543901E-2</v>
          </cell>
          <cell r="BE116">
            <v>-0.17289073305670816</v>
          </cell>
          <cell r="BF116">
            <v>0.13331999778747558</v>
          </cell>
          <cell r="BG116">
            <v>0.11362799644470215</v>
          </cell>
        </row>
        <row r="117">
          <cell r="D117" t="str">
            <v>电子元件</v>
          </cell>
          <cell r="M117">
            <v>81.449999999999989</v>
          </cell>
          <cell r="N117">
            <v>89.258150749708321</v>
          </cell>
          <cell r="O117" t="str">
            <v>信息技术</v>
          </cell>
          <cell r="P117" t="str">
            <v>技术硬件与设备</v>
          </cell>
          <cell r="Q117" t="str">
            <v>电子设备、仪器和元件</v>
          </cell>
          <cell r="BC117">
            <v>5.1832654572379492E-3</v>
          </cell>
          <cell r="BD117">
            <v>-3.4838250977603999E-2</v>
          </cell>
          <cell r="BE117">
            <v>0</v>
          </cell>
          <cell r="BF117">
            <v>0</v>
          </cell>
          <cell r="BG117">
            <v>0</v>
          </cell>
        </row>
        <row r="118">
          <cell r="D118" t="str">
            <v>投资银行业与经纪业</v>
          </cell>
          <cell r="M118">
            <v>195.77600000000004</v>
          </cell>
          <cell r="N118">
            <v>212.34819271204199</v>
          </cell>
          <cell r="O118" t="str">
            <v>金融</v>
          </cell>
          <cell r="P118" t="str">
            <v>多元金融</v>
          </cell>
          <cell r="Q118" t="str">
            <v>资本市场</v>
          </cell>
          <cell r="BC118">
            <v>6.6894531250000042E-2</v>
          </cell>
          <cell r="BD118">
            <v>-5.2060737527114938E-2</v>
          </cell>
          <cell r="BE118">
            <v>-0.43280465750846986</v>
          </cell>
          <cell r="BF118">
            <v>0.26014799118041992</v>
          </cell>
          <cell r="BG118">
            <v>0.27464399337768552</v>
          </cell>
        </row>
        <row r="119">
          <cell r="D119" t="str">
            <v>综合类行业</v>
          </cell>
          <cell r="M119">
            <v>275.85352194960001</v>
          </cell>
          <cell r="N119">
            <v>298.27583732226896</v>
          </cell>
          <cell r="O119" t="str">
            <v>工业</v>
          </cell>
          <cell r="P119" t="str">
            <v>资本货物</v>
          </cell>
          <cell r="Q119" t="str">
            <v>综合类Ⅲ</v>
          </cell>
          <cell r="BC119">
            <v>-8.1833060556465963E-3</v>
          </cell>
          <cell r="BD119">
            <v>-8.1833060556465963E-3</v>
          </cell>
          <cell r="BE119">
            <v>-0.20768868017786954</v>
          </cell>
          <cell r="BF119">
            <v>0.22023599624633788</v>
          </cell>
          <cell r="BG119">
            <v>8.4659996032714846E-2</v>
          </cell>
        </row>
        <row r="120">
          <cell r="D120" t="str">
            <v>多元化银行</v>
          </cell>
          <cell r="M120">
            <v>3316.5182015567998</v>
          </cell>
          <cell r="N120">
            <v>3581.7209324493142</v>
          </cell>
          <cell r="O120" t="str">
            <v>金融</v>
          </cell>
          <cell r="P120" t="str">
            <v>银行</v>
          </cell>
          <cell r="Q120" t="str">
            <v>商业银行</v>
          </cell>
          <cell r="BC120">
            <v>-4.3811610076671323E-3</v>
          </cell>
          <cell r="BD120">
            <v>7.8608190722486329E-2</v>
          </cell>
          <cell r="BE120">
            <v>-1.9914849992273914E-2</v>
          </cell>
          <cell r="BF120">
            <v>0.2379599952697754</v>
          </cell>
          <cell r="BG120">
            <v>0.22636800765991211</v>
          </cell>
        </row>
        <row r="121">
          <cell r="D121" t="str">
            <v>家用电器</v>
          </cell>
          <cell r="M121">
            <v>216.01173</v>
          </cell>
          <cell r="N121">
            <v>232.82321992237087</v>
          </cell>
          <cell r="O121" t="str">
            <v>可选消费</v>
          </cell>
          <cell r="P121" t="str">
            <v>耐用消费品与服装</v>
          </cell>
          <cell r="Q121" t="str">
            <v>家庭耐用消费品</v>
          </cell>
          <cell r="BC121">
            <v>-3.1808278867102413E-2</v>
          </cell>
          <cell r="BD121">
            <v>2.16091954022988E-2</v>
          </cell>
          <cell r="BE121">
            <v>0.48686150590968419</v>
          </cell>
          <cell r="BF121">
            <v>0.48026401519775391</v>
          </cell>
          <cell r="BG121">
            <v>0.32690399169921874</v>
          </cell>
        </row>
        <row r="122">
          <cell r="D122" t="str">
            <v>西药</v>
          </cell>
          <cell r="M122">
            <v>294.55810560000003</v>
          </cell>
          <cell r="N122">
            <v>316.80537152601249</v>
          </cell>
          <cell r="O122" t="str">
            <v>医疗保健</v>
          </cell>
          <cell r="P122" t="str">
            <v>制药、生物科技与生命科学</v>
          </cell>
          <cell r="Q122" t="str">
            <v>制药</v>
          </cell>
          <cell r="BC122">
            <v>-9.1484869809993503E-3</v>
          </cell>
          <cell r="BD122">
            <v>1.660649819494588E-2</v>
          </cell>
          <cell r="BE122">
            <v>5.530230502184097E-2</v>
          </cell>
          <cell r="BF122">
            <v>0.23179199218749999</v>
          </cell>
          <cell r="BG122">
            <v>0.19687200546264649</v>
          </cell>
        </row>
        <row r="123">
          <cell r="D123" t="str">
            <v>投资银行业与经纪业</v>
          </cell>
          <cell r="M123">
            <v>479.46348224579998</v>
          </cell>
          <cell r="N123">
            <v>515.13439487443634</v>
          </cell>
          <cell r="O123" t="str">
            <v>金融</v>
          </cell>
          <cell r="P123" t="str">
            <v>多元金融</v>
          </cell>
          <cell r="Q123" t="str">
            <v>资本市场</v>
          </cell>
          <cell r="BC123">
            <v>5.3124999999999978E-2</v>
          </cell>
          <cell r="BD123">
            <v>4.8755186721991584E-2</v>
          </cell>
          <cell r="BE123">
            <v>-0.34537551174831954</v>
          </cell>
          <cell r="BF123">
            <v>0.56408401489257809</v>
          </cell>
          <cell r="BG123">
            <v>0.19742399215698242</v>
          </cell>
        </row>
        <row r="124">
          <cell r="D124" t="str">
            <v>通信设备</v>
          </cell>
          <cell r="M124">
            <v>535.33730338420003</v>
          </cell>
          <cell r="N124">
            <v>575.10162733255811</v>
          </cell>
          <cell r="O124" t="str">
            <v>信息技术</v>
          </cell>
          <cell r="P124" t="str">
            <v>技术硬件与设备</v>
          </cell>
          <cell r="Q124" t="str">
            <v>通信设备Ⅲ</v>
          </cell>
          <cell r="BC124">
            <v>0</v>
          </cell>
          <cell r="BD124">
            <v>0</v>
          </cell>
          <cell r="BE124">
            <v>-0.61278501611026437</v>
          </cell>
          <cell r="BF124">
            <v>0.22469999313354491</v>
          </cell>
          <cell r="BG124">
            <v>0.192731990814209</v>
          </cell>
        </row>
        <row r="125">
          <cell r="D125" t="str">
            <v>工业机械</v>
          </cell>
          <cell r="M125">
            <v>103.33015734760002</v>
          </cell>
          <cell r="N125">
            <v>110.63805325998992</v>
          </cell>
          <cell r="O125" t="str">
            <v>工业</v>
          </cell>
          <cell r="P125" t="str">
            <v>资本货物</v>
          </cell>
          <cell r="Q125" t="str">
            <v>机械</v>
          </cell>
          <cell r="BC125">
            <v>5.5849056603773602E-2</v>
          </cell>
          <cell r="BD125">
            <v>1.4316392269147868E-3</v>
          </cell>
          <cell r="BE125">
            <v>-9.6101861217532641E-2</v>
          </cell>
          <cell r="BF125">
            <v>0.48262798309326171</v>
          </cell>
          <cell r="BG125">
            <v>0.25760400772094727</v>
          </cell>
        </row>
        <row r="126">
          <cell r="D126" t="str">
            <v>啤酒</v>
          </cell>
          <cell r="M126">
            <v>23.220750000000002</v>
          </cell>
          <cell r="N126">
            <v>24.74709983820398</v>
          </cell>
          <cell r="O126" t="str">
            <v>日常消费</v>
          </cell>
          <cell r="P126" t="str">
            <v>食品、饮料与烟草</v>
          </cell>
          <cell r="Q126" t="str">
            <v>饮料</v>
          </cell>
          <cell r="BC126">
            <v>0</v>
          </cell>
          <cell r="BD126">
            <v>0</v>
          </cell>
          <cell r="BE126">
            <v>-4.141104294478521E-2</v>
          </cell>
          <cell r="BF126">
            <v>0.32163600921630858</v>
          </cell>
          <cell r="BG126">
            <v>7.7016000747680669E-2</v>
          </cell>
        </row>
        <row r="127">
          <cell r="D127" t="str">
            <v>特种化工</v>
          </cell>
          <cell r="M127">
            <v>147.18730000000002</v>
          </cell>
          <cell r="N127">
            <v>156.79616868218</v>
          </cell>
          <cell r="O127" t="str">
            <v>材料</v>
          </cell>
          <cell r="P127" t="str">
            <v>材料Ⅱ</v>
          </cell>
          <cell r="Q127" t="str">
            <v>化工</v>
          </cell>
          <cell r="BC127">
            <v>-2.8354430379746772E-2</v>
          </cell>
          <cell r="BD127">
            <v>0.20843828715365242</v>
          </cell>
          <cell r="BE127">
            <v>-0.29653375278426319</v>
          </cell>
          <cell r="BF127">
            <v>-2.5067999362945556E-2</v>
          </cell>
          <cell r="BG127">
            <v>0.13439999580383299</v>
          </cell>
        </row>
        <row r="128">
          <cell r="D128" t="str">
            <v>区域性银行</v>
          </cell>
          <cell r="M128">
            <v>526.08222152690007</v>
          </cell>
          <cell r="N128">
            <v>559.03345919083836</v>
          </cell>
          <cell r="O128" t="str">
            <v>金融</v>
          </cell>
          <cell r="P128" t="str">
            <v>银行</v>
          </cell>
          <cell r="Q128" t="str">
            <v>商业银行</v>
          </cell>
          <cell r="BC128">
            <v>1.0486891385767833E-2</v>
          </cell>
          <cell r="BD128">
            <v>5.3083528493364535E-2</v>
          </cell>
          <cell r="BE128">
            <v>-8.9212335388460018E-2</v>
          </cell>
          <cell r="BF128">
            <v>0.36262798309326172</v>
          </cell>
          <cell r="BG128">
            <v>0.11027999877929688</v>
          </cell>
        </row>
        <row r="129">
          <cell r="D129" t="str">
            <v>投资银行业与经纪业</v>
          </cell>
          <cell r="M129">
            <v>1317.7932794598998</v>
          </cell>
          <cell r="N129">
            <v>1398.414011750175</v>
          </cell>
          <cell r="O129" t="str">
            <v>金融</v>
          </cell>
          <cell r="P129" t="str">
            <v>多元金融</v>
          </cell>
          <cell r="Q129" t="str">
            <v>资本市场</v>
          </cell>
          <cell r="BC129">
            <v>5.7210965435041554E-2</v>
          </cell>
          <cell r="BD129">
            <v>5.7210965435041554E-2</v>
          </cell>
          <cell r="BE129">
            <v>-0.48460197559558404</v>
          </cell>
          <cell r="BF129">
            <v>0</v>
          </cell>
          <cell r="BG129">
            <v>0</v>
          </cell>
        </row>
        <row r="130">
          <cell r="D130" t="str">
            <v>家庭装饰品</v>
          </cell>
          <cell r="M130">
            <v>58.117499999999993</v>
          </cell>
          <cell r="N130">
            <v>61.488818468275454</v>
          </cell>
          <cell r="O130" t="str">
            <v>可选消费</v>
          </cell>
          <cell r="P130" t="str">
            <v>耐用消费品与服装</v>
          </cell>
          <cell r="Q130" t="str">
            <v>家庭耐用消费品</v>
          </cell>
          <cell r="BC130">
            <v>7.8947368421052502E-2</v>
          </cell>
          <cell r="BD130">
            <v>4.2372881355932208E-2</v>
          </cell>
          <cell r="BE130">
            <v>-5.4171180931752777E-4</v>
          </cell>
          <cell r="BF130">
            <v>0.35310001373291017</v>
          </cell>
          <cell r="BG130">
            <v>0</v>
          </cell>
        </row>
        <row r="131">
          <cell r="D131" t="str">
            <v>投资银行业与经纪业</v>
          </cell>
          <cell r="M131">
            <v>650.33601020500009</v>
          </cell>
          <cell r="N131">
            <v>688.01334815509551</v>
          </cell>
          <cell r="O131" t="str">
            <v>金融</v>
          </cell>
          <cell r="P131" t="str">
            <v>多元金融</v>
          </cell>
          <cell r="Q131" t="str">
            <v>资本市场</v>
          </cell>
          <cell r="BC131">
            <v>5.473965287049401E-2</v>
          </cell>
          <cell r="BD131">
            <v>9.1160220994475155E-2</v>
          </cell>
          <cell r="BE131">
            <v>-0.42712110224800576</v>
          </cell>
          <cell r="BF131">
            <v>0.25725599288940432</v>
          </cell>
          <cell r="BG131">
            <v>0</v>
          </cell>
        </row>
        <row r="132">
          <cell r="D132" t="str">
            <v>生物科技</v>
          </cell>
          <cell r="M132">
            <v>179.524878124</v>
          </cell>
          <cell r="N132">
            <v>189.77045426411419</v>
          </cell>
          <cell r="O132" t="str">
            <v>医疗保健</v>
          </cell>
          <cell r="P132" t="str">
            <v>制药、生物科技与生命科学</v>
          </cell>
          <cell r="Q132" t="str">
            <v>生物科技Ⅲ</v>
          </cell>
          <cell r="BC132">
            <v>2.8799999999999954E-3</v>
          </cell>
          <cell r="BD132">
            <v>0.11055988660524455</v>
          </cell>
          <cell r="BE132">
            <v>0.11011122661912513</v>
          </cell>
          <cell r="BF132">
            <v>0.47252399444580079</v>
          </cell>
          <cell r="BG132">
            <v>0.37766399383544924</v>
          </cell>
        </row>
        <row r="133">
          <cell r="D133" t="str">
            <v>环境与设施服务</v>
          </cell>
          <cell r="M133">
            <v>239.12064000000004</v>
          </cell>
          <cell r="N133">
            <v>252.60243811421836</v>
          </cell>
          <cell r="O133" t="str">
            <v>工业</v>
          </cell>
          <cell r="P133" t="str">
            <v>商业和专业服务</v>
          </cell>
          <cell r="Q133" t="str">
            <v>商业服务与用品</v>
          </cell>
          <cell r="BC133">
            <v>0</v>
          </cell>
          <cell r="BD133">
            <v>0</v>
          </cell>
          <cell r="BE133">
            <v>0.30440739231195285</v>
          </cell>
          <cell r="BF133">
            <v>0.43825199127197267</v>
          </cell>
          <cell r="BG133">
            <v>0</v>
          </cell>
        </row>
        <row r="134">
          <cell r="D134" t="str">
            <v>电气部件与设备</v>
          </cell>
          <cell r="M134">
            <v>256.01227315949995</v>
          </cell>
          <cell r="N134">
            <v>270.04231794994791</v>
          </cell>
          <cell r="O134" t="str">
            <v>工业</v>
          </cell>
          <cell r="P134" t="str">
            <v>资本货物</v>
          </cell>
          <cell r="Q134" t="str">
            <v>电气设备</v>
          </cell>
          <cell r="BC134">
            <v>-3.0721966205838336E-3</v>
          </cell>
          <cell r="BD134">
            <v>-4.5588235294117638E-2</v>
          </cell>
          <cell r="BE134">
            <v>-0.33433893684186577</v>
          </cell>
          <cell r="BF134">
            <v>2.1215999126434328E-2</v>
          </cell>
          <cell r="BG134">
            <v>9.6479997634887696E-2</v>
          </cell>
        </row>
        <row r="135">
          <cell r="D135" t="str">
            <v>农产品</v>
          </cell>
          <cell r="M135">
            <v>129.36000000000001</v>
          </cell>
          <cell r="N135">
            <v>136.38727842607102</v>
          </cell>
          <cell r="O135" t="str">
            <v>日常消费</v>
          </cell>
          <cell r="P135" t="str">
            <v>食品、饮料与烟草</v>
          </cell>
          <cell r="Q135" t="str">
            <v>食品</v>
          </cell>
          <cell r="BC135">
            <v>6.6763425253991288E-2</v>
          </cell>
          <cell r="BD135">
            <v>2.6536312849161942E-2</v>
          </cell>
          <cell r="BE135">
            <v>-4.5227113805348475E-2</v>
          </cell>
          <cell r="BF135">
            <v>0.10287599563598633</v>
          </cell>
          <cell r="BG135">
            <v>7.8443999290466304E-2</v>
          </cell>
        </row>
        <row r="136">
          <cell r="D136" t="str">
            <v>建筑与工程</v>
          </cell>
          <cell r="M136">
            <v>1722</v>
          </cell>
          <cell r="N136">
            <v>1814.7161689891977</v>
          </cell>
          <cell r="O136" t="str">
            <v>工业</v>
          </cell>
          <cell r="P136" t="str">
            <v>资本货物</v>
          </cell>
          <cell r="Q136" t="str">
            <v>建筑与工程Ⅲ</v>
          </cell>
          <cell r="BC136">
            <v>-6.9204152249135011E-3</v>
          </cell>
          <cell r="BD136">
            <v>5.321100917431193E-2</v>
          </cell>
          <cell r="BE136">
            <v>-0.16650141143050431</v>
          </cell>
          <cell r="BF136">
            <v>0.52826400756835934</v>
          </cell>
          <cell r="BG136">
            <v>0.19207199096679686</v>
          </cell>
        </row>
        <row r="137">
          <cell r="D137" t="str">
            <v>西药</v>
          </cell>
          <cell r="M137">
            <v>84.371216951999997</v>
          </cell>
          <cell r="N137">
            <v>88.776788069272101</v>
          </cell>
          <cell r="O137" t="str">
            <v>医疗保健</v>
          </cell>
          <cell r="P137" t="str">
            <v>制药、生物科技与生命科学</v>
          </cell>
          <cell r="Q137" t="str">
            <v>制药</v>
          </cell>
          <cell r="BC137">
            <v>2.3255813953488289E-2</v>
          </cell>
          <cell r="BD137">
            <v>-5.0701186623516727E-2</v>
          </cell>
          <cell r="BE137">
            <v>0.22899733442345208</v>
          </cell>
          <cell r="BF137">
            <v>0.276648006439209</v>
          </cell>
          <cell r="BG137">
            <v>0.27965999603271485</v>
          </cell>
        </row>
        <row r="138">
          <cell r="D138" t="str">
            <v>房地产开发</v>
          </cell>
          <cell r="M138">
            <v>260.53438574350002</v>
          </cell>
          <cell r="N138">
            <v>273.53085400275222</v>
          </cell>
          <cell r="O138" t="str">
            <v>金融</v>
          </cell>
          <cell r="P138" t="str">
            <v>房地产</v>
          </cell>
          <cell r="Q138" t="str">
            <v>房地产管理与开发</v>
          </cell>
          <cell r="BC138">
            <v>3.0911901081917253E-3</v>
          </cell>
          <cell r="BD138">
            <v>-1.2176560121765611E-2</v>
          </cell>
          <cell r="BE138">
            <v>-0.18516476011627625</v>
          </cell>
          <cell r="BF138">
            <v>0.52521598815917969</v>
          </cell>
          <cell r="BG138">
            <v>0.35552398681640623</v>
          </cell>
        </row>
        <row r="139">
          <cell r="D139" t="str">
            <v>通信设备</v>
          </cell>
          <cell r="M139">
            <v>122.1617916925</v>
          </cell>
          <cell r="N139">
            <v>127.7892324316267</v>
          </cell>
          <cell r="O139" t="str">
            <v>信息技术</v>
          </cell>
          <cell r="P139" t="str">
            <v>技术硬件与设备</v>
          </cell>
          <cell r="Q139" t="str">
            <v>通信设备Ⅲ</v>
          </cell>
          <cell r="BC139">
            <v>1.7170586039567035E-2</v>
          </cell>
          <cell r="BD139">
            <v>-3.0249110320284746E-2</v>
          </cell>
          <cell r="BE139">
            <v>0.86862499073156718</v>
          </cell>
          <cell r="BF139">
            <v>0.82851600646972656</v>
          </cell>
          <cell r="BG139">
            <v>0.39027599334716795</v>
          </cell>
        </row>
        <row r="140">
          <cell r="D140" t="str">
            <v>金属与玻璃容器</v>
          </cell>
          <cell r="M140">
            <v>234.54121599999999</v>
          </cell>
          <cell r="N140">
            <v>244.96341097744755</v>
          </cell>
          <cell r="O140" t="str">
            <v>材料</v>
          </cell>
          <cell r="P140" t="str">
            <v>材料Ⅱ</v>
          </cell>
          <cell r="Q140" t="str">
            <v>容器与包装</v>
          </cell>
          <cell r="BC140">
            <v>3.0616645105648869E-2</v>
          </cell>
          <cell r="BD140">
            <v>3.9582427142235761E-2</v>
          </cell>
          <cell r="BE140">
            <v>8.472830172477594E-2</v>
          </cell>
          <cell r="BF140">
            <v>0.40722000122070312</v>
          </cell>
          <cell r="BG140">
            <v>0</v>
          </cell>
        </row>
        <row r="141">
          <cell r="D141" t="str">
            <v>媒体Ⅲ</v>
          </cell>
          <cell r="M141">
            <v>787.69893093839994</v>
          </cell>
          <cell r="N141">
            <v>821.4713494021878</v>
          </cell>
          <cell r="O141" t="str">
            <v>可选消费</v>
          </cell>
          <cell r="P141" t="str">
            <v>媒体Ⅱ</v>
          </cell>
          <cell r="Q141" t="str">
            <v>媒体Ⅲ</v>
          </cell>
          <cell r="BC141">
            <v>4.1319444444444367E-2</v>
          </cell>
          <cell r="BD141">
            <v>6.2345023025150478E-2</v>
          </cell>
          <cell r="BE141">
            <v>-0.3972856594203229</v>
          </cell>
          <cell r="BF141">
            <v>-1.5144000053405762E-2</v>
          </cell>
          <cell r="BG141">
            <v>0.30020399093627931</v>
          </cell>
        </row>
        <row r="142">
          <cell r="D142" t="str">
            <v>工业机械</v>
          </cell>
          <cell r="M142">
            <v>238.79657906839995</v>
          </cell>
          <cell r="N142">
            <v>248.85609643399786</v>
          </cell>
          <cell r="O142" t="str">
            <v>工业</v>
          </cell>
          <cell r="P142" t="str">
            <v>资本货物</v>
          </cell>
          <cell r="Q142" t="str">
            <v>机械</v>
          </cell>
          <cell r="BC142">
            <v>-6.3311688311688402E-2</v>
          </cell>
          <cell r="BD142">
            <v>-2.8619528619528756E-2</v>
          </cell>
          <cell r="BE142">
            <v>-0.29865809966090834</v>
          </cell>
          <cell r="BF142">
            <v>0.298439998626709</v>
          </cell>
          <cell r="BG142">
            <v>-5.4479998350143435E-3</v>
          </cell>
        </row>
        <row r="143">
          <cell r="D143" t="str">
            <v>药品零售</v>
          </cell>
          <cell r="M143">
            <v>91.2</v>
          </cell>
          <cell r="N143">
            <v>94.997025945148522</v>
          </cell>
          <cell r="O143" t="str">
            <v>日常消费</v>
          </cell>
          <cell r="P143" t="str">
            <v>食品与主要用品零售Ⅱ</v>
          </cell>
          <cell r="Q143" t="str">
            <v>食品与主要用品零售Ⅲ</v>
          </cell>
          <cell r="BC143">
            <v>1.0996807378502969E-2</v>
          </cell>
          <cell r="BD143">
            <v>-6.6186107470511124E-2</v>
          </cell>
          <cell r="BE143">
            <v>0.14247246015936244</v>
          </cell>
          <cell r="BF143">
            <v>0</v>
          </cell>
          <cell r="BG143">
            <v>0</v>
          </cell>
        </row>
        <row r="144">
          <cell r="D144" t="str">
            <v>投资银行业与经纪业</v>
          </cell>
          <cell r="M144">
            <v>308.85870851850001</v>
          </cell>
          <cell r="N144">
            <v>321.61518361514425</v>
          </cell>
          <cell r="O144" t="str">
            <v>金融</v>
          </cell>
          <cell r="P144" t="str">
            <v>多元金融</v>
          </cell>
          <cell r="Q144" t="str">
            <v>资本市场</v>
          </cell>
          <cell r="BC144">
            <v>0.15320041972717743</v>
          </cell>
          <cell r="BD144">
            <v>0.14598540145985406</v>
          </cell>
          <cell r="BE144">
            <v>-0.38854164240812156</v>
          </cell>
          <cell r="BF144">
            <v>3.219599962234497E-2</v>
          </cell>
          <cell r="BG144">
            <v>0.86767196655273438</v>
          </cell>
        </row>
        <row r="145">
          <cell r="D145" t="str">
            <v>工业机械</v>
          </cell>
          <cell r="M145">
            <v>226.74130458360003</v>
          </cell>
          <cell r="N145">
            <v>235.41443240443425</v>
          </cell>
          <cell r="O145" t="str">
            <v>工业</v>
          </cell>
          <cell r="P145" t="str">
            <v>资本货物</v>
          </cell>
          <cell r="Q145" t="str">
            <v>机械</v>
          </cell>
          <cell r="BC145">
            <v>9.5628415300546832E-3</v>
          </cell>
          <cell r="BD145">
            <v>-4.80893087161871E-2</v>
          </cell>
          <cell r="BE145">
            <v>-0.11156770550067942</v>
          </cell>
          <cell r="BF145">
            <v>0.11473199844360352</v>
          </cell>
          <cell r="BG145">
            <v>0.17348400115966797</v>
          </cell>
        </row>
        <row r="146">
          <cell r="D146" t="str">
            <v>中药</v>
          </cell>
          <cell r="M146">
            <v>60.065873999999994</v>
          </cell>
          <cell r="N146">
            <v>62.343694532868746</v>
          </cell>
          <cell r="O146" t="str">
            <v>医疗保健</v>
          </cell>
          <cell r="P146" t="str">
            <v>制药、生物科技与生命科学</v>
          </cell>
          <cell r="Q146" t="str">
            <v>制药</v>
          </cell>
          <cell r="BC146">
            <v>1.2026458208057472E-3</v>
          </cell>
          <cell r="BD146">
            <v>-3.9792387543252671E-2</v>
          </cell>
          <cell r="BE146">
            <v>-0.53737149208113366</v>
          </cell>
          <cell r="BF146">
            <v>0.81468002319335941</v>
          </cell>
          <cell r="BG146">
            <v>0.36968399047851563</v>
          </cell>
        </row>
        <row r="147">
          <cell r="D147" t="str">
            <v>基础化工</v>
          </cell>
          <cell r="M147">
            <v>532.65269985300006</v>
          </cell>
          <cell r="N147">
            <v>552.08600240010196</v>
          </cell>
          <cell r="O147" t="str">
            <v>材料</v>
          </cell>
          <cell r="P147" t="str">
            <v>材料Ⅱ</v>
          </cell>
          <cell r="Q147" t="str">
            <v>化工</v>
          </cell>
          <cell r="BC147">
            <v>2.3153942428035104E-2</v>
          </cell>
          <cell r="BD147">
            <v>-9.116175653140618E-2</v>
          </cell>
          <cell r="BE147">
            <v>0.81703651373475883</v>
          </cell>
          <cell r="BF147">
            <v>0.43138801574707031</v>
          </cell>
          <cell r="BG147">
            <v>0.19955999374389649</v>
          </cell>
        </row>
        <row r="148">
          <cell r="D148" t="str">
            <v>西药</v>
          </cell>
          <cell r="M148">
            <v>57.830880000000001</v>
          </cell>
          <cell r="N148">
            <v>59.925042686898898</v>
          </cell>
          <cell r="O148" t="str">
            <v>医疗保健</v>
          </cell>
          <cell r="P148" t="str">
            <v>制药、生物科技与生命科学</v>
          </cell>
          <cell r="Q148" t="str">
            <v>制药</v>
          </cell>
          <cell r="BC148">
            <v>6.2325581395348828E-2</v>
          </cell>
          <cell r="BD148">
            <v>-0.10711493354182949</v>
          </cell>
          <cell r="BE148">
            <v>0.18519766343101254</v>
          </cell>
          <cell r="BF148">
            <v>0.8019000244140625</v>
          </cell>
          <cell r="BG148">
            <v>0</v>
          </cell>
        </row>
        <row r="149">
          <cell r="D149" t="str">
            <v>药品零售</v>
          </cell>
          <cell r="M149">
            <v>331.73472696000005</v>
          </cell>
          <cell r="N149">
            <v>343.73878612771813</v>
          </cell>
          <cell r="O149" t="str">
            <v>日常消费</v>
          </cell>
          <cell r="P149" t="str">
            <v>食品与主要用品零售Ⅱ</v>
          </cell>
          <cell r="Q149" t="str">
            <v>食品与主要用品零售Ⅲ</v>
          </cell>
          <cell r="BC149">
            <v>-3.5472018089316069E-2</v>
          </cell>
          <cell r="BD149">
            <v>-3.506291531174896E-2</v>
          </cell>
          <cell r="BE149">
            <v>8.2063277722869532E-2</v>
          </cell>
          <cell r="BF149">
            <v>0.25263599395751951</v>
          </cell>
          <cell r="BG149">
            <v>0.20370000839233399</v>
          </cell>
        </row>
        <row r="150">
          <cell r="D150" t="str">
            <v>区域性银行</v>
          </cell>
          <cell r="M150">
            <v>1277.3607574896</v>
          </cell>
          <cell r="N150">
            <v>1323.5615785320956</v>
          </cell>
          <cell r="O150" t="str">
            <v>金融</v>
          </cell>
          <cell r="P150" t="str">
            <v>银行</v>
          </cell>
          <cell r="Q150" t="str">
            <v>商业银行</v>
          </cell>
          <cell r="BC150">
            <v>-1.658536585365853E-2</v>
          </cell>
          <cell r="BD150">
            <v>6.3291139240506292E-2</v>
          </cell>
          <cell r="BE150">
            <v>0.13423517993131254</v>
          </cell>
          <cell r="BF150">
            <v>0.36542400360107424</v>
          </cell>
          <cell r="BG150">
            <v>0.13727999687194825</v>
          </cell>
        </row>
        <row r="151">
          <cell r="D151" t="str">
            <v>建筑与工程</v>
          </cell>
          <cell r="M151">
            <v>80.25600616509999</v>
          </cell>
          <cell r="N151">
            <v>82.915478810959499</v>
          </cell>
          <cell r="O151" t="str">
            <v>工业</v>
          </cell>
          <cell r="P151" t="str">
            <v>资本货物</v>
          </cell>
          <cell r="Q151" t="str">
            <v>建筑与工程Ⅲ</v>
          </cell>
          <cell r="BC151">
            <v>1.0517799352750873E-2</v>
          </cell>
          <cell r="BD151">
            <v>-0.10976478973627934</v>
          </cell>
          <cell r="BE151">
            <v>-0.19523195876288657</v>
          </cell>
          <cell r="BF151">
            <v>0.27145200729370117</v>
          </cell>
          <cell r="BG151">
            <v>5.9172000885009762E-2</v>
          </cell>
        </row>
        <row r="152">
          <cell r="D152" t="str">
            <v>电力</v>
          </cell>
          <cell r="M152">
            <v>87.580259942399991</v>
          </cell>
          <cell r="N152">
            <v>90.205967436347493</v>
          </cell>
          <cell r="O152" t="str">
            <v>公用事业</v>
          </cell>
          <cell r="P152" t="str">
            <v>公用事业Ⅱ</v>
          </cell>
          <cell r="Q152" t="str">
            <v>电力Ⅲ</v>
          </cell>
          <cell r="BC152">
            <v>3.0181086519114761E-2</v>
          </cell>
          <cell r="BD152">
            <v>4.9180327868852507E-2</v>
          </cell>
          <cell r="BE152">
            <v>-0.2248296744890235</v>
          </cell>
          <cell r="BF152">
            <v>0.2570639991760254</v>
          </cell>
          <cell r="BG152">
            <v>0.25568399429321287</v>
          </cell>
        </row>
        <row r="153">
          <cell r="D153" t="str">
            <v>食品加工与肉类</v>
          </cell>
          <cell r="M153">
            <v>664.13457560639995</v>
          </cell>
          <cell r="N153">
            <v>683.08525438377478</v>
          </cell>
          <cell r="O153" t="str">
            <v>日常消费</v>
          </cell>
          <cell r="P153" t="str">
            <v>食品、饮料与烟草</v>
          </cell>
          <cell r="Q153" t="str">
            <v>食品</v>
          </cell>
          <cell r="BC153">
            <v>-5.9288537549405853E-3</v>
          </cell>
          <cell r="BD153">
            <v>8.4051724137931161E-2</v>
          </cell>
          <cell r="BE153">
            <v>-0.14419576721850222</v>
          </cell>
          <cell r="BF153">
            <v>-0.1672800064086914</v>
          </cell>
          <cell r="BG153">
            <v>-2.9604001045227049E-2</v>
          </cell>
        </row>
        <row r="154">
          <cell r="D154" t="str">
            <v>重型电气设备</v>
          </cell>
          <cell r="M154">
            <v>87.978700000000003</v>
          </cell>
          <cell r="N154">
            <v>90.38636097258501</v>
          </cell>
          <cell r="O154" t="str">
            <v>工业</v>
          </cell>
          <cell r="P154" t="str">
            <v>资本货物</v>
          </cell>
          <cell r="Q154" t="str">
            <v>电气设备</v>
          </cell>
          <cell r="BC154">
            <v>-7.4280408542247052E-3</v>
          </cell>
          <cell r="BD154">
            <v>2.8142589118198276E-3</v>
          </cell>
          <cell r="BE154">
            <v>0.19442364077465532</v>
          </cell>
          <cell r="BF154">
            <v>0.29727600097656248</v>
          </cell>
          <cell r="BG154">
            <v>0.20993999481201173</v>
          </cell>
        </row>
        <row r="155">
          <cell r="D155" t="str">
            <v>基础化工</v>
          </cell>
          <cell r="M155">
            <v>69.417000000000002</v>
          </cell>
          <cell r="N155">
            <v>71.138870001546721</v>
          </cell>
          <cell r="O155" t="str">
            <v>材料</v>
          </cell>
          <cell r="P155" t="str">
            <v>材料Ⅱ</v>
          </cell>
          <cell r="Q155" t="str">
            <v>化工</v>
          </cell>
          <cell r="BC155">
            <v>1.2204724409448909E-2</v>
          </cell>
          <cell r="BD155">
            <v>-2.7977315689981037E-2</v>
          </cell>
          <cell r="BE155">
            <v>-0.22108472035191046</v>
          </cell>
          <cell r="BF155">
            <v>0.35617198944091799</v>
          </cell>
          <cell r="BG155">
            <v>0.12232799530029297</v>
          </cell>
        </row>
        <row r="156">
          <cell r="D156" t="str">
            <v>基础化工</v>
          </cell>
          <cell r="M156">
            <v>117.29970174100001</v>
          </cell>
          <cell r="N156">
            <v>120.0587249837738</v>
          </cell>
          <cell r="O156" t="str">
            <v>材料</v>
          </cell>
          <cell r="P156" t="str">
            <v>材料Ⅱ</v>
          </cell>
          <cell r="Q156" t="str">
            <v>化工</v>
          </cell>
          <cell r="BC156">
            <v>-9.1678420310295494E-3</v>
          </cell>
          <cell r="BD156">
            <v>-6.145624582498329E-2</v>
          </cell>
          <cell r="BE156">
            <v>-0.25189634041948189</v>
          </cell>
          <cell r="BF156">
            <v>6.6887998580932612E-2</v>
          </cell>
          <cell r="BG156">
            <v>5.290800094604492E-2</v>
          </cell>
        </row>
        <row r="157">
          <cell r="D157" t="str">
            <v>基础化工</v>
          </cell>
          <cell r="M157">
            <v>114.95999896879999</v>
          </cell>
          <cell r="N157">
            <v>117.34158510465674</v>
          </cell>
          <cell r="O157" t="str">
            <v>材料</v>
          </cell>
          <cell r="P157" t="str">
            <v>材料Ⅱ</v>
          </cell>
          <cell r="Q157" t="str">
            <v>化工</v>
          </cell>
          <cell r="BC157">
            <v>-2.8392958546280926E-3</v>
          </cell>
          <cell r="BD157">
            <v>-6.4962726304579471E-2</v>
          </cell>
          <cell r="BE157">
            <v>0.48517001852132363</v>
          </cell>
          <cell r="BF157">
            <v>0.66969596862792968</v>
          </cell>
          <cell r="BG157">
            <v>0.36754798889160156</v>
          </cell>
        </row>
        <row r="158">
          <cell r="D158" t="str">
            <v>电子设备和仪器</v>
          </cell>
          <cell r="M158">
            <v>118.90237668180001</v>
          </cell>
          <cell r="N158">
            <v>121.2756702680489</v>
          </cell>
          <cell r="O158" t="str">
            <v>信息技术</v>
          </cell>
          <cell r="P158" t="str">
            <v>技术硬件与设备</v>
          </cell>
          <cell r="Q158" t="str">
            <v>电子设备、仪器和元件</v>
          </cell>
          <cell r="BC158">
            <v>-2.0689655172413351E-3</v>
          </cell>
          <cell r="BD158">
            <v>9.870918754745639E-2</v>
          </cell>
          <cell r="BE158">
            <v>0.32217505753148162</v>
          </cell>
          <cell r="BF158">
            <v>0.27968399047851561</v>
          </cell>
          <cell r="BG158">
            <v>0.11605199813842773</v>
          </cell>
        </row>
        <row r="159">
          <cell r="D159" t="str">
            <v>电力</v>
          </cell>
          <cell r="M159">
            <v>69.26187310200001</v>
          </cell>
          <cell r="N159">
            <v>70.104736700985868</v>
          </cell>
          <cell r="O159" t="str">
            <v>公用事业</v>
          </cell>
          <cell r="P159" t="str">
            <v>公用事业Ⅱ</v>
          </cell>
          <cell r="Q159" t="str">
            <v>电力Ⅲ</v>
          </cell>
          <cell r="BC159">
            <v>3.1632653061224356E-2</v>
          </cell>
          <cell r="BD159">
            <v>9.5341278439869878E-2</v>
          </cell>
          <cell r="BE159">
            <v>-0.30124067073414301</v>
          </cell>
          <cell r="BF159">
            <v>0.38037601470947263</v>
          </cell>
          <cell r="BG159">
            <v>0.19237199783325196</v>
          </cell>
        </row>
        <row r="160">
          <cell r="D160" t="str">
            <v>中药</v>
          </cell>
          <cell r="M160">
            <v>679.84251814359993</v>
          </cell>
          <cell r="N160">
            <v>686.43018811406569</v>
          </cell>
          <cell r="O160" t="str">
            <v>医疗保健</v>
          </cell>
          <cell r="P160" t="str">
            <v>制药、生物科技与生命科学</v>
          </cell>
          <cell r="Q160" t="str">
            <v>制药</v>
          </cell>
          <cell r="BC160">
            <v>-2.3989898989898926E-2</v>
          </cell>
          <cell r="BD160">
            <v>9.4125973106864824E-2</v>
          </cell>
          <cell r="BE160">
            <v>4.3421069857916397E-2</v>
          </cell>
          <cell r="BF160">
            <v>0.34541999816894531</v>
          </cell>
          <cell r="BG160">
            <v>0.18727199554443361</v>
          </cell>
        </row>
        <row r="161">
          <cell r="D161" t="str">
            <v>化肥与农用化工</v>
          </cell>
          <cell r="M161">
            <v>74.158808445099993</v>
          </cell>
          <cell r="N161">
            <v>74.764689133432114</v>
          </cell>
          <cell r="O161" t="str">
            <v>材料</v>
          </cell>
          <cell r="P161" t="str">
            <v>材料Ⅱ</v>
          </cell>
          <cell r="Q161" t="str">
            <v>化工</v>
          </cell>
          <cell r="BC161">
            <v>-2.0850708924103714E-3</v>
          </cell>
          <cell r="BD161">
            <v>4.1963911036509201E-3</v>
          </cell>
          <cell r="BE161">
            <v>-0.16167681514833965</v>
          </cell>
          <cell r="BF161">
            <v>0.19783199310302735</v>
          </cell>
          <cell r="BG161">
            <v>0.17185199737548829</v>
          </cell>
        </row>
        <row r="162">
          <cell r="D162" t="str">
            <v>化肥与农用化工</v>
          </cell>
          <cell r="M162">
            <v>243.6476677032</v>
          </cell>
          <cell r="N162">
            <v>244.83248302852942</v>
          </cell>
          <cell r="O162" t="str">
            <v>材料</v>
          </cell>
          <cell r="P162" t="str">
            <v>材料Ⅱ</v>
          </cell>
          <cell r="Q162" t="str">
            <v>化工</v>
          </cell>
          <cell r="BC162">
            <v>5.1579626047711198E-3</v>
          </cell>
          <cell r="BD162">
            <v>-1.8879798615481478E-2</v>
          </cell>
          <cell r="BE162">
            <v>-0.16594178304794696</v>
          </cell>
          <cell r="BF162">
            <v>0.28183200836181643</v>
          </cell>
          <cell r="BG162">
            <v>0.17061599731445312</v>
          </cell>
        </row>
        <row r="163">
          <cell r="D163" t="str">
            <v>公路与铁路</v>
          </cell>
          <cell r="M163">
            <v>103.74379580160002</v>
          </cell>
          <cell r="N163">
            <v>104.24692165222191</v>
          </cell>
          <cell r="O163" t="str">
            <v>工业</v>
          </cell>
          <cell r="P163" t="str">
            <v>运输</v>
          </cell>
          <cell r="Q163" t="str">
            <v>交通基础设施</v>
          </cell>
          <cell r="BC163">
            <v>1.2170385395537628E-2</v>
          </cell>
          <cell r="BD163">
            <v>-7.9522862823061691E-3</v>
          </cell>
          <cell r="BE163">
            <v>0.23777186395533939</v>
          </cell>
          <cell r="BF163">
            <v>0.51685199737548826</v>
          </cell>
          <cell r="BG163">
            <v>0.18305999755859376</v>
          </cell>
        </row>
        <row r="164">
          <cell r="D164" t="str">
            <v>投资银行业与经纪业</v>
          </cell>
          <cell r="M164">
            <v>396.6</v>
          </cell>
          <cell r="N164">
            <v>397.67096530061633</v>
          </cell>
          <cell r="O164" t="str">
            <v>金融</v>
          </cell>
          <cell r="P164" t="str">
            <v>多元金融</v>
          </cell>
          <cell r="Q164" t="str">
            <v>资本市场</v>
          </cell>
          <cell r="BC164">
            <v>3.8491751767478412E-2</v>
          </cell>
          <cell r="BD164">
            <v>0.14558058925476616</v>
          </cell>
          <cell r="BE164">
            <v>-0.41171076025608472</v>
          </cell>
          <cell r="BF164">
            <v>0.36976799011230471</v>
          </cell>
          <cell r="BG164">
            <v>0</v>
          </cell>
        </row>
        <row r="165">
          <cell r="D165" t="str">
            <v>电影与娱乐</v>
          </cell>
          <cell r="M165">
            <v>75.50427346859999</v>
          </cell>
          <cell r="N165">
            <v>75.466938450564399</v>
          </cell>
          <cell r="O165" t="str">
            <v>可选消费</v>
          </cell>
          <cell r="P165" t="str">
            <v>媒体Ⅱ</v>
          </cell>
          <cell r="Q165" t="str">
            <v>媒体Ⅲ</v>
          </cell>
          <cell r="BC165">
            <v>0.10030627871362931</v>
          </cell>
          <cell r="BD165">
            <v>0.10030627871362931</v>
          </cell>
          <cell r="BE165">
            <v>-0.41275030649775235</v>
          </cell>
          <cell r="BF165">
            <v>-0.21131999969482421</v>
          </cell>
          <cell r="BG165">
            <v>0.34771198272705078</v>
          </cell>
        </row>
        <row r="166">
          <cell r="D166" t="str">
            <v>航空</v>
          </cell>
          <cell r="M166">
            <v>619.48847769999998</v>
          </cell>
          <cell r="N166">
            <v>618.39496311398148</v>
          </cell>
          <cell r="O166" t="str">
            <v>工业</v>
          </cell>
          <cell r="P166" t="str">
            <v>运输</v>
          </cell>
          <cell r="Q166" t="str">
            <v>航空Ⅲ</v>
          </cell>
          <cell r="BC166">
            <v>-1.5822784810127649E-3</v>
          </cell>
          <cell r="BD166">
            <v>-6.2407132243685111E-2</v>
          </cell>
          <cell r="BE166">
            <v>-0.21451214775916855</v>
          </cell>
          <cell r="BF166">
            <v>0.65708396911621092</v>
          </cell>
          <cell r="BG166">
            <v>6.439199924468994E-2</v>
          </cell>
        </row>
        <row r="167">
          <cell r="D167" t="str">
            <v>中药</v>
          </cell>
          <cell r="M167">
            <v>169.55796599999999</v>
          </cell>
          <cell r="N167">
            <v>169.21512432062806</v>
          </cell>
          <cell r="O167" t="str">
            <v>医疗保健</v>
          </cell>
          <cell r="P167" t="str">
            <v>制药、生物科技与生命科学</v>
          </cell>
          <cell r="Q167" t="str">
            <v>制药</v>
          </cell>
          <cell r="BC167">
            <v>-1.2670565302144153E-2</v>
          </cell>
          <cell r="BD167">
            <v>-1.1707317073170655E-2</v>
          </cell>
          <cell r="BE167">
            <v>-0.14508114058566149</v>
          </cell>
          <cell r="BF167">
            <v>0.18747600555419922</v>
          </cell>
          <cell r="BG167">
            <v>0.1933799934387207</v>
          </cell>
        </row>
        <row r="168">
          <cell r="D168" t="str">
            <v>化肥与农用化工</v>
          </cell>
          <cell r="M168">
            <v>64.474079450199994</v>
          </cell>
          <cell r="N168">
            <v>64.30314106741217</v>
          </cell>
          <cell r="O168" t="str">
            <v>材料</v>
          </cell>
          <cell r="P168" t="str">
            <v>材料Ⅱ</v>
          </cell>
          <cell r="Q168" t="str">
            <v>化工</v>
          </cell>
          <cell r="BC168">
            <v>3.966005665722383E-2</v>
          </cell>
          <cell r="BD168">
            <v>0</v>
          </cell>
          <cell r="BE168">
            <v>-0.26225079184307409</v>
          </cell>
          <cell r="BF168">
            <v>-2.7492001056671142E-2</v>
          </cell>
          <cell r="BG168">
            <v>6.7667999267578119E-2</v>
          </cell>
        </row>
        <row r="169">
          <cell r="D169" t="str">
            <v>应用软件</v>
          </cell>
          <cell r="M169">
            <v>159.28415306059998</v>
          </cell>
          <cell r="N169">
            <v>158.71942806809878</v>
          </cell>
          <cell r="O169" t="str">
            <v>信息技术</v>
          </cell>
          <cell r="P169" t="str">
            <v>软件与服务</v>
          </cell>
          <cell r="Q169" t="str">
            <v>软件</v>
          </cell>
          <cell r="BC169">
            <v>0</v>
          </cell>
          <cell r="BD169">
            <v>-0.10448548812664911</v>
          </cell>
          <cell r="BE169">
            <v>-0.20664088635400923</v>
          </cell>
          <cell r="BF169">
            <v>0.28958400726318362</v>
          </cell>
          <cell r="BG169">
            <v>0.21620399475097657</v>
          </cell>
        </row>
        <row r="170">
          <cell r="D170" t="str">
            <v>建筑产品</v>
          </cell>
          <cell r="M170">
            <v>237.02480698880001</v>
          </cell>
          <cell r="N170">
            <v>235.35354610726728</v>
          </cell>
          <cell r="O170" t="str">
            <v>工业</v>
          </cell>
          <cell r="P170" t="str">
            <v>资本货物</v>
          </cell>
          <cell r="Q170" t="str">
            <v>建筑产品Ⅲ</v>
          </cell>
          <cell r="BC170">
            <v>1.1320754716981227E-2</v>
          </cell>
          <cell r="BD170">
            <v>-9.242144177449136E-3</v>
          </cell>
          <cell r="BE170">
            <v>4.1793131426360396E-2</v>
          </cell>
          <cell r="BF170">
            <v>0.54161998748779294</v>
          </cell>
          <cell r="BG170">
            <v>9.5111999511718753E-2</v>
          </cell>
        </row>
        <row r="171">
          <cell r="D171" t="str">
            <v>有线和卫星电视</v>
          </cell>
          <cell r="M171">
            <v>91.424447277599995</v>
          </cell>
          <cell r="N171">
            <v>90.525606697542258</v>
          </cell>
          <cell r="O171" t="str">
            <v>可选消费</v>
          </cell>
          <cell r="P171" t="str">
            <v>媒体Ⅱ</v>
          </cell>
          <cell r="Q171" t="str">
            <v>媒体Ⅲ</v>
          </cell>
          <cell r="BC171">
            <v>4.1304347826086843E-2</v>
          </cell>
          <cell r="BD171">
            <v>-2.244897959183674E-2</v>
          </cell>
          <cell r="BE171">
            <v>-0.1858008947235962</v>
          </cell>
          <cell r="BF171">
            <v>0.13969200134277343</v>
          </cell>
          <cell r="BG171">
            <v>7.1616001129150397E-2</v>
          </cell>
        </row>
        <row r="172">
          <cell r="D172" t="str">
            <v>建材</v>
          </cell>
          <cell r="M172">
            <v>132.63147332960003</v>
          </cell>
          <cell r="N172">
            <v>131.11929137869217</v>
          </cell>
          <cell r="O172" t="str">
            <v>材料</v>
          </cell>
          <cell r="P172" t="str">
            <v>材料Ⅱ</v>
          </cell>
          <cell r="Q172" t="str">
            <v>建材Ⅲ</v>
          </cell>
          <cell r="BC172">
            <v>0</v>
          </cell>
          <cell r="BD172">
            <v>-6.2937062937062846E-2</v>
          </cell>
          <cell r="BE172">
            <v>-0.40899773600674855</v>
          </cell>
          <cell r="BF172">
            <v>0.18019199371337891</v>
          </cell>
          <cell r="BG172">
            <v>0.10412400245666503</v>
          </cell>
        </row>
        <row r="173">
          <cell r="D173" t="str">
            <v>化肥与农用化工</v>
          </cell>
          <cell r="M173">
            <v>54.719078998000001</v>
          </cell>
          <cell r="N173">
            <v>53.983878021366209</v>
          </cell>
          <cell r="O173" t="str">
            <v>材料</v>
          </cell>
          <cell r="P173" t="str">
            <v>材料Ⅱ</v>
          </cell>
          <cell r="Q173" t="str">
            <v>化工</v>
          </cell>
          <cell r="BC173">
            <v>7.8515346181299045E-2</v>
          </cell>
          <cell r="BD173">
            <v>7.8515346181299045E-2</v>
          </cell>
          <cell r="BE173">
            <v>-0.21747279889808249</v>
          </cell>
          <cell r="BF173">
            <v>2.2439999878406526E-3</v>
          </cell>
          <cell r="BG173">
            <v>2.7983999252319335E-2</v>
          </cell>
        </row>
        <row r="174">
          <cell r="D174" t="str">
            <v>家庭娱乐软件</v>
          </cell>
          <cell r="M174">
            <v>339.24196262400005</v>
          </cell>
          <cell r="N174">
            <v>334.56647557688478</v>
          </cell>
          <cell r="O174" t="str">
            <v>信息技术</v>
          </cell>
          <cell r="P174" t="str">
            <v>软件与服务</v>
          </cell>
          <cell r="Q174" t="str">
            <v>软件</v>
          </cell>
          <cell r="BC174">
            <v>2.9461279461279428E-2</v>
          </cell>
          <cell r="BD174">
            <v>3.4686971235194597E-2</v>
          </cell>
          <cell r="BE174">
            <v>-0.18609979650011169</v>
          </cell>
          <cell r="BF174">
            <v>0.13591199874877929</v>
          </cell>
          <cell r="BG174">
            <v>0</v>
          </cell>
        </row>
        <row r="175">
          <cell r="D175" t="str">
            <v>环境与设施服务</v>
          </cell>
          <cell r="M175">
            <v>64.959357700799998</v>
          </cell>
          <cell r="N175">
            <v>63.890107599803194</v>
          </cell>
          <cell r="O175" t="str">
            <v>工业</v>
          </cell>
          <cell r="P175" t="str">
            <v>商业和专业服务</v>
          </cell>
          <cell r="Q175" t="str">
            <v>商业服务与用品</v>
          </cell>
          <cell r="BC175">
            <v>-1.5303430079155628E-2</v>
          </cell>
          <cell r="BD175">
            <v>-7.4468085106383277E-3</v>
          </cell>
          <cell r="BE175">
            <v>-2.1261012567165418E-2</v>
          </cell>
          <cell r="BF175">
            <v>0.38942401885986327</v>
          </cell>
          <cell r="BG175">
            <v>0</v>
          </cell>
        </row>
        <row r="176">
          <cell r="D176" t="str">
            <v>电子元件</v>
          </cell>
          <cell r="M176">
            <v>293.78450179999999</v>
          </cell>
          <cell r="N176">
            <v>288.91306621688994</v>
          </cell>
          <cell r="O176" t="str">
            <v>信息技术</v>
          </cell>
          <cell r="P176" t="str">
            <v>技术硬件与设备</v>
          </cell>
          <cell r="Q176" t="str">
            <v>电子设备、仪器和元件</v>
          </cell>
          <cell r="BC176">
            <v>-8.7438064704169118E-3</v>
          </cell>
          <cell r="BD176">
            <v>6.5810090880601621E-2</v>
          </cell>
          <cell r="BE176">
            <v>0.15593788582543966</v>
          </cell>
          <cell r="BF176">
            <v>0</v>
          </cell>
          <cell r="BG176">
            <v>0</v>
          </cell>
        </row>
        <row r="177">
          <cell r="D177" t="str">
            <v>房地产开发</v>
          </cell>
          <cell r="M177">
            <v>118.18837741500001</v>
          </cell>
          <cell r="N177">
            <v>116.2066742579678</v>
          </cell>
          <cell r="O177" t="str">
            <v>金融</v>
          </cell>
          <cell r="P177" t="str">
            <v>房地产</v>
          </cell>
          <cell r="Q177" t="str">
            <v>房地产管理与开发</v>
          </cell>
          <cell r="BC177">
            <v>1.7964071856287515E-2</v>
          </cell>
          <cell r="BD177">
            <v>6.2500000000000028E-2</v>
          </cell>
          <cell r="BE177">
            <v>-4.2408185514253564E-2</v>
          </cell>
          <cell r="BF177">
            <v>0.51077999114990236</v>
          </cell>
          <cell r="BG177">
            <v>0.15742799758911133</v>
          </cell>
        </row>
        <row r="178">
          <cell r="D178" t="str">
            <v>电子元件</v>
          </cell>
          <cell r="M178">
            <v>379.75795132000002</v>
          </cell>
          <cell r="N178">
            <v>371.55180480959302</v>
          </cell>
          <cell r="O178" t="str">
            <v>信息技术</v>
          </cell>
          <cell r="P178" t="str">
            <v>技术硬件与设备</v>
          </cell>
          <cell r="Q178" t="str">
            <v>电子设备、仪器和元件</v>
          </cell>
          <cell r="BC178">
            <v>-3.4835410674336847E-2</v>
          </cell>
          <cell r="BD178">
            <v>4.0303134688253466E-2</v>
          </cell>
          <cell r="BE178">
            <v>0.22035239240150969</v>
          </cell>
          <cell r="BF178">
            <v>0.300492000579834</v>
          </cell>
          <cell r="BG178">
            <v>0.33597599029541014</v>
          </cell>
        </row>
        <row r="179">
          <cell r="D179" t="str">
            <v>投资银行业与经纪业</v>
          </cell>
          <cell r="M179">
            <v>1652.7942899999998</v>
          </cell>
          <cell r="N179">
            <v>1616.1607148673211</v>
          </cell>
          <cell r="O179" t="str">
            <v>金融</v>
          </cell>
          <cell r="P179" t="str">
            <v>多元金融</v>
          </cell>
          <cell r="Q179" t="str">
            <v>资本市场</v>
          </cell>
          <cell r="BC179">
            <v>2.4964336661911529E-2</v>
          </cell>
          <cell r="BD179">
            <v>0.10794140323824199</v>
          </cell>
          <cell r="BE179">
            <v>-0.35720508250440486</v>
          </cell>
          <cell r="BF179">
            <v>0.34273200988769531</v>
          </cell>
          <cell r="BG179">
            <v>0.1724519920349121</v>
          </cell>
        </row>
        <row r="180">
          <cell r="D180" t="str">
            <v>电力</v>
          </cell>
          <cell r="M180">
            <v>126.73335749999998</v>
          </cell>
          <cell r="N180">
            <v>123.80976501486164</v>
          </cell>
          <cell r="O180" t="str">
            <v>公用事业</v>
          </cell>
          <cell r="P180" t="str">
            <v>公用事业Ⅱ</v>
          </cell>
          <cell r="Q180" t="str">
            <v>电力Ⅲ</v>
          </cell>
          <cell r="BC180">
            <v>3.2348804500703168E-2</v>
          </cell>
          <cell r="BD180">
            <v>-1.0781671159029659E-2</v>
          </cell>
          <cell r="BE180">
            <v>-4.8143140608496154E-3</v>
          </cell>
          <cell r="BF180">
            <v>0.33878398895263673</v>
          </cell>
          <cell r="BG180">
            <v>0.15281999588012696</v>
          </cell>
        </row>
        <row r="181">
          <cell r="D181" t="str">
            <v>百货商店</v>
          </cell>
          <cell r="M181">
            <v>118.7504514079</v>
          </cell>
          <cell r="N181">
            <v>115.84752622189271</v>
          </cell>
          <cell r="O181" t="str">
            <v>可选消费</v>
          </cell>
          <cell r="P181" t="str">
            <v>零售业</v>
          </cell>
          <cell r="Q181" t="str">
            <v>多元化零售</v>
          </cell>
          <cell r="BC181">
            <v>4.4720496894409866E-3</v>
          </cell>
          <cell r="BD181">
            <v>8.9757412398921779E-2</v>
          </cell>
          <cell r="BE181">
            <v>-0.15839354104425749</v>
          </cell>
          <cell r="BF181">
            <v>0.28893600463867186</v>
          </cell>
          <cell r="BG181">
            <v>7.4819998741149904E-2</v>
          </cell>
        </row>
        <row r="182">
          <cell r="D182" t="str">
            <v>半导体产品</v>
          </cell>
          <cell r="M182">
            <v>214.69119237000001</v>
          </cell>
          <cell r="N182">
            <v>209.4309368777983</v>
          </cell>
          <cell r="O182" t="str">
            <v>信息技术</v>
          </cell>
          <cell r="P182" t="str">
            <v>半导体与半导体生产设备</v>
          </cell>
          <cell r="Q182" t="str">
            <v>半导体产品与半导体设备</v>
          </cell>
          <cell r="BC182">
            <v>2.4813895781637188E-3</v>
          </cell>
          <cell r="BD182">
            <v>2.9736618521665221E-2</v>
          </cell>
          <cell r="BE182">
            <v>-0.25813603532691476</v>
          </cell>
          <cell r="BF182">
            <v>0.72679199218750001</v>
          </cell>
          <cell r="BG182">
            <v>0</v>
          </cell>
        </row>
        <row r="183">
          <cell r="D183" t="str">
            <v>工业机械</v>
          </cell>
          <cell r="M183">
            <v>83.069235200000008</v>
          </cell>
          <cell r="N183">
            <v>80.683901297931854</v>
          </cell>
          <cell r="O183" t="str">
            <v>工业</v>
          </cell>
          <cell r="P183" t="str">
            <v>资本货物</v>
          </cell>
          <cell r="Q183" t="str">
            <v>机械</v>
          </cell>
          <cell r="BC183">
            <v>8.3783783783783858E-2</v>
          </cell>
          <cell r="BD183">
            <v>-6.8989916858305427E-3</v>
          </cell>
          <cell r="BE183">
            <v>0</v>
          </cell>
          <cell r="BF183">
            <v>0</v>
          </cell>
          <cell r="BG183">
            <v>0</v>
          </cell>
        </row>
        <row r="184">
          <cell r="D184" t="str">
            <v>软饮料</v>
          </cell>
          <cell r="M184">
            <v>96.275517623999988</v>
          </cell>
          <cell r="N184">
            <v>93.389584075739506</v>
          </cell>
          <cell r="O184" t="str">
            <v>日常消费</v>
          </cell>
          <cell r="P184" t="str">
            <v>食品、饮料与烟草</v>
          </cell>
          <cell r="Q184" t="str">
            <v>饮料</v>
          </cell>
          <cell r="BC184">
            <v>-5.4432348367029777E-3</v>
          </cell>
          <cell r="BD184">
            <v>-3.3257747543461925E-2</v>
          </cell>
          <cell r="BE184">
            <v>-0.17500160979394119</v>
          </cell>
          <cell r="BF184">
            <v>5.1384000778198241E-2</v>
          </cell>
          <cell r="BG184">
            <v>0.10993200302124023</v>
          </cell>
        </row>
        <row r="185">
          <cell r="D185" t="str">
            <v>电子元件</v>
          </cell>
          <cell r="M185">
            <v>106.13392282720001</v>
          </cell>
          <cell r="N185">
            <v>102.74217346586515</v>
          </cell>
          <cell r="O185" t="str">
            <v>信息技术</v>
          </cell>
          <cell r="P185" t="str">
            <v>技术硬件与设备</v>
          </cell>
          <cell r="Q185" t="str">
            <v>电子设备、仪器和元件</v>
          </cell>
          <cell r="BC185">
            <v>9.1334894613583281E-2</v>
          </cell>
          <cell r="BD185">
            <v>0.10952380952380951</v>
          </cell>
          <cell r="BE185">
            <v>0.22848427217302142</v>
          </cell>
          <cell r="BF185">
            <v>0.50727600097656245</v>
          </cell>
          <cell r="BG185">
            <v>0.14229599952697755</v>
          </cell>
        </row>
        <row r="186">
          <cell r="D186" t="str">
            <v>消费电子产品</v>
          </cell>
          <cell r="M186">
            <v>1246.6718183192002</v>
          </cell>
          <cell r="N186">
            <v>1199.3059822860189</v>
          </cell>
          <cell r="O186" t="str">
            <v>可选消费</v>
          </cell>
          <cell r="P186" t="str">
            <v>耐用消费品与服装</v>
          </cell>
          <cell r="Q186" t="str">
            <v>家庭耐用消费品</v>
          </cell>
          <cell r="BC186">
            <v>-8.093234056328908E-3</v>
          </cell>
          <cell r="BD186">
            <v>6.0207612456747474E-2</v>
          </cell>
          <cell r="BE186">
            <v>8.2240971652823111E-2</v>
          </cell>
          <cell r="BF186">
            <v>0.24039600372314454</v>
          </cell>
          <cell r="BG186">
            <v>0.27738000869750978</v>
          </cell>
        </row>
        <row r="187">
          <cell r="D187" t="str">
            <v>电影与娱乐</v>
          </cell>
          <cell r="M187">
            <v>384.63723699100001</v>
          </cell>
          <cell r="N187">
            <v>369.23302776417017</v>
          </cell>
          <cell r="O187" t="str">
            <v>可选消费</v>
          </cell>
          <cell r="P187" t="str">
            <v>媒体Ⅱ</v>
          </cell>
          <cell r="Q187" t="str">
            <v>媒体Ⅲ</v>
          </cell>
          <cell r="BC187">
            <v>2.5925925925925901E-2</v>
          </cell>
          <cell r="BD187">
            <v>-2.6362038664323375E-2</v>
          </cell>
          <cell r="BE187">
            <v>-0.1094988773842912</v>
          </cell>
          <cell r="BF187">
            <v>4.9535999298095705E-2</v>
          </cell>
          <cell r="BG187">
            <v>0.3848759841918945</v>
          </cell>
        </row>
        <row r="188">
          <cell r="D188" t="str">
            <v>建筑与工程</v>
          </cell>
          <cell r="M188">
            <v>134.39399268400001</v>
          </cell>
          <cell r="N188">
            <v>128.94147029260444</v>
          </cell>
          <cell r="O188" t="str">
            <v>工业</v>
          </cell>
          <cell r="P188" t="str">
            <v>资本货物</v>
          </cell>
          <cell r="Q188" t="str">
            <v>建筑与工程Ⅲ</v>
          </cell>
          <cell r="BC188">
            <v>4.4160942100098244E-2</v>
          </cell>
          <cell r="BD188">
            <v>-3.6231884057970891E-2</v>
          </cell>
          <cell r="BE188">
            <v>0.11647429171038838</v>
          </cell>
          <cell r="BF188">
            <v>0.42248401641845701</v>
          </cell>
          <cell r="BG188">
            <v>0.23894399642944336</v>
          </cell>
        </row>
        <row r="189">
          <cell r="D189" t="str">
            <v>投资银行业与经纪业</v>
          </cell>
          <cell r="M189">
            <v>369.25079999999997</v>
          </cell>
          <cell r="N189">
            <v>352.48624317514219</v>
          </cell>
          <cell r="O189" t="str">
            <v>金融</v>
          </cell>
          <cell r="P189" t="str">
            <v>多元金融</v>
          </cell>
          <cell r="Q189" t="str">
            <v>资本市场</v>
          </cell>
          <cell r="BC189">
            <v>5.6179775280898875E-2</v>
          </cell>
          <cell r="BD189">
            <v>7.9219288174511987E-2</v>
          </cell>
          <cell r="BE189">
            <v>-0.45088500672404608</v>
          </cell>
          <cell r="BF189">
            <v>0.4838880157470703</v>
          </cell>
          <cell r="BG189">
            <v>0.16447200775146484</v>
          </cell>
        </row>
        <row r="190">
          <cell r="D190" t="str">
            <v>化肥与农用化工</v>
          </cell>
          <cell r="M190">
            <v>203.48776850000002</v>
          </cell>
          <cell r="N190">
            <v>194.20050887282227</v>
          </cell>
          <cell r="O190" t="str">
            <v>材料</v>
          </cell>
          <cell r="P190" t="str">
            <v>材料Ⅱ</v>
          </cell>
          <cell r="Q190" t="str">
            <v>化工</v>
          </cell>
          <cell r="BC190">
            <v>1.0010010010009797E-3</v>
          </cell>
          <cell r="BD190">
            <v>-5.3030303030303073E-2</v>
          </cell>
          <cell r="BE190">
            <v>-0.16139918450075838</v>
          </cell>
          <cell r="BF190">
            <v>0.2809079933166504</v>
          </cell>
          <cell r="BG190">
            <v>0.1934040069580078</v>
          </cell>
        </row>
        <row r="191">
          <cell r="D191" t="str">
            <v>钢铁</v>
          </cell>
          <cell r="M191">
            <v>297.76650477850001</v>
          </cell>
          <cell r="N191">
            <v>284.08948513467226</v>
          </cell>
          <cell r="O191" t="str">
            <v>材料</v>
          </cell>
          <cell r="P191" t="str">
            <v>材料Ⅱ</v>
          </cell>
          <cell r="Q191" t="str">
            <v>金属、非金属与采矿</v>
          </cell>
          <cell r="BC191">
            <v>-1.9933554817275618E-2</v>
          </cell>
          <cell r="BD191">
            <v>-2.6402640264026282E-2</v>
          </cell>
          <cell r="BE191">
            <v>-0.3886621809320232</v>
          </cell>
          <cell r="BF191">
            <v>0.29150400161743162</v>
          </cell>
          <cell r="BG191">
            <v>-1.4196000099182128E-2</v>
          </cell>
        </row>
        <row r="192">
          <cell r="D192" t="str">
            <v>建筑产品</v>
          </cell>
          <cell r="M192">
            <v>62.687999999999995</v>
          </cell>
          <cell r="N192">
            <v>59.797841154074078</v>
          </cell>
          <cell r="O192" t="str">
            <v>工业</v>
          </cell>
          <cell r="P192" t="str">
            <v>资本货物</v>
          </cell>
          <cell r="Q192" t="str">
            <v>建筑产品Ⅲ</v>
          </cell>
          <cell r="BC192">
            <v>6.3517915309446227E-2</v>
          </cell>
          <cell r="BD192">
            <v>-1.5290519877677144E-3</v>
          </cell>
          <cell r="BE192">
            <v>0.23601705066218326</v>
          </cell>
          <cell r="BF192">
            <v>0.40910400390625001</v>
          </cell>
          <cell r="BG192">
            <v>0</v>
          </cell>
        </row>
        <row r="193">
          <cell r="D193" t="str">
            <v>通信设备</v>
          </cell>
          <cell r="M193">
            <v>140.75991197100001</v>
          </cell>
          <cell r="N193">
            <v>133.93942083065718</v>
          </cell>
          <cell r="O193" t="str">
            <v>信息技术</v>
          </cell>
          <cell r="P193" t="str">
            <v>技术硬件与设备</v>
          </cell>
          <cell r="Q193" t="str">
            <v>通信设备Ⅲ</v>
          </cell>
          <cell r="BC193">
            <v>-4.3898156277436973E-3</v>
          </cell>
          <cell r="BD193">
            <v>-6.1349693251533987E-3</v>
          </cell>
          <cell r="BE193">
            <v>0.45151555319538378</v>
          </cell>
          <cell r="BF193">
            <v>0.54988800048828124</v>
          </cell>
          <cell r="BG193">
            <v>0.14508000373840332</v>
          </cell>
        </row>
        <row r="194">
          <cell r="D194" t="str">
            <v>化纤</v>
          </cell>
          <cell r="M194">
            <v>83.301614999999998</v>
          </cell>
          <cell r="N194">
            <v>79.162919964961162</v>
          </cell>
          <cell r="O194" t="str">
            <v>材料</v>
          </cell>
          <cell r="P194" t="str">
            <v>材料Ⅱ</v>
          </cell>
          <cell r="Q194" t="str">
            <v>化工</v>
          </cell>
          <cell r="BC194">
            <v>-3.9588281868567464E-3</v>
          </cell>
          <cell r="BD194">
            <v>6.6101694915254181E-2</v>
          </cell>
          <cell r="BE194">
            <v>-2.196057121640058E-2</v>
          </cell>
          <cell r="BF194">
            <v>0.63619201660156255</v>
          </cell>
          <cell r="BG194">
            <v>0.2377199935913086</v>
          </cell>
        </row>
        <row r="195">
          <cell r="D195" t="str">
            <v>中药</v>
          </cell>
          <cell r="M195">
            <v>116.29213701899997</v>
          </cell>
          <cell r="N195">
            <v>110.44429111127955</v>
          </cell>
          <cell r="O195" t="str">
            <v>医疗保健</v>
          </cell>
          <cell r="P195" t="str">
            <v>制药、生物科技与生命科学</v>
          </cell>
          <cell r="Q195" t="str">
            <v>制药</v>
          </cell>
          <cell r="BC195">
            <v>2.7526132404181156E-2</v>
          </cell>
          <cell r="BD195">
            <v>-6.7362748400135678E-3</v>
          </cell>
          <cell r="BE195">
            <v>2.1527571537686061E-2</v>
          </cell>
          <cell r="BF195">
            <v>3.8640000820159913E-2</v>
          </cell>
          <cell r="BG195">
            <v>0.2158919906616211</v>
          </cell>
        </row>
        <row r="196">
          <cell r="D196" t="str">
            <v>基础化工</v>
          </cell>
          <cell r="M196">
            <v>48.6</v>
          </cell>
          <cell r="N196">
            <v>46.034011337763893</v>
          </cell>
          <cell r="O196" t="str">
            <v>材料</v>
          </cell>
          <cell r="P196" t="str">
            <v>材料Ⅱ</v>
          </cell>
          <cell r="Q196" t="str">
            <v>化工</v>
          </cell>
          <cell r="BC196">
            <v>2.7484143763213623E-2</v>
          </cell>
          <cell r="BD196">
            <v>1.33444537114262E-2</v>
          </cell>
          <cell r="BE196">
            <v>0.40983199129658143</v>
          </cell>
          <cell r="BF196">
            <v>0.76902000427246098</v>
          </cell>
          <cell r="BG196">
            <v>0</v>
          </cell>
        </row>
        <row r="197">
          <cell r="D197" t="str">
            <v>广告</v>
          </cell>
          <cell r="M197">
            <v>117.5374908375</v>
          </cell>
          <cell r="N197">
            <v>111.32508041222751</v>
          </cell>
          <cell r="O197" t="str">
            <v>可选消费</v>
          </cell>
          <cell r="P197" t="str">
            <v>媒体Ⅱ</v>
          </cell>
          <cell r="Q197" t="str">
            <v>媒体Ⅲ</v>
          </cell>
          <cell r="BC197">
            <v>-2.9227557411273457E-2</v>
          </cell>
          <cell r="BD197">
            <v>-7.3705179282868571E-2</v>
          </cell>
          <cell r="BE197">
            <v>0.33772095943161057</v>
          </cell>
          <cell r="BF197">
            <v>0.47302799224853515</v>
          </cell>
          <cell r="BG197">
            <v>0</v>
          </cell>
        </row>
        <row r="198">
          <cell r="D198" t="str">
            <v>纸制品</v>
          </cell>
          <cell r="M198">
            <v>49.963267719000001</v>
          </cell>
          <cell r="N198">
            <v>47.287313462666333</v>
          </cell>
          <cell r="O198" t="str">
            <v>材料</v>
          </cell>
          <cell r="P198" t="str">
            <v>材料Ⅱ</v>
          </cell>
          <cell r="Q198" t="str">
            <v>纸与林木产品</v>
          </cell>
          <cell r="BC198">
            <v>5.6485355648535469E-2</v>
          </cell>
          <cell r="BD198">
            <v>4.8805815160955224E-2</v>
          </cell>
          <cell r="BE198">
            <v>-0.28750525990539966</v>
          </cell>
          <cell r="BF198">
            <v>0.17301599502563478</v>
          </cell>
          <cell r="BG198">
            <v>1.7111999988555907E-2</v>
          </cell>
        </row>
        <row r="199">
          <cell r="D199" t="str">
            <v>公路与铁路</v>
          </cell>
          <cell r="M199">
            <v>67.381511292799999</v>
          </cell>
          <cell r="N199">
            <v>63.727844785037774</v>
          </cell>
          <cell r="O199" t="str">
            <v>工业</v>
          </cell>
          <cell r="P199" t="str">
            <v>运输</v>
          </cell>
          <cell r="Q199" t="str">
            <v>交通基础设施</v>
          </cell>
          <cell r="BC199">
            <v>2.4856596558317377E-2</v>
          </cell>
          <cell r="BD199">
            <v>1.1320754716981227E-2</v>
          </cell>
          <cell r="BE199">
            <v>-7.4236554096435967E-2</v>
          </cell>
          <cell r="BF199">
            <v>0.32174400329589842</v>
          </cell>
          <cell r="BG199">
            <v>5.8295998573303226E-2</v>
          </cell>
        </row>
        <row r="200">
          <cell r="D200" t="str">
            <v>航空货运与物流</v>
          </cell>
          <cell r="M200">
            <v>174.75797196000002</v>
          </cell>
          <cell r="N200">
            <v>165.1373873262167</v>
          </cell>
          <cell r="O200" t="str">
            <v>工业</v>
          </cell>
          <cell r="P200" t="str">
            <v>运输</v>
          </cell>
          <cell r="Q200" t="str">
            <v>航空货运与物流Ⅲ</v>
          </cell>
          <cell r="BC200">
            <v>1.2591815320042077E-2</v>
          </cell>
          <cell r="BD200">
            <v>-4.1708043694141002E-2</v>
          </cell>
          <cell r="BE200">
            <v>-0.20104482322837469</v>
          </cell>
          <cell r="BF200">
            <v>0.31430400848388673</v>
          </cell>
          <cell r="BG200">
            <v>0.22665599822998048</v>
          </cell>
        </row>
        <row r="201">
          <cell r="D201" t="str">
            <v>农产品</v>
          </cell>
          <cell r="M201">
            <v>75.967484512500008</v>
          </cell>
          <cell r="N201">
            <v>71.544125066519925</v>
          </cell>
          <cell r="O201" t="str">
            <v>日常消费</v>
          </cell>
          <cell r="P201" t="str">
            <v>食品、饮料与烟草</v>
          </cell>
          <cell r="Q201" t="str">
            <v>食品</v>
          </cell>
          <cell r="BC201">
            <v>8.6506622516556289E-2</v>
          </cell>
          <cell r="BD201">
            <v>5.168269230769227E-2</v>
          </cell>
          <cell r="BE201">
            <v>0.61206855788244807</v>
          </cell>
          <cell r="BF201">
            <v>0.76295997619628908</v>
          </cell>
          <cell r="BG201">
            <v>0.30201599121093747</v>
          </cell>
        </row>
        <row r="202">
          <cell r="D202" t="str">
            <v>汽车制造</v>
          </cell>
          <cell r="M202">
            <v>224.2629972</v>
          </cell>
          <cell r="N202">
            <v>211.18535560500001</v>
          </cell>
          <cell r="O202" t="str">
            <v>可选消费</v>
          </cell>
          <cell r="P202" t="str">
            <v>汽车与汽车零部件</v>
          </cell>
          <cell r="Q202" t="str">
            <v>汽车</v>
          </cell>
          <cell r="BC202">
            <v>-1.1039208222306782E-2</v>
          </cell>
          <cell r="BD202">
            <v>-9.160839160839164E-2</v>
          </cell>
          <cell r="BE202">
            <v>-0.35375125530446505</v>
          </cell>
          <cell r="BF202">
            <v>0.1074839973449707</v>
          </cell>
          <cell r="BG202">
            <v>5.3867998123168948E-2</v>
          </cell>
        </row>
        <row r="203">
          <cell r="D203" t="str">
            <v>特种化工</v>
          </cell>
          <cell r="M203">
            <v>126.51453635039999</v>
          </cell>
          <cell r="N203">
            <v>119.07491529286801</v>
          </cell>
          <cell r="O203" t="str">
            <v>材料</v>
          </cell>
          <cell r="P203" t="str">
            <v>材料Ⅱ</v>
          </cell>
          <cell r="Q203" t="str">
            <v>化工</v>
          </cell>
          <cell r="BC203">
            <v>0</v>
          </cell>
          <cell r="BD203">
            <v>0</v>
          </cell>
          <cell r="BE203">
            <v>0.12916486123947243</v>
          </cell>
          <cell r="BF203">
            <v>1.0476959991455077</v>
          </cell>
          <cell r="BG203">
            <v>0.33052799224853513</v>
          </cell>
        </row>
        <row r="204">
          <cell r="D204" t="str">
            <v>广告</v>
          </cell>
          <cell r="M204">
            <v>164.20648452450001</v>
          </cell>
          <cell r="N204">
            <v>154.36562785035196</v>
          </cell>
          <cell r="O204" t="str">
            <v>可选消费</v>
          </cell>
          <cell r="P204" t="str">
            <v>媒体Ⅱ</v>
          </cell>
          <cell r="Q204" t="str">
            <v>媒体Ⅲ</v>
          </cell>
          <cell r="BC204">
            <v>-1.8918918918918996E-2</v>
          </cell>
          <cell r="BD204">
            <v>-3.5600425079702534E-2</v>
          </cell>
          <cell r="BE204">
            <v>-0.26410431736086465</v>
          </cell>
          <cell r="BF204">
            <v>0.12801600456237794</v>
          </cell>
          <cell r="BG204">
            <v>0.37076400756835937</v>
          </cell>
        </row>
        <row r="205">
          <cell r="D205" t="str">
            <v>电子元件</v>
          </cell>
          <cell r="M205">
            <v>152.3335517676</v>
          </cell>
          <cell r="N205">
            <v>142.99611433046636</v>
          </cell>
          <cell r="O205" t="str">
            <v>信息技术</v>
          </cell>
          <cell r="P205" t="str">
            <v>技术硬件与设备</v>
          </cell>
          <cell r="Q205" t="str">
            <v>电子设备、仪器和元件</v>
          </cell>
          <cell r="BC205">
            <v>-1.5798922800718179E-2</v>
          </cell>
          <cell r="BD205">
            <v>1.4809329877822975E-2</v>
          </cell>
          <cell r="BE205">
            <v>-3.7318325995651713E-2</v>
          </cell>
          <cell r="BF205">
            <v>0.314507999420166</v>
          </cell>
          <cell r="BG205">
            <v>0.2772599983215332</v>
          </cell>
        </row>
        <row r="206">
          <cell r="D206" t="str">
            <v>多元化保险</v>
          </cell>
          <cell r="M206">
            <v>5860.6453960460003</v>
          </cell>
          <cell r="N206">
            <v>5457.3637003430367</v>
          </cell>
          <cell r="O206" t="str">
            <v>金融</v>
          </cell>
          <cell r="P206" t="str">
            <v>保险Ⅱ</v>
          </cell>
          <cell r="Q206" t="str">
            <v>保险Ⅲ</v>
          </cell>
          <cell r="BC206">
            <v>-1.8679950186798E-3</v>
          </cell>
          <cell r="BD206">
            <v>5.4258467609339105E-2</v>
          </cell>
          <cell r="BE206">
            <v>-0.16927598465936747</v>
          </cell>
          <cell r="BF206">
            <v>0.31224000930786133</v>
          </cell>
          <cell r="BG206">
            <v>0.10920000076293945</v>
          </cell>
        </row>
        <row r="207">
          <cell r="D207" t="str">
            <v>基础化工</v>
          </cell>
          <cell r="M207">
            <v>38.574751415199998</v>
          </cell>
          <cell r="N207">
            <v>35.879558056546315</v>
          </cell>
          <cell r="O207" t="str">
            <v>材料</v>
          </cell>
          <cell r="P207" t="str">
            <v>材料Ⅱ</v>
          </cell>
          <cell r="Q207" t="str">
            <v>化工</v>
          </cell>
          <cell r="BC207">
            <v>0.12254160363086226</v>
          </cell>
          <cell r="BD207">
            <v>0.13455657492354739</v>
          </cell>
          <cell r="BE207">
            <v>-0.1073205097991143</v>
          </cell>
          <cell r="BF207">
            <v>0.20432399749755858</v>
          </cell>
          <cell r="BG207">
            <v>4.9956002235412598E-2</v>
          </cell>
        </row>
        <row r="208">
          <cell r="D208" t="str">
            <v>电影与娱乐</v>
          </cell>
          <cell r="M208">
            <v>230.95280424769996</v>
          </cell>
          <cell r="N208">
            <v>214.60922069531966</v>
          </cell>
          <cell r="O208" t="str">
            <v>可选消费</v>
          </cell>
          <cell r="P208" t="str">
            <v>媒体Ⅱ</v>
          </cell>
          <cell r="Q208" t="str">
            <v>媒体Ⅲ</v>
          </cell>
          <cell r="BC208">
            <v>0</v>
          </cell>
          <cell r="BD208">
            <v>0</v>
          </cell>
          <cell r="BE208">
            <v>3.4158650224897509E-2</v>
          </cell>
          <cell r="BF208">
            <v>0.37659599304199221</v>
          </cell>
          <cell r="BG208">
            <v>0.51404399871826167</v>
          </cell>
        </row>
        <row r="209">
          <cell r="D209" t="str">
            <v>生物科技</v>
          </cell>
          <cell r="M209">
            <v>63.283901951999994</v>
          </cell>
          <cell r="N209">
            <v>58.753520967509616</v>
          </cell>
          <cell r="O209" t="str">
            <v>医疗保健</v>
          </cell>
          <cell r="P209" t="str">
            <v>制药、生物科技与生命科学</v>
          </cell>
          <cell r="Q209" t="str">
            <v>生物科技Ⅲ</v>
          </cell>
          <cell r="BC209">
            <v>5.756929637526656E-2</v>
          </cell>
          <cell r="BD209">
            <v>6.72494956287933E-4</v>
          </cell>
          <cell r="BE209">
            <v>-3.3964868081080651E-2</v>
          </cell>
          <cell r="BF209">
            <v>0.23288400650024413</v>
          </cell>
          <cell r="BG209">
            <v>0</v>
          </cell>
        </row>
        <row r="210">
          <cell r="D210" t="str">
            <v>家用电器</v>
          </cell>
          <cell r="M210">
            <v>520.46811277999996</v>
          </cell>
          <cell r="N210">
            <v>482.80254151428909</v>
          </cell>
          <cell r="O210" t="str">
            <v>可选消费</v>
          </cell>
          <cell r="P210" t="str">
            <v>耐用消费品与服装</v>
          </cell>
          <cell r="Q210" t="str">
            <v>家庭耐用消费品</v>
          </cell>
          <cell r="BC210">
            <v>-3.078677309007977E-2</v>
          </cell>
          <cell r="BD210">
            <v>1.796407185628747E-2</v>
          </cell>
          <cell r="BE210">
            <v>-0.26694821715736589</v>
          </cell>
          <cell r="BF210">
            <v>-3.3360001444816588E-3</v>
          </cell>
          <cell r="BG210">
            <v>7.5311999320983883E-2</v>
          </cell>
        </row>
        <row r="211">
          <cell r="D211" t="str">
            <v>建材</v>
          </cell>
          <cell r="M211">
            <v>80.669091007500001</v>
          </cell>
          <cell r="N211">
            <v>74.776507581250513</v>
          </cell>
          <cell r="O211" t="str">
            <v>材料</v>
          </cell>
          <cell r="P211" t="str">
            <v>材料Ⅱ</v>
          </cell>
          <cell r="Q211" t="str">
            <v>建材Ⅲ</v>
          </cell>
          <cell r="BC211">
            <v>0.10459363957597176</v>
          </cell>
          <cell r="BD211">
            <v>0.10537482319660539</v>
          </cell>
          <cell r="BE211">
            <v>-4.6431236242216352E-2</v>
          </cell>
          <cell r="BF211">
            <v>0.19622400283813476</v>
          </cell>
          <cell r="BG211">
            <v>2.9916000366210938E-2</v>
          </cell>
        </row>
        <row r="212">
          <cell r="D212" t="str">
            <v>投资银行业与经纪业</v>
          </cell>
          <cell r="M212">
            <v>423.41030339999998</v>
          </cell>
          <cell r="N212">
            <v>392.23718898267714</v>
          </cell>
          <cell r="O212" t="str">
            <v>金融</v>
          </cell>
          <cell r="P212" t="str">
            <v>多元金融</v>
          </cell>
          <cell r="Q212" t="str">
            <v>资本市场</v>
          </cell>
          <cell r="BC212">
            <v>2.1152443471918244E-2</v>
          </cell>
          <cell r="BD212">
            <v>8.7801087801087863E-2</v>
          </cell>
          <cell r="BE212">
            <v>-0.45251444324844503</v>
          </cell>
          <cell r="BF212">
            <v>0.22181999206542968</v>
          </cell>
          <cell r="BG212">
            <v>0.22033199310302734</v>
          </cell>
        </row>
        <row r="213">
          <cell r="D213" t="str">
            <v>食品加工与肉类</v>
          </cell>
          <cell r="M213">
            <v>225.31938592999998</v>
          </cell>
          <cell r="N213">
            <v>208.5048616263505</v>
          </cell>
          <cell r="O213" t="str">
            <v>日常消费</v>
          </cell>
          <cell r="P213" t="str">
            <v>食品、饮料与烟草</v>
          </cell>
          <cell r="Q213" t="str">
            <v>食品</v>
          </cell>
          <cell r="BC213">
            <v>6.5037852718513436E-2</v>
          </cell>
          <cell r="BD213">
            <v>-2.256608639587372E-3</v>
          </cell>
          <cell r="BE213">
            <v>-0.21032010481787022</v>
          </cell>
          <cell r="BF213">
            <v>-5.1779999732971191E-2</v>
          </cell>
          <cell r="BG213">
            <v>0.29889600753784179</v>
          </cell>
        </row>
        <row r="214">
          <cell r="D214" t="str">
            <v>航空</v>
          </cell>
          <cell r="M214">
            <v>388.61159910099997</v>
          </cell>
          <cell r="N214">
            <v>359.58559094330127</v>
          </cell>
          <cell r="O214" t="str">
            <v>工业</v>
          </cell>
          <cell r="P214" t="str">
            <v>运输</v>
          </cell>
          <cell r="Q214" t="str">
            <v>航空Ⅲ</v>
          </cell>
          <cell r="BC214">
            <v>-9.3167701863354803E-3</v>
          </cell>
          <cell r="BD214">
            <v>6.309148264984233E-3</v>
          </cell>
          <cell r="BE214">
            <v>-0.258181650697695</v>
          </cell>
          <cell r="BF214">
            <v>0.38602798461914062</v>
          </cell>
          <cell r="BG214">
            <v>3.8280000686645506E-2</v>
          </cell>
        </row>
        <row r="215">
          <cell r="D215" t="str">
            <v>纺织品</v>
          </cell>
          <cell r="M215">
            <v>75.980671130000005</v>
          </cell>
          <cell r="N215">
            <v>70.265626704922312</v>
          </cell>
          <cell r="O215" t="str">
            <v>可选消费</v>
          </cell>
          <cell r="P215" t="str">
            <v>耐用消费品与服装</v>
          </cell>
          <cell r="Q215" t="str">
            <v>纺织品、服装与奢侈品</v>
          </cell>
          <cell r="BC215">
            <v>4.4150110375274993E-3</v>
          </cell>
          <cell r="BD215">
            <v>-2.3605150214592342E-2</v>
          </cell>
          <cell r="BE215">
            <v>7.3730731925192292E-2</v>
          </cell>
          <cell r="BF215">
            <v>0.36720001220703125</v>
          </cell>
          <cell r="BG215">
            <v>0.17049600601196288</v>
          </cell>
        </row>
        <row r="216">
          <cell r="D216" t="str">
            <v>电力</v>
          </cell>
          <cell r="M216">
            <v>304.54863594479997</v>
          </cell>
          <cell r="N216">
            <v>281.23626927099241</v>
          </cell>
          <cell r="O216" t="str">
            <v>公用事业</v>
          </cell>
          <cell r="P216" t="str">
            <v>公用事业Ⅱ</v>
          </cell>
          <cell r="Q216" t="str">
            <v>电力Ⅲ</v>
          </cell>
          <cell r="BC216">
            <v>3.3112582781456831E-2</v>
          </cell>
          <cell r="BD216">
            <v>-8.4745762711864493E-3</v>
          </cell>
          <cell r="BE216">
            <v>-0.26618904069216154</v>
          </cell>
          <cell r="BF216">
            <v>0.49816799163818359</v>
          </cell>
          <cell r="BG216">
            <v>0.15534000396728515</v>
          </cell>
        </row>
        <row r="217">
          <cell r="D217" t="str">
            <v>中药</v>
          </cell>
          <cell r="M217">
            <v>101.67439999999999</v>
          </cell>
          <cell r="N217">
            <v>93.809527094041655</v>
          </cell>
          <cell r="O217" t="str">
            <v>医疗保健</v>
          </cell>
          <cell r="P217" t="str">
            <v>制药、生物科技与生命科学</v>
          </cell>
          <cell r="Q217" t="str">
            <v>制药</v>
          </cell>
          <cell r="BC217">
            <v>1.0740203193033307E-2</v>
          </cell>
          <cell r="BD217">
            <v>-4.4718792866941082E-2</v>
          </cell>
          <cell r="BE217">
            <v>-8.3767905511810972E-2</v>
          </cell>
          <cell r="BF217">
            <v>0</v>
          </cell>
          <cell r="BG217">
            <v>0</v>
          </cell>
        </row>
        <row r="218">
          <cell r="D218" t="str">
            <v>钢铁</v>
          </cell>
          <cell r="M218">
            <v>204.06805142899998</v>
          </cell>
          <cell r="N218">
            <v>188.19697855200002</v>
          </cell>
          <cell r="O218" t="str">
            <v>材料</v>
          </cell>
          <cell r="P218" t="str">
            <v>材料Ⅱ</v>
          </cell>
          <cell r="Q218" t="str">
            <v>金属、非金属与采矿</v>
          </cell>
          <cell r="BC218">
            <v>-7.4906367041198572E-3</v>
          </cell>
          <cell r="BD218">
            <v>-2.2140221402214041E-2</v>
          </cell>
          <cell r="BE218">
            <v>-0.40848214285714296</v>
          </cell>
          <cell r="BF218">
            <v>0.36708000183105471</v>
          </cell>
          <cell r="BG218">
            <v>2.5080001354217531E-3</v>
          </cell>
        </row>
        <row r="219">
          <cell r="D219" t="str">
            <v>电子设备和仪器</v>
          </cell>
          <cell r="M219">
            <v>400.16532819000003</v>
          </cell>
          <cell r="N219">
            <v>368.99898276487346</v>
          </cell>
          <cell r="O219" t="str">
            <v>信息技术</v>
          </cell>
          <cell r="P219" t="str">
            <v>技术硬件与设备</v>
          </cell>
          <cell r="Q219" t="str">
            <v>电子设备、仪器和元件</v>
          </cell>
          <cell r="BC219">
            <v>4.3872919818456972E-2</v>
          </cell>
          <cell r="BD219">
            <v>1.1433597185576095E-2</v>
          </cell>
          <cell r="BE219">
            <v>3.639809713368744E-2</v>
          </cell>
          <cell r="BF219">
            <v>0.11616000175476074</v>
          </cell>
          <cell r="BG219">
            <v>0.33128398895263672</v>
          </cell>
        </row>
        <row r="220">
          <cell r="D220" t="str">
            <v>电气部件与设备</v>
          </cell>
          <cell r="M220">
            <v>83.252904000000001</v>
          </cell>
          <cell r="N220">
            <v>76.644223082202217</v>
          </cell>
          <cell r="O220" t="str">
            <v>工业</v>
          </cell>
          <cell r="P220" t="str">
            <v>资本货物</v>
          </cell>
          <cell r="Q220" t="str">
            <v>电气设备</v>
          </cell>
          <cell r="BC220">
            <v>8.0273031562564462E-2</v>
          </cell>
          <cell r="BD220">
            <v>0.19600274723336583</v>
          </cell>
          <cell r="BE220">
            <v>1.0369479617438331</v>
          </cell>
          <cell r="BF220">
            <v>0.47767200469970705</v>
          </cell>
          <cell r="BG220">
            <v>0</v>
          </cell>
        </row>
        <row r="221">
          <cell r="D221" t="str">
            <v>白酒与葡萄酒</v>
          </cell>
          <cell r="M221">
            <v>1034.4009312000001</v>
          </cell>
          <cell r="N221">
            <v>951.585471963636</v>
          </cell>
          <cell r="O221" t="str">
            <v>日常消费</v>
          </cell>
          <cell r="P221" t="str">
            <v>食品、饮料与烟草</v>
          </cell>
          <cell r="Q221" t="str">
            <v>饮料</v>
          </cell>
          <cell r="BC221">
            <v>4.4061302681992279E-2</v>
          </cell>
          <cell r="BD221">
            <v>0.12649855312112437</v>
          </cell>
          <cell r="BE221">
            <v>0.19108606889589064</v>
          </cell>
          <cell r="BF221">
            <v>0.27611999511718749</v>
          </cell>
          <cell r="BG221">
            <v>-1.1291999816894532E-2</v>
          </cell>
        </row>
        <row r="222">
          <cell r="D222" t="str">
            <v>电子设备和仪器</v>
          </cell>
          <cell r="M222">
            <v>111.53993100800001</v>
          </cell>
          <cell r="N222">
            <v>102.35050055895704</v>
          </cell>
          <cell r="O222" t="str">
            <v>信息技术</v>
          </cell>
          <cell r="P222" t="str">
            <v>技术硬件与设备</v>
          </cell>
          <cell r="Q222" t="str">
            <v>电子设备、仪器和元件</v>
          </cell>
          <cell r="BC222">
            <v>1.3743815283122594E-2</v>
          </cell>
          <cell r="BD222">
            <v>-1.495726495726483E-2</v>
          </cell>
          <cell r="BE222">
            <v>-0.1405689835546923</v>
          </cell>
          <cell r="BF222">
            <v>0.38799598693847659</v>
          </cell>
          <cell r="BG222">
            <v>0</v>
          </cell>
        </row>
        <row r="223">
          <cell r="D223" t="str">
            <v>百货商店</v>
          </cell>
          <cell r="M223">
            <v>89.987252859000009</v>
          </cell>
          <cell r="N223">
            <v>82.57224619212667</v>
          </cell>
          <cell r="O223" t="str">
            <v>可选消费</v>
          </cell>
          <cell r="P223" t="str">
            <v>零售业</v>
          </cell>
          <cell r="Q223" t="str">
            <v>多元化零售</v>
          </cell>
          <cell r="BC223">
            <v>1.7667844522968868E-3</v>
          </cell>
          <cell r="BD223">
            <v>2.2850270595309835E-2</v>
          </cell>
          <cell r="BE223">
            <v>-2.7141829361732567E-2</v>
          </cell>
          <cell r="BF223">
            <v>0.22444799423217773</v>
          </cell>
          <cell r="BG223">
            <v>3.0035998821258545E-2</v>
          </cell>
        </row>
        <row r="224">
          <cell r="D224" t="str">
            <v>农产品</v>
          </cell>
          <cell r="M224">
            <v>112.84284017920001</v>
          </cell>
          <cell r="N224">
            <v>103.52941686879421</v>
          </cell>
          <cell r="O224" t="str">
            <v>日常消费</v>
          </cell>
          <cell r="P224" t="str">
            <v>食品、饮料与烟草</v>
          </cell>
          <cell r="Q224" t="str">
            <v>食品</v>
          </cell>
          <cell r="BC224">
            <v>0</v>
          </cell>
          <cell r="BD224">
            <v>0</v>
          </cell>
          <cell r="BE224">
            <v>0.28739570841936735</v>
          </cell>
          <cell r="BF224">
            <v>0.40161598205566407</v>
          </cell>
          <cell r="BG224">
            <v>0.20199600219726563</v>
          </cell>
        </row>
        <row r="225">
          <cell r="D225" t="str">
            <v>电力</v>
          </cell>
          <cell r="M225">
            <v>607.19729341050004</v>
          </cell>
          <cell r="N225">
            <v>556.77129090419533</v>
          </cell>
          <cell r="O225" t="str">
            <v>公用事业</v>
          </cell>
          <cell r="P225" t="str">
            <v>公用事业Ⅱ</v>
          </cell>
          <cell r="Q225" t="str">
            <v>电力Ⅲ</v>
          </cell>
          <cell r="BC225">
            <v>-1.9047619047619067E-2</v>
          </cell>
          <cell r="BD225">
            <v>-1.2779552715654964E-2</v>
          </cell>
          <cell r="BE225">
            <v>-0.2657225588833636</v>
          </cell>
          <cell r="BF225">
            <v>0.32170799255371096</v>
          </cell>
          <cell r="BG225">
            <v>0.11775600433349609</v>
          </cell>
        </row>
        <row r="226">
          <cell r="D226" t="str">
            <v>机动车零配件与设备</v>
          </cell>
          <cell r="M226">
            <v>370.77367122959998</v>
          </cell>
          <cell r="N226">
            <v>339.90377094590247</v>
          </cell>
          <cell r="O226" t="str">
            <v>可选消费</v>
          </cell>
          <cell r="P226" t="str">
            <v>汽车与汽车零部件</v>
          </cell>
          <cell r="Q226" t="str">
            <v>汽车零配件</v>
          </cell>
          <cell r="BC226">
            <v>3.4289713086074196E-2</v>
          </cell>
          <cell r="BD226">
            <v>7.1014492753623093E-2</v>
          </cell>
          <cell r="BE226">
            <v>-7.460570735296318E-2</v>
          </cell>
          <cell r="BF226">
            <v>0.34734001159667971</v>
          </cell>
          <cell r="BG226">
            <v>9.320400238037109E-2</v>
          </cell>
        </row>
        <row r="227">
          <cell r="D227" t="str">
            <v>建筑与工程</v>
          </cell>
          <cell r="M227">
            <v>277.37119181820009</v>
          </cell>
          <cell r="N227">
            <v>253.96556946456266</v>
          </cell>
          <cell r="O227" t="str">
            <v>工业</v>
          </cell>
          <cell r="P227" t="str">
            <v>资本货物</v>
          </cell>
          <cell r="Q227" t="str">
            <v>建筑与工程Ⅲ</v>
          </cell>
          <cell r="BC227">
            <v>1.5483870967741949E-2</v>
          </cell>
          <cell r="BD227">
            <v>0.13892908827785816</v>
          </cell>
          <cell r="BE227">
            <v>-0.50952048979268239</v>
          </cell>
          <cell r="BF227">
            <v>0.18329999923706056</v>
          </cell>
          <cell r="BG227">
            <v>0.11064000129699707</v>
          </cell>
        </row>
        <row r="228">
          <cell r="D228" t="str">
            <v>林木产品</v>
          </cell>
          <cell r="M228">
            <v>73.48075</v>
          </cell>
          <cell r="N228">
            <v>67.218789296133679</v>
          </cell>
          <cell r="O228" t="str">
            <v>材料</v>
          </cell>
          <cell r="P228" t="str">
            <v>材料Ⅱ</v>
          </cell>
          <cell r="Q228" t="str">
            <v>纸与林木产品</v>
          </cell>
          <cell r="BC228">
            <v>-2.3826208829712675E-2</v>
          </cell>
          <cell r="BD228">
            <v>-0.10590500641848526</v>
          </cell>
          <cell r="BE228">
            <v>-7.2057977617622074E-2</v>
          </cell>
          <cell r="BF228">
            <v>0.76218002319335942</v>
          </cell>
          <cell r="BG228">
            <v>0.21148799896240233</v>
          </cell>
        </row>
        <row r="229">
          <cell r="D229" t="str">
            <v>纸制品</v>
          </cell>
          <cell r="M229">
            <v>122.5194819954</v>
          </cell>
          <cell r="N229">
            <v>111.98068744844429</v>
          </cell>
          <cell r="O229" t="str">
            <v>材料</v>
          </cell>
          <cell r="P229" t="str">
            <v>材料Ⅱ</v>
          </cell>
          <cell r="Q229" t="str">
            <v>纸与林木产品</v>
          </cell>
          <cell r="BC229">
            <v>-2.4242424242424263E-2</v>
          </cell>
          <cell r="BD229">
            <v>7.5723830734966552E-2</v>
          </cell>
          <cell r="BE229">
            <v>-4.8671973438484999E-2</v>
          </cell>
          <cell r="BF229">
            <v>0.25861200332641604</v>
          </cell>
          <cell r="BG229">
            <v>1.6247999668121339E-2</v>
          </cell>
        </row>
        <row r="230">
          <cell r="D230" t="str">
            <v>电气部件与设备</v>
          </cell>
          <cell r="M230">
            <v>68.086656000000005</v>
          </cell>
          <cell r="N230">
            <v>62.173934599029174</v>
          </cell>
          <cell r="O230" t="str">
            <v>工业</v>
          </cell>
          <cell r="P230" t="str">
            <v>资本货物</v>
          </cell>
          <cell r="Q230" t="str">
            <v>电气设备</v>
          </cell>
          <cell r="BC230">
            <v>2.2141560798548073E-2</v>
          </cell>
          <cell r="BD230">
            <v>1.955104996379432E-2</v>
          </cell>
          <cell r="BE230">
            <v>-7.236411521961636E-2</v>
          </cell>
          <cell r="BF230">
            <v>0.18471599578857423</v>
          </cell>
          <cell r="BG230">
            <v>0</v>
          </cell>
        </row>
        <row r="231">
          <cell r="D231" t="str">
            <v>水务</v>
          </cell>
          <cell r="M231">
            <v>80.707760000000007</v>
          </cell>
          <cell r="N231">
            <v>73.498677985000597</v>
          </cell>
          <cell r="O231" t="str">
            <v>公用事业</v>
          </cell>
          <cell r="P231" t="str">
            <v>公用事业Ⅱ</v>
          </cell>
          <cell r="Q231" t="str">
            <v>水务Ⅲ</v>
          </cell>
          <cell r="BC231">
            <v>-4.5881702598120418E-2</v>
          </cell>
          <cell r="BD231">
            <v>0.14532183145321839</v>
          </cell>
          <cell r="BE231">
            <v>0.35830963633128921</v>
          </cell>
          <cell r="BF231">
            <v>0.49156799316406252</v>
          </cell>
          <cell r="BG231">
            <v>0</v>
          </cell>
        </row>
        <row r="232">
          <cell r="D232" t="str">
            <v>服装、服饰与奢侈品</v>
          </cell>
          <cell r="M232">
            <v>286.96855260000001</v>
          </cell>
          <cell r="N232">
            <v>261.14909024477907</v>
          </cell>
          <cell r="O232" t="str">
            <v>可选消费</v>
          </cell>
          <cell r="P232" t="str">
            <v>耐用消费品与服装</v>
          </cell>
          <cell r="Q232" t="str">
            <v>纺织品、服装与奢侈品</v>
          </cell>
          <cell r="BC232">
            <v>-3.7418147801683019E-3</v>
          </cell>
          <cell r="BD232">
            <v>4.5142296368989289E-2</v>
          </cell>
          <cell r="BE232">
            <v>-7.7750012544725425E-2</v>
          </cell>
          <cell r="BF232">
            <v>0.23215200424194335</v>
          </cell>
          <cell r="BG232">
            <v>0</v>
          </cell>
        </row>
        <row r="233">
          <cell r="D233" t="str">
            <v>电气部件与设备</v>
          </cell>
          <cell r="M233">
            <v>90.308552000000006</v>
          </cell>
          <cell r="N233">
            <v>81.878010217944791</v>
          </cell>
          <cell r="O233" t="str">
            <v>工业</v>
          </cell>
          <cell r="P233" t="str">
            <v>资本货物</v>
          </cell>
          <cell r="Q233" t="str">
            <v>电气设备</v>
          </cell>
          <cell r="BC233">
            <v>1.9627771072857798E-2</v>
          </cell>
          <cell r="BD233">
            <v>-0.22454106280193231</v>
          </cell>
          <cell r="BE233">
            <v>0</v>
          </cell>
          <cell r="BF233">
            <v>0</v>
          </cell>
          <cell r="BG233">
            <v>0</v>
          </cell>
        </row>
        <row r="234">
          <cell r="D234" t="str">
            <v>工业机械</v>
          </cell>
          <cell r="M234">
            <v>143.32563396319998</v>
          </cell>
          <cell r="N234">
            <v>129.92378794643437</v>
          </cell>
          <cell r="O234" t="str">
            <v>工业</v>
          </cell>
          <cell r="P234" t="str">
            <v>资本货物</v>
          </cell>
          <cell r="Q234" t="str">
            <v>机械</v>
          </cell>
          <cell r="BC234">
            <v>2.6777469990766311E-2</v>
          </cell>
          <cell r="BD234">
            <v>4.1198501872659131E-2</v>
          </cell>
          <cell r="BE234">
            <v>-0.18137347531286033</v>
          </cell>
          <cell r="BF234">
            <v>0.24262800216674804</v>
          </cell>
          <cell r="BG234">
            <v>6.980400085449219E-2</v>
          </cell>
        </row>
        <row r="235">
          <cell r="D235" t="str">
            <v>电力</v>
          </cell>
          <cell r="M235">
            <v>190.87454560200001</v>
          </cell>
          <cell r="N235">
            <v>172.63506085343056</v>
          </cell>
          <cell r="O235" t="str">
            <v>公用事业</v>
          </cell>
          <cell r="P235" t="str">
            <v>公用事业Ⅱ</v>
          </cell>
          <cell r="Q235" t="str">
            <v>电力Ⅲ</v>
          </cell>
          <cell r="BC235">
            <v>4.5918367346938854E-2</v>
          </cell>
          <cell r="BD235">
            <v>1.7369727047146472E-2</v>
          </cell>
          <cell r="BE235">
            <v>7.4766900279787912E-2</v>
          </cell>
          <cell r="BF235">
            <v>0.33504001617431639</v>
          </cell>
          <cell r="BG235">
            <v>0.16023599624633789</v>
          </cell>
        </row>
        <row r="236">
          <cell r="D236" t="str">
            <v>工业机械</v>
          </cell>
          <cell r="M236">
            <v>51.373593211999996</v>
          </cell>
          <cell r="N236">
            <v>46.26838123430975</v>
          </cell>
          <cell r="O236" t="str">
            <v>工业</v>
          </cell>
          <cell r="P236" t="str">
            <v>资本货物</v>
          </cell>
          <cell r="Q236" t="str">
            <v>机械</v>
          </cell>
          <cell r="BC236">
            <v>5.8295964125560568E-2</v>
          </cell>
          <cell r="BD236">
            <v>2.2530329289428212E-2</v>
          </cell>
          <cell r="BE236">
            <v>-0.18001431866933582</v>
          </cell>
          <cell r="BF236">
            <v>-1.264799952507019E-2</v>
          </cell>
          <cell r="BG236">
            <v>5.6147999763488769E-2</v>
          </cell>
        </row>
        <row r="237">
          <cell r="D237" t="str">
            <v>机动车零配件与设备</v>
          </cell>
          <cell r="M237">
            <v>69.12</v>
          </cell>
          <cell r="N237">
            <v>62.173517455647499</v>
          </cell>
          <cell r="O237" t="str">
            <v>可选消费</v>
          </cell>
          <cell r="P237" t="str">
            <v>汽车与汽车零部件</v>
          </cell>
          <cell r="Q237" t="str">
            <v>汽车零配件</v>
          </cell>
          <cell r="BC237">
            <v>0</v>
          </cell>
          <cell r="BD237">
            <v>-5.6047197640118021E-2</v>
          </cell>
          <cell r="BE237">
            <v>0.78290192592592589</v>
          </cell>
          <cell r="BF237">
            <v>0</v>
          </cell>
          <cell r="BG237">
            <v>0</v>
          </cell>
        </row>
        <row r="238">
          <cell r="D238" t="str">
            <v>基础化工</v>
          </cell>
          <cell r="M238">
            <v>100.583965097</v>
          </cell>
          <cell r="N238">
            <v>90.452433193840619</v>
          </cell>
          <cell r="O238" t="str">
            <v>材料</v>
          </cell>
          <cell r="P238" t="str">
            <v>材料Ⅱ</v>
          </cell>
          <cell r="Q238" t="str">
            <v>化工</v>
          </cell>
          <cell r="BC238">
            <v>1.7173051519154544E-2</v>
          </cell>
          <cell r="BD238">
            <v>5.2219321148825109E-3</v>
          </cell>
          <cell r="BE238">
            <v>-0.50941490933083766</v>
          </cell>
          <cell r="BF238">
            <v>0.1677720069885254</v>
          </cell>
          <cell r="BG238">
            <v>1.7399999499320984E-3</v>
          </cell>
        </row>
        <row r="239">
          <cell r="D239" t="str">
            <v>建筑机械与重型卡车</v>
          </cell>
          <cell r="M239">
            <v>216.9964454112</v>
          </cell>
          <cell r="N239">
            <v>194.89609404622644</v>
          </cell>
          <cell r="O239" t="str">
            <v>工业</v>
          </cell>
          <cell r="P239" t="str">
            <v>资本货物</v>
          </cell>
          <cell r="Q239" t="str">
            <v>机械</v>
          </cell>
          <cell r="BC239">
            <v>0.10303030303030312</v>
          </cell>
          <cell r="BD239">
            <v>6.1224489795918352E-2</v>
          </cell>
          <cell r="BE239">
            <v>-9.4674851519783929E-2</v>
          </cell>
          <cell r="BF239">
            <v>0.95205596923828129</v>
          </cell>
          <cell r="BG239">
            <v>0.34986000061035155</v>
          </cell>
        </row>
        <row r="240">
          <cell r="D240" t="str">
            <v>房地产开发</v>
          </cell>
          <cell r="M240">
            <v>123.827184</v>
          </cell>
          <cell r="N240">
            <v>111.19874239544889</v>
          </cell>
          <cell r="O240" t="str">
            <v>金融</v>
          </cell>
          <cell r="P240" t="str">
            <v>房地产</v>
          </cell>
          <cell r="Q240" t="str">
            <v>房地产管理与开发</v>
          </cell>
          <cell r="BC240">
            <v>3.7288135593220292E-2</v>
          </cell>
          <cell r="BD240">
            <v>0.11272727272727275</v>
          </cell>
          <cell r="BE240">
            <v>0.43690078399281046</v>
          </cell>
          <cell r="BF240">
            <v>0.73604400634765621</v>
          </cell>
          <cell r="BG240">
            <v>0.24585599899291993</v>
          </cell>
        </row>
        <row r="241">
          <cell r="D241" t="str">
            <v>房地产开发</v>
          </cell>
          <cell r="M241">
            <v>1033.7203300473</v>
          </cell>
          <cell r="N241">
            <v>927.10193599759498</v>
          </cell>
          <cell r="O241" t="str">
            <v>金融</v>
          </cell>
          <cell r="P241" t="str">
            <v>房地产</v>
          </cell>
          <cell r="Q241" t="str">
            <v>房地产管理与开发</v>
          </cell>
          <cell r="BC241">
            <v>-1.9387755102040945E-2</v>
          </cell>
          <cell r="BD241">
            <v>2.45202558635393E-2</v>
          </cell>
          <cell r="BE241">
            <v>-5.7982304282400053E-2</v>
          </cell>
          <cell r="BF241">
            <v>0.52007999420166018</v>
          </cell>
          <cell r="BG241">
            <v>0.2166119956970215</v>
          </cell>
        </row>
        <row r="242">
          <cell r="D242" t="str">
            <v>保健护理设施</v>
          </cell>
          <cell r="M242">
            <v>106.61279999999999</v>
          </cell>
          <cell r="N242">
            <v>95.459942320543448</v>
          </cell>
          <cell r="O242" t="str">
            <v>医疗保健</v>
          </cell>
          <cell r="P242" t="str">
            <v>医疗保健设备与服务</v>
          </cell>
          <cell r="Q242" t="str">
            <v>医疗保健提供商与服务</v>
          </cell>
          <cell r="BC242">
            <v>3.9712320200125065E-2</v>
          </cell>
          <cell r="BD242">
            <v>-6.9148936170212741E-2</v>
          </cell>
          <cell r="BE242">
            <v>2.1191646191646121E-2</v>
          </cell>
          <cell r="BF242">
            <v>0.24896400451660156</v>
          </cell>
          <cell r="BG242">
            <v>0.29120399475097658</v>
          </cell>
        </row>
        <row r="243">
          <cell r="D243" t="str">
            <v>商业印刷</v>
          </cell>
          <cell r="M243">
            <v>156.41247440000001</v>
          </cell>
          <cell r="N243">
            <v>140.03877305950095</v>
          </cell>
          <cell r="O243" t="str">
            <v>工业</v>
          </cell>
          <cell r="P243" t="str">
            <v>商业和专业服务</v>
          </cell>
          <cell r="Q243" t="str">
            <v>商业服务与用品</v>
          </cell>
          <cell r="BC243">
            <v>0.1465766634522663</v>
          </cell>
          <cell r="BD243">
            <v>3.122289679098016E-2</v>
          </cell>
          <cell r="BE243">
            <v>0.13894239388706275</v>
          </cell>
          <cell r="BF243">
            <v>0.12833999633789062</v>
          </cell>
          <cell r="BG243">
            <v>0.20421600341796875</v>
          </cell>
        </row>
        <row r="244">
          <cell r="D244" t="str">
            <v>电脑存储与外围设备</v>
          </cell>
          <cell r="M244">
            <v>453.77730400000002</v>
          </cell>
          <cell r="N244">
            <v>405.86341861455816</v>
          </cell>
          <cell r="O244" t="str">
            <v>信息技术</v>
          </cell>
          <cell r="P244" t="str">
            <v>技术硬件与设备</v>
          </cell>
          <cell r="Q244" t="str">
            <v>电脑与外围设备</v>
          </cell>
          <cell r="BC244">
            <v>0</v>
          </cell>
          <cell r="BD244">
            <v>-1.7638483965014488E-2</v>
          </cell>
          <cell r="BE244">
            <v>0.14882372996931478</v>
          </cell>
          <cell r="BF244">
            <v>0</v>
          </cell>
          <cell r="BG244">
            <v>0</v>
          </cell>
        </row>
        <row r="245">
          <cell r="D245" t="str">
            <v>建筑与工程</v>
          </cell>
          <cell r="M245">
            <v>59.7115311624</v>
          </cell>
          <cell r="N245">
            <v>53.381659912029392</v>
          </cell>
          <cell r="O245" t="str">
            <v>工业</v>
          </cell>
          <cell r="P245" t="str">
            <v>资本货物</v>
          </cell>
          <cell r="Q245" t="str">
            <v>建筑与工程Ⅲ</v>
          </cell>
          <cell r="BC245">
            <v>4.0603248259860961E-2</v>
          </cell>
          <cell r="BD245">
            <v>4.5454545454545518E-2</v>
          </cell>
          <cell r="BE245">
            <v>-0.28314680654829355</v>
          </cell>
          <cell r="BF245">
            <v>0.2444879913330078</v>
          </cell>
          <cell r="BG245">
            <v>-6.992400169372559E-2</v>
          </cell>
        </row>
        <row r="246">
          <cell r="D246" t="str">
            <v>化肥与农用化工</v>
          </cell>
          <cell r="M246">
            <v>63.549784539999997</v>
          </cell>
          <cell r="N246">
            <v>56.763874211002609</v>
          </cell>
          <cell r="O246" t="str">
            <v>材料</v>
          </cell>
          <cell r="P246" t="str">
            <v>材料Ⅱ</v>
          </cell>
          <cell r="Q246" t="str">
            <v>化工</v>
          </cell>
          <cell r="BC246">
            <v>0</v>
          </cell>
          <cell r="BD246">
            <v>0</v>
          </cell>
          <cell r="BE246">
            <v>-0.31423029840838707</v>
          </cell>
          <cell r="BF246">
            <v>5.1984000205993655E-2</v>
          </cell>
          <cell r="BG246">
            <v>0.10394399642944335</v>
          </cell>
        </row>
        <row r="247">
          <cell r="D247" t="str">
            <v>化肥与农用化工</v>
          </cell>
          <cell r="M247">
            <v>154.409976</v>
          </cell>
          <cell r="N247">
            <v>137.79467170417112</v>
          </cell>
          <cell r="O247" t="str">
            <v>材料</v>
          </cell>
          <cell r="P247" t="str">
            <v>材料Ⅱ</v>
          </cell>
          <cell r="Q247" t="str">
            <v>化工</v>
          </cell>
          <cell r="BC247">
            <v>2.5581395348837212E-2</v>
          </cell>
          <cell r="BD247">
            <v>-6.6995768688293322E-2</v>
          </cell>
          <cell r="BE247">
            <v>7.7096765655952679E-2</v>
          </cell>
          <cell r="BF247">
            <v>0.41449199676513671</v>
          </cell>
          <cell r="BG247">
            <v>0</v>
          </cell>
        </row>
        <row r="248">
          <cell r="D248" t="str">
            <v>建筑与工程</v>
          </cell>
          <cell r="M248">
            <v>287.59390000000002</v>
          </cell>
          <cell r="N248">
            <v>256.33238221231505</v>
          </cell>
          <cell r="O248" t="str">
            <v>工业</v>
          </cell>
          <cell r="P248" t="str">
            <v>资本货物</v>
          </cell>
          <cell r="Q248" t="str">
            <v>建筑与工程Ⅲ</v>
          </cell>
          <cell r="BC248">
            <v>-1.7123287671232511E-3</v>
          </cell>
          <cell r="BD248">
            <v>0</v>
          </cell>
          <cell r="BE248">
            <v>-0.38522908680320228</v>
          </cell>
          <cell r="BF248">
            <v>9.0240001678466797E-2</v>
          </cell>
          <cell r="BG248">
            <v>2.4251999855041503E-2</v>
          </cell>
        </row>
        <row r="249">
          <cell r="D249" t="str">
            <v>重型电气设备</v>
          </cell>
          <cell r="M249">
            <v>51.769871999999999</v>
          </cell>
          <cell r="N249">
            <v>46.07598438841481</v>
          </cell>
          <cell r="O249" t="str">
            <v>工业</v>
          </cell>
          <cell r="P249" t="str">
            <v>资本货物</v>
          </cell>
          <cell r="Q249" t="str">
            <v>电气设备</v>
          </cell>
          <cell r="BC249">
            <v>7.7220077220077291E-3</v>
          </cell>
          <cell r="BD249">
            <v>-2.7932960893854813E-2</v>
          </cell>
          <cell r="BE249">
            <v>-0.51416307386217885</v>
          </cell>
          <cell r="BF249">
            <v>0.22174800872802736</v>
          </cell>
          <cell r="BG249">
            <v>0</v>
          </cell>
        </row>
        <row r="250">
          <cell r="D250" t="str">
            <v>公路与铁路</v>
          </cell>
          <cell r="M250">
            <v>260.7651894494</v>
          </cell>
          <cell r="N250">
            <v>231.90867248721068</v>
          </cell>
          <cell r="O250" t="str">
            <v>工业</v>
          </cell>
          <cell r="P250" t="str">
            <v>运输</v>
          </cell>
          <cell r="Q250" t="str">
            <v>交通基础设施</v>
          </cell>
          <cell r="BC250">
            <v>1.6885553470919298E-2</v>
          </cell>
          <cell r="BD250">
            <v>4.2307692307692261E-2</v>
          </cell>
          <cell r="BE250">
            <v>-0.15985223333871254</v>
          </cell>
          <cell r="BF250">
            <v>0.3960240173339844</v>
          </cell>
          <cell r="BG250">
            <v>8.8115997314453132E-2</v>
          </cell>
        </row>
        <row r="251">
          <cell r="D251" t="str">
            <v>机动车零配件与设备</v>
          </cell>
          <cell r="M251">
            <v>189.480917046</v>
          </cell>
          <cell r="N251">
            <v>168.378854896701</v>
          </cell>
          <cell r="O251" t="str">
            <v>可选消费</v>
          </cell>
          <cell r="P251" t="str">
            <v>汽车与汽车零部件</v>
          </cell>
          <cell r="Q251" t="str">
            <v>汽车零配件</v>
          </cell>
          <cell r="BC251">
            <v>5.3533190578159218E-3</v>
          </cell>
          <cell r="BD251">
            <v>-5.2966101694914124E-3</v>
          </cell>
          <cell r="BE251">
            <v>-0.44426954948114172</v>
          </cell>
          <cell r="BF251">
            <v>-0.12289199829101563</v>
          </cell>
          <cell r="BG251">
            <v>-4.9703998565673826E-2</v>
          </cell>
        </row>
        <row r="252">
          <cell r="D252" t="str">
            <v>复合型公用事业</v>
          </cell>
          <cell r="M252">
            <v>31.375699999999995</v>
          </cell>
          <cell r="N252">
            <v>27.830863519520861</v>
          </cell>
          <cell r="O252" t="str">
            <v>公用事业</v>
          </cell>
          <cell r="P252" t="str">
            <v>公用事业Ⅱ</v>
          </cell>
          <cell r="Q252" t="str">
            <v>复合型公用事业Ⅲ</v>
          </cell>
          <cell r="BC252">
            <v>2.7643400138216902E-2</v>
          </cell>
          <cell r="BD252">
            <v>-5.2262587635436605E-2</v>
          </cell>
          <cell r="BE252">
            <v>-0.14638346727898979</v>
          </cell>
          <cell r="BF252">
            <v>0.20860799789428711</v>
          </cell>
          <cell r="BG252">
            <v>0.15814800262451173</v>
          </cell>
        </row>
        <row r="253">
          <cell r="D253" t="str">
            <v>钢铁</v>
          </cell>
          <cell r="M253">
            <v>64.390112754100002</v>
          </cell>
          <cell r="N253">
            <v>57.048400274133336</v>
          </cell>
          <cell r="O253" t="str">
            <v>材料</v>
          </cell>
          <cell r="P253" t="str">
            <v>材料Ⅱ</v>
          </cell>
          <cell r="Q253" t="str">
            <v>金属、非金属与采矿</v>
          </cell>
          <cell r="BC253">
            <v>-1.4652014652014666E-2</v>
          </cell>
          <cell r="BD253">
            <v>-2.8880866425992805E-2</v>
          </cell>
          <cell r="BE253">
            <v>-0.34390243902439022</v>
          </cell>
          <cell r="BF253">
            <v>0.3213479995727539</v>
          </cell>
          <cell r="BG253">
            <v>-6.528000235557556E-3</v>
          </cell>
        </row>
        <row r="254">
          <cell r="D254" t="str">
            <v>特种化工</v>
          </cell>
          <cell r="M254">
            <v>32.885999999999996</v>
          </cell>
          <cell r="N254">
            <v>29.125410626874302</v>
          </cell>
          <cell r="O254" t="str">
            <v>材料</v>
          </cell>
          <cell r="P254" t="str">
            <v>材料Ⅱ</v>
          </cell>
          <cell r="Q254" t="str">
            <v>化工</v>
          </cell>
          <cell r="BC254">
            <v>9.9502487562189157E-3</v>
          </cell>
          <cell r="BD254">
            <v>-8.5470085470085826E-3</v>
          </cell>
          <cell r="BE254">
            <v>0.13810849317030777</v>
          </cell>
          <cell r="BF254">
            <v>0.34328399658203124</v>
          </cell>
          <cell r="BG254">
            <v>0</v>
          </cell>
        </row>
        <row r="255">
          <cell r="D255" t="str">
            <v>航空</v>
          </cell>
          <cell r="M255">
            <v>888.45459317160021</v>
          </cell>
          <cell r="N255">
            <v>785.97104764089249</v>
          </cell>
          <cell r="O255" t="str">
            <v>工业</v>
          </cell>
          <cell r="P255" t="str">
            <v>运输</v>
          </cell>
          <cell r="Q255" t="str">
            <v>航空Ⅲ</v>
          </cell>
          <cell r="BC255">
            <v>-7.3099415204678107E-3</v>
          </cell>
          <cell r="BD255">
            <v>-3.551136363636364E-2</v>
          </cell>
          <cell r="BE255">
            <v>-0.25793308411991051</v>
          </cell>
          <cell r="BF255">
            <v>0.47707199096679687</v>
          </cell>
          <cell r="BG255">
            <v>7.800000160932541E-4</v>
          </cell>
        </row>
        <row r="256">
          <cell r="D256" t="str">
            <v>建筑产品</v>
          </cell>
          <cell r="M256">
            <v>99.53464559999999</v>
          </cell>
          <cell r="N256">
            <v>88.032584264430866</v>
          </cell>
          <cell r="O256" t="str">
            <v>工业</v>
          </cell>
          <cell r="P256" t="str">
            <v>资本货物</v>
          </cell>
          <cell r="Q256" t="str">
            <v>建筑产品Ⅲ</v>
          </cell>
          <cell r="BC256">
            <v>-2.934537246049659E-2</v>
          </cell>
          <cell r="BD256">
            <v>0.1338167435728411</v>
          </cell>
          <cell r="BE256">
            <v>0.29859997270054633</v>
          </cell>
          <cell r="BF256">
            <v>0.36460800170898439</v>
          </cell>
          <cell r="BG256">
            <v>0.18239999771118165</v>
          </cell>
        </row>
        <row r="257">
          <cell r="D257" t="str">
            <v>房地产开发</v>
          </cell>
          <cell r="M257">
            <v>555.9934701919999</v>
          </cell>
          <cell r="N257">
            <v>491.2811764214909</v>
          </cell>
          <cell r="O257" t="str">
            <v>金融</v>
          </cell>
          <cell r="P257" t="str">
            <v>房地产</v>
          </cell>
          <cell r="Q257" t="str">
            <v>房地产管理与开发</v>
          </cell>
          <cell r="BC257">
            <v>-3.5166816952209252E-2</v>
          </cell>
          <cell r="BD257">
            <v>1.5180265654648971E-2</v>
          </cell>
          <cell r="BE257">
            <v>-0.20219403173374889</v>
          </cell>
          <cell r="BF257">
            <v>0.59448001861572264</v>
          </cell>
          <cell r="BG257">
            <v>0.29642400741577146</v>
          </cell>
        </row>
        <row r="258">
          <cell r="D258" t="str">
            <v>航空</v>
          </cell>
          <cell r="M258">
            <v>376.4</v>
          </cell>
          <cell r="N258">
            <v>332.27719755448146</v>
          </cell>
          <cell r="O258" t="str">
            <v>工业</v>
          </cell>
          <cell r="P258" t="str">
            <v>运输</v>
          </cell>
          <cell r="Q258" t="str">
            <v>航空Ⅲ</v>
          </cell>
          <cell r="BC258">
            <v>4.69784326286566E-3</v>
          </cell>
          <cell r="BD258">
            <v>-8.3560576548500312E-2</v>
          </cell>
          <cell r="BE258">
            <v>7.3262837299328129E-2</v>
          </cell>
          <cell r="BF258">
            <v>0</v>
          </cell>
          <cell r="BG258">
            <v>0</v>
          </cell>
        </row>
        <row r="259">
          <cell r="D259" t="str">
            <v>纸制品</v>
          </cell>
          <cell r="M259">
            <v>160.91529430770001</v>
          </cell>
          <cell r="N259">
            <v>141.74568297824587</v>
          </cell>
          <cell r="O259" t="str">
            <v>材料</v>
          </cell>
          <cell r="P259" t="str">
            <v>材料Ⅱ</v>
          </cell>
          <cell r="Q259" t="str">
            <v>纸与林木产品</v>
          </cell>
          <cell r="BC259">
            <v>7.9220779220779261E-2</v>
          </cell>
          <cell r="BD259">
            <v>6.4020486555697934E-2</v>
          </cell>
          <cell r="BE259">
            <v>0.1928998111725522</v>
          </cell>
          <cell r="BF259">
            <v>0.3813840103149414</v>
          </cell>
          <cell r="BG259">
            <v>6.4583997726440426E-2</v>
          </cell>
        </row>
        <row r="260">
          <cell r="D260" t="str">
            <v>信息科技咨询与其它服务</v>
          </cell>
          <cell r="M260">
            <v>75.492656300600004</v>
          </cell>
          <cell r="N260">
            <v>66.435687418350298</v>
          </cell>
          <cell r="O260" t="str">
            <v>信息技术</v>
          </cell>
          <cell r="P260" t="str">
            <v>软件与服务</v>
          </cell>
          <cell r="Q260" t="str">
            <v>信息技术服务</v>
          </cell>
          <cell r="BC260">
            <v>1.5717092337917498E-2</v>
          </cell>
          <cell r="BD260">
            <v>2.1739130434782674E-2</v>
          </cell>
          <cell r="BE260">
            <v>-0.34092102193095947</v>
          </cell>
          <cell r="BF260">
            <v>0.56742000579833984</v>
          </cell>
          <cell r="BG260">
            <v>0.35817600250244142</v>
          </cell>
        </row>
        <row r="261">
          <cell r="D261" t="str">
            <v>半导体产品</v>
          </cell>
          <cell r="M261">
            <v>178.1653923792</v>
          </cell>
          <cell r="N261">
            <v>156.7017327184524</v>
          </cell>
          <cell r="O261" t="str">
            <v>信息技术</v>
          </cell>
          <cell r="P261" t="str">
            <v>半导体与半导体生产设备</v>
          </cell>
          <cell r="Q261" t="str">
            <v>半导体产品与半导体设备</v>
          </cell>
          <cell r="BC261">
            <v>7.81893004115225E-2</v>
          </cell>
          <cell r="BD261">
            <v>0.16272189349112412</v>
          </cell>
          <cell r="BE261">
            <v>0.4448952498299843</v>
          </cell>
          <cell r="BF261">
            <v>0.73417198181152343</v>
          </cell>
          <cell r="BG261">
            <v>0</v>
          </cell>
        </row>
        <row r="262">
          <cell r="D262" t="str">
            <v>建材</v>
          </cell>
          <cell r="M262">
            <v>42.8741693232</v>
          </cell>
          <cell r="N262">
            <v>37.689335071402112</v>
          </cell>
          <cell r="O262" t="str">
            <v>材料</v>
          </cell>
          <cell r="P262" t="str">
            <v>材料Ⅱ</v>
          </cell>
          <cell r="Q262" t="str">
            <v>建材Ⅲ</v>
          </cell>
          <cell r="BC262">
            <v>-2.6462395543175418E-2</v>
          </cell>
          <cell r="BD262">
            <v>-1.6877637130801704E-2</v>
          </cell>
          <cell r="BE262">
            <v>-0.34306469736670014</v>
          </cell>
          <cell r="BF262">
            <v>0.15884400367736817</v>
          </cell>
          <cell r="BG262">
            <v>-9.8399996757507317E-4</v>
          </cell>
        </row>
        <row r="263">
          <cell r="D263" t="str">
            <v>半导体产品</v>
          </cell>
          <cell r="M263">
            <v>24.747970611600003</v>
          </cell>
          <cell r="N263">
            <v>21.725732388913659</v>
          </cell>
          <cell r="O263" t="str">
            <v>信息技术</v>
          </cell>
          <cell r="P263" t="str">
            <v>半导体与半导体生产设备</v>
          </cell>
          <cell r="Q263" t="str">
            <v>半导体产品与半导体设备</v>
          </cell>
          <cell r="BC263">
            <v>0</v>
          </cell>
          <cell r="BD263">
            <v>0</v>
          </cell>
          <cell r="BE263">
            <v>0.36832740213523135</v>
          </cell>
          <cell r="BF263">
            <v>0.33312000274658204</v>
          </cell>
          <cell r="BG263">
            <v>0.1652039909362793</v>
          </cell>
        </row>
        <row r="264">
          <cell r="D264" t="str">
            <v>食品加工与肉类</v>
          </cell>
          <cell r="M264">
            <v>68.481298800000005</v>
          </cell>
          <cell r="N264">
            <v>60.113559612866858</v>
          </cell>
          <cell r="O264" t="str">
            <v>日常消费</v>
          </cell>
          <cell r="P264" t="str">
            <v>食品、饮料与烟草</v>
          </cell>
          <cell r="Q264" t="str">
            <v>食品</v>
          </cell>
          <cell r="BC264">
            <v>0</v>
          </cell>
          <cell r="BD264">
            <v>1.8413597733711162E-2</v>
          </cell>
          <cell r="BE264">
            <v>-0.24193122487736965</v>
          </cell>
          <cell r="BF264">
            <v>0.14697600364685059</v>
          </cell>
          <cell r="BG264">
            <v>0.11529600143432617</v>
          </cell>
        </row>
        <row r="265">
          <cell r="D265" t="str">
            <v>食品加工与肉类</v>
          </cell>
          <cell r="M265">
            <v>61.328591500000002</v>
          </cell>
          <cell r="N265">
            <v>53.759944985781395</v>
          </cell>
          <cell r="O265" t="str">
            <v>日常消费</v>
          </cell>
          <cell r="P265" t="str">
            <v>食品、饮料与烟草</v>
          </cell>
          <cell r="Q265" t="str">
            <v>食品</v>
          </cell>
          <cell r="BC265">
            <v>5.9317844784973301E-3</v>
          </cell>
          <cell r="BD265">
            <v>1.3951170901843604E-2</v>
          </cell>
          <cell r="BE265">
            <v>-0.14286059061333548</v>
          </cell>
          <cell r="BF265">
            <v>7.9092001914978033E-2</v>
          </cell>
          <cell r="BG265">
            <v>0.23644800186157228</v>
          </cell>
        </row>
        <row r="266">
          <cell r="D266" t="str">
            <v>房地产开发</v>
          </cell>
          <cell r="M266">
            <v>731.64480514840011</v>
          </cell>
          <cell r="N266">
            <v>641.3303180046895</v>
          </cell>
          <cell r="O266" t="str">
            <v>金融</v>
          </cell>
          <cell r="P266" t="str">
            <v>房地产</v>
          </cell>
          <cell r="Q266" t="str">
            <v>房地产管理与开发</v>
          </cell>
          <cell r="BC266">
            <v>-6.0216780409473539E-3</v>
          </cell>
          <cell r="BD266">
            <v>3.0378693300041632E-2</v>
          </cell>
          <cell r="BE266">
            <v>-1.2042522469657349E-2</v>
          </cell>
          <cell r="BF266">
            <v>0.62050800323486333</v>
          </cell>
          <cell r="BG266">
            <v>0.69602401733398434</v>
          </cell>
        </row>
        <row r="267">
          <cell r="D267" t="str">
            <v>家用电器</v>
          </cell>
          <cell r="M267">
            <v>156.60397036640003</v>
          </cell>
          <cell r="N267">
            <v>137.15288336679635</v>
          </cell>
          <cell r="O267" t="str">
            <v>可选消费</v>
          </cell>
          <cell r="P267" t="str">
            <v>耐用消费品与服装</v>
          </cell>
          <cell r="Q267" t="str">
            <v>家庭耐用消费品</v>
          </cell>
          <cell r="BC267">
            <v>1.8930041152263408E-2</v>
          </cell>
          <cell r="BD267">
            <v>0.10782997762863535</v>
          </cell>
          <cell r="BE267">
            <v>0.39380031627934381</v>
          </cell>
          <cell r="BF267">
            <v>0.50880001068115233</v>
          </cell>
          <cell r="BG267">
            <v>0.10027199745178222</v>
          </cell>
        </row>
        <row r="268">
          <cell r="D268" t="str">
            <v>公路与铁路</v>
          </cell>
          <cell r="M268">
            <v>427.70476274999999</v>
          </cell>
          <cell r="N268">
            <v>374.19315210166661</v>
          </cell>
          <cell r="O268" t="str">
            <v>工业</v>
          </cell>
          <cell r="P268" t="str">
            <v>运输</v>
          </cell>
          <cell r="Q268" t="str">
            <v>交通基础设施</v>
          </cell>
          <cell r="BC268">
            <v>-1.6222479721900412E-2</v>
          </cell>
          <cell r="BD268">
            <v>7.6045627376425923E-2</v>
          </cell>
          <cell r="BE268">
            <v>0.15786687824657469</v>
          </cell>
          <cell r="BF268">
            <v>0.25517999649047851</v>
          </cell>
          <cell r="BG268">
            <v>0.11606399536132812</v>
          </cell>
        </row>
        <row r="269">
          <cell r="D269" t="str">
            <v>生物科技</v>
          </cell>
          <cell r="M269">
            <v>81.532319999999999</v>
          </cell>
          <cell r="N269">
            <v>71.323925486429317</v>
          </cell>
          <cell r="O269" t="str">
            <v>医疗保健</v>
          </cell>
          <cell r="P269" t="str">
            <v>制药、生物科技与生命科学</v>
          </cell>
          <cell r="Q269" t="str">
            <v>生物科技Ⅲ</v>
          </cell>
          <cell r="BC269">
            <v>-2.0790020790021086E-3</v>
          </cell>
          <cell r="BD269">
            <v>-8.2217973231357502E-2</v>
          </cell>
          <cell r="BE269">
            <v>-0.13752852810930169</v>
          </cell>
          <cell r="BF269">
            <v>0.27177600860595702</v>
          </cell>
          <cell r="BG269">
            <v>0</v>
          </cell>
        </row>
        <row r="270">
          <cell r="D270" t="str">
            <v>电气部件与设备</v>
          </cell>
          <cell r="M270">
            <v>135.35766298589996</v>
          </cell>
          <cell r="N270">
            <v>118.29438591592148</v>
          </cell>
          <cell r="O270" t="str">
            <v>工业</v>
          </cell>
          <cell r="P270" t="str">
            <v>资本货物</v>
          </cell>
          <cell r="Q270" t="str">
            <v>电气设备</v>
          </cell>
          <cell r="BC270">
            <v>2.2420147420147321E-2</v>
          </cell>
          <cell r="BD270">
            <v>6.5279999999999977E-2</v>
          </cell>
          <cell r="BE270">
            <v>-2.4695886448558975E-2</v>
          </cell>
          <cell r="BF270">
            <v>0.29751600265502931</v>
          </cell>
          <cell r="BG270">
            <v>0</v>
          </cell>
        </row>
        <row r="271">
          <cell r="D271" t="str">
            <v>中药</v>
          </cell>
          <cell r="M271">
            <v>172.71282520589997</v>
          </cell>
          <cell r="N271">
            <v>150.58123940253569</v>
          </cell>
          <cell r="O271" t="str">
            <v>医疗保健</v>
          </cell>
          <cell r="P271" t="str">
            <v>制药、生物科技与生命科学</v>
          </cell>
          <cell r="Q271" t="str">
            <v>制药</v>
          </cell>
          <cell r="BC271">
            <v>-6.0000000000000496E-3</v>
          </cell>
          <cell r="BD271">
            <v>-6.4030131826741971E-2</v>
          </cell>
          <cell r="BE271">
            <v>-0.20891050465310268</v>
          </cell>
          <cell r="BF271">
            <v>0.20396400451660157</v>
          </cell>
          <cell r="BG271">
            <v>0.10921199798583985</v>
          </cell>
        </row>
        <row r="272">
          <cell r="D272" t="str">
            <v>服装、服饰与奢侈品</v>
          </cell>
          <cell r="M272">
            <v>127.84500000000001</v>
          </cell>
          <cell r="N272">
            <v>111.45923950870092</v>
          </cell>
          <cell r="O272" t="str">
            <v>可选消费</v>
          </cell>
          <cell r="P272" t="str">
            <v>耐用消费品与服装</v>
          </cell>
          <cell r="Q272" t="str">
            <v>纺织品、服装与奢侈品</v>
          </cell>
          <cell r="BC272">
            <v>-7.337526205450578E-3</v>
          </cell>
          <cell r="BD272">
            <v>-8.1474296799224036E-2</v>
          </cell>
          <cell r="BE272">
            <v>-0.13932725644161847</v>
          </cell>
          <cell r="BF272">
            <v>0.33100799560546873</v>
          </cell>
          <cell r="BG272">
            <v>0.11657999992370606</v>
          </cell>
        </row>
        <row r="273">
          <cell r="D273" t="str">
            <v>西药</v>
          </cell>
          <cell r="M273">
            <v>273.16737979049998</v>
          </cell>
          <cell r="N273">
            <v>237.74753975771259</v>
          </cell>
          <cell r="O273" t="str">
            <v>医疗保健</v>
          </cell>
          <cell r="P273" t="str">
            <v>制药、生物科技与生命科学</v>
          </cell>
          <cell r="Q273" t="str">
            <v>制药</v>
          </cell>
          <cell r="BC273">
            <v>-1.6604400166043648E-3</v>
          </cell>
          <cell r="BD273">
            <v>-4.8655063291139257E-2</v>
          </cell>
          <cell r="BE273">
            <v>0.40822429789246256</v>
          </cell>
          <cell r="BF273">
            <v>0.53143199920654294</v>
          </cell>
          <cell r="BG273">
            <v>0.31891199111938479</v>
          </cell>
        </row>
        <row r="274">
          <cell r="D274" t="str">
            <v>石油与天然气的储存和运输</v>
          </cell>
          <cell r="M274">
            <v>102.8669786625</v>
          </cell>
          <cell r="N274">
            <v>89.488318335173147</v>
          </cell>
          <cell r="O274" t="str">
            <v>能源</v>
          </cell>
          <cell r="P274" t="str">
            <v>能源Ⅱ</v>
          </cell>
          <cell r="Q274" t="str">
            <v>石油、天然气与供消费用燃料</v>
          </cell>
          <cell r="BC274">
            <v>9.8253275109170153E-3</v>
          </cell>
          <cell r="BD274">
            <v>-1.490947816826417E-2</v>
          </cell>
          <cell r="BE274">
            <v>-0.36082302102613728</v>
          </cell>
          <cell r="BF274">
            <v>4.2239999771118168E-3</v>
          </cell>
          <cell r="BG274">
            <v>1.7508000135421753E-2</v>
          </cell>
        </row>
        <row r="275">
          <cell r="D275" t="str">
            <v>环境与设施服务</v>
          </cell>
          <cell r="M275">
            <v>133.21548847800003</v>
          </cell>
          <cell r="N275">
            <v>115.82235403620636</v>
          </cell>
          <cell r="O275" t="str">
            <v>工业</v>
          </cell>
          <cell r="P275" t="str">
            <v>商业和专业服务</v>
          </cell>
          <cell r="Q275" t="str">
            <v>商业服务与用品</v>
          </cell>
          <cell r="BC275">
            <v>-1.2534059945504109E-2</v>
          </cell>
          <cell r="BD275">
            <v>-3.8216560509554083E-2</v>
          </cell>
          <cell r="BE275">
            <v>-0.43871812267685589</v>
          </cell>
          <cell r="BF275">
            <v>0.48164398193359376</v>
          </cell>
          <cell r="BG275">
            <v>0.20170799255371094</v>
          </cell>
        </row>
        <row r="276">
          <cell r="D276" t="str">
            <v>工业机械</v>
          </cell>
          <cell r="M276">
            <v>32.046201840000002</v>
          </cell>
          <cell r="N276">
            <v>27.836076384058138</v>
          </cell>
          <cell r="O276" t="str">
            <v>工业</v>
          </cell>
          <cell r="P276" t="str">
            <v>资本货物</v>
          </cell>
          <cell r="Q276" t="str">
            <v>机械</v>
          </cell>
          <cell r="BC276">
            <v>1.6765285996055219E-2</v>
          </cell>
          <cell r="BD276">
            <v>-7.2007200720071912E-2</v>
          </cell>
          <cell r="BE276">
            <v>0.32552570861737357</v>
          </cell>
          <cell r="BF276">
            <v>0.68487602233886724</v>
          </cell>
          <cell r="BG276">
            <v>0.28048799514770506</v>
          </cell>
        </row>
        <row r="277">
          <cell r="D277" t="str">
            <v>化纤</v>
          </cell>
          <cell r="M277">
            <v>49.003246032</v>
          </cell>
          <cell r="N277">
            <v>42.550335261418013</v>
          </cell>
          <cell r="O277" t="str">
            <v>材料</v>
          </cell>
          <cell r="P277" t="str">
            <v>材料Ⅱ</v>
          </cell>
          <cell r="Q277" t="str">
            <v>化工</v>
          </cell>
          <cell r="BC277">
            <v>-2.6809651474530259E-3</v>
          </cell>
          <cell r="BD277">
            <v>-7.5201988812927223E-2</v>
          </cell>
          <cell r="BE277">
            <v>2.2824071342243783E-2</v>
          </cell>
          <cell r="BF277">
            <v>0.31359600067138671</v>
          </cell>
          <cell r="BG277">
            <v>0.33099601745605467</v>
          </cell>
        </row>
        <row r="278">
          <cell r="D278" t="str">
            <v>中药</v>
          </cell>
          <cell r="M278">
            <v>80.419600799999998</v>
          </cell>
          <cell r="N278">
            <v>69.775243507428883</v>
          </cell>
          <cell r="O278" t="str">
            <v>医疗保健</v>
          </cell>
          <cell r="P278" t="str">
            <v>制药、生物科技与生命科学</v>
          </cell>
          <cell r="Q278" t="str">
            <v>制药</v>
          </cell>
          <cell r="BC278">
            <v>-2.7472527472526889E-3</v>
          </cell>
          <cell r="BD278">
            <v>1.5858208955223874E-2</v>
          </cell>
          <cell r="BE278">
            <v>0.11498991925181939</v>
          </cell>
          <cell r="BF278">
            <v>5.8020000457763669E-2</v>
          </cell>
          <cell r="BG278">
            <v>0.17414400100708008</v>
          </cell>
        </row>
        <row r="279">
          <cell r="D279" t="str">
            <v>电力</v>
          </cell>
          <cell r="M279">
            <v>282.27180170640003</v>
          </cell>
          <cell r="N279">
            <v>244.74559670884491</v>
          </cell>
          <cell r="O279" t="str">
            <v>公用事业</v>
          </cell>
          <cell r="P279" t="str">
            <v>公用事业Ⅱ</v>
          </cell>
          <cell r="Q279" t="str">
            <v>电力Ⅲ</v>
          </cell>
          <cell r="BC279">
            <v>-4.1958041958042305E-3</v>
          </cell>
          <cell r="BD279">
            <v>-2.1978021978021997E-2</v>
          </cell>
          <cell r="BE279">
            <v>-0.15220102244591274</v>
          </cell>
          <cell r="BF279">
            <v>0.4181520080566406</v>
          </cell>
          <cell r="BG279">
            <v>0.11038800239562989</v>
          </cell>
        </row>
        <row r="280">
          <cell r="D280" t="str">
            <v>海港与服务</v>
          </cell>
          <cell r="M280">
            <v>165.709914502</v>
          </cell>
          <cell r="N280">
            <v>143.63342291712715</v>
          </cell>
          <cell r="O280" t="str">
            <v>工业</v>
          </cell>
          <cell r="P280" t="str">
            <v>运输</v>
          </cell>
          <cell r="Q280" t="str">
            <v>交通基础设施</v>
          </cell>
          <cell r="BC280">
            <v>4.390934844192642E-2</v>
          </cell>
          <cell r="BD280">
            <v>-3.7859007832898174E-2</v>
          </cell>
          <cell r="BE280">
            <v>-0.44706619690955018</v>
          </cell>
          <cell r="BF280">
            <v>0.58844398498535155</v>
          </cell>
          <cell r="BG280">
            <v>0.19825199127197266</v>
          </cell>
        </row>
        <row r="281">
          <cell r="D281" t="str">
            <v>海港与服务</v>
          </cell>
          <cell r="M281">
            <v>156.25595889599998</v>
          </cell>
          <cell r="N281">
            <v>135.36032165796274</v>
          </cell>
          <cell r="O281" t="str">
            <v>工业</v>
          </cell>
          <cell r="P281" t="str">
            <v>运输</v>
          </cell>
          <cell r="Q281" t="str">
            <v>交通基础设施</v>
          </cell>
          <cell r="BC281">
            <v>3.2258064516128343E-3</v>
          </cell>
          <cell r="BD281">
            <v>2.5274725274725324E-2</v>
          </cell>
          <cell r="BE281">
            <v>-0.54681369789997658</v>
          </cell>
          <cell r="BF281">
            <v>0.10267200469970703</v>
          </cell>
          <cell r="BG281">
            <v>8.628000259399414E-2</v>
          </cell>
        </row>
        <row r="282">
          <cell r="D282" t="str">
            <v>摩托车制造</v>
          </cell>
          <cell r="M282">
            <v>155.99244740520001</v>
          </cell>
          <cell r="N282">
            <v>134.9089734935468</v>
          </cell>
          <cell r="O282" t="str">
            <v>可选消费</v>
          </cell>
          <cell r="P282" t="str">
            <v>汽车与汽车零部件</v>
          </cell>
          <cell r="Q282" t="str">
            <v>汽车</v>
          </cell>
          <cell r="BC282">
            <v>5.555555555555558E-2</v>
          </cell>
          <cell r="BD282">
            <v>-1.5856236786469382E-2</v>
          </cell>
          <cell r="BE282">
            <v>3.4389612725495761E-2</v>
          </cell>
          <cell r="BF282">
            <v>0.44389198303222654</v>
          </cell>
          <cell r="BG282">
            <v>0</v>
          </cell>
        </row>
        <row r="283">
          <cell r="D283" t="str">
            <v>建筑与工程</v>
          </cell>
          <cell r="M283">
            <v>158.3235</v>
          </cell>
          <cell r="N283">
            <v>136.63751648239318</v>
          </cell>
          <cell r="O283" t="str">
            <v>工业</v>
          </cell>
          <cell r="P283" t="str">
            <v>资本货物</v>
          </cell>
          <cell r="Q283" t="str">
            <v>建筑与工程Ⅲ</v>
          </cell>
          <cell r="BC283">
            <v>0</v>
          </cell>
          <cell r="BD283">
            <v>0</v>
          </cell>
          <cell r="BE283">
            <v>0.66008035371363016</v>
          </cell>
          <cell r="BF283">
            <v>0.90476402282714841</v>
          </cell>
          <cell r="BG283">
            <v>0.42867599487304686</v>
          </cell>
        </row>
        <row r="284">
          <cell r="D284" t="str">
            <v>建筑产品</v>
          </cell>
          <cell r="M284">
            <v>70.588800000000006</v>
          </cell>
          <cell r="N284">
            <v>60.795174160077174</v>
          </cell>
          <cell r="O284" t="str">
            <v>工业</v>
          </cell>
          <cell r="P284" t="str">
            <v>资本货物</v>
          </cell>
          <cell r="Q284" t="str">
            <v>建筑产品Ⅲ</v>
          </cell>
          <cell r="BC284">
            <v>-6.0827250608273369E-3</v>
          </cell>
          <cell r="BD284">
            <v>2.4539877300612974E-3</v>
          </cell>
          <cell r="BE284">
            <v>-3.3219060052983508E-2</v>
          </cell>
          <cell r="BF284">
            <v>0.38793598175048827</v>
          </cell>
          <cell r="BG284">
            <v>0</v>
          </cell>
        </row>
        <row r="285">
          <cell r="D285" t="str">
            <v>白酒与葡萄酒</v>
          </cell>
          <cell r="M285">
            <v>193.02</v>
          </cell>
          <cell r="N285">
            <v>166.05877883127414</v>
          </cell>
          <cell r="O285" t="str">
            <v>日常消费</v>
          </cell>
          <cell r="P285" t="str">
            <v>食品、饮料与烟草</v>
          </cell>
          <cell r="Q285" t="str">
            <v>饮料</v>
          </cell>
          <cell r="BC285">
            <v>1.7394054395951951E-2</v>
          </cell>
          <cell r="BD285">
            <v>-1.9506248095092975E-2</v>
          </cell>
          <cell r="BE285">
            <v>0</v>
          </cell>
          <cell r="BF285">
            <v>0</v>
          </cell>
          <cell r="BG285">
            <v>0</v>
          </cell>
        </row>
        <row r="286">
          <cell r="D286" t="str">
            <v>钢铁</v>
          </cell>
          <cell r="M286">
            <v>69.115026057599991</v>
          </cell>
          <cell r="N286">
            <v>59.444215811300474</v>
          </cell>
          <cell r="O286" t="str">
            <v>材料</v>
          </cell>
          <cell r="P286" t="str">
            <v>材料Ⅱ</v>
          </cell>
          <cell r="Q286" t="str">
            <v>金属、非金属与采矿</v>
          </cell>
          <cell r="BC286">
            <v>-6.0120240480962418E-3</v>
          </cell>
          <cell r="BD286">
            <v>-1.5873015873015886E-2</v>
          </cell>
          <cell r="BE286">
            <v>-0.30042313117066288</v>
          </cell>
          <cell r="BF286">
            <v>0.32223598480224608</v>
          </cell>
          <cell r="BG286">
            <v>3.1607999801635742E-2</v>
          </cell>
        </row>
        <row r="287">
          <cell r="D287" t="str">
            <v>工业机械</v>
          </cell>
          <cell r="M287">
            <v>110.094217116</v>
          </cell>
          <cell r="N287">
            <v>94.652896551996619</v>
          </cell>
          <cell r="O287" t="str">
            <v>工业</v>
          </cell>
          <cell r="P287" t="str">
            <v>资本货物</v>
          </cell>
          <cell r="Q287" t="str">
            <v>机械</v>
          </cell>
          <cell r="BC287">
            <v>0.16679132385938672</v>
          </cell>
          <cell r="BD287">
            <v>3.2428855062872283E-2</v>
          </cell>
          <cell r="BE287">
            <v>-0.28439602987525875</v>
          </cell>
          <cell r="BF287">
            <v>-0.15869999885559083</v>
          </cell>
          <cell r="BG287">
            <v>2.642400026321411E-2</v>
          </cell>
        </row>
        <row r="288">
          <cell r="D288" t="str">
            <v>电子元件</v>
          </cell>
          <cell r="M288">
            <v>129.01787999999999</v>
          </cell>
          <cell r="N288">
            <v>110.66364977689408</v>
          </cell>
          <cell r="O288" t="str">
            <v>信息技术</v>
          </cell>
          <cell r="P288" t="str">
            <v>技术硬件与设备</v>
          </cell>
          <cell r="Q288" t="str">
            <v>电子设备、仪器和元件</v>
          </cell>
          <cell r="BC288">
            <v>3.6082474226804065E-2</v>
          </cell>
          <cell r="BD288">
            <v>-3.2620320855614941E-2</v>
          </cell>
          <cell r="BE288">
            <v>-0.11913148914301197</v>
          </cell>
          <cell r="BF288">
            <v>0.39025199890136719</v>
          </cell>
          <cell r="BG288">
            <v>0.23841600418090819</v>
          </cell>
        </row>
        <row r="289">
          <cell r="D289" t="str">
            <v>化纤</v>
          </cell>
          <cell r="M289">
            <v>78.872204799499983</v>
          </cell>
          <cell r="N289">
            <v>67.616456973666843</v>
          </cell>
          <cell r="O289" t="str">
            <v>材料</v>
          </cell>
          <cell r="P289" t="str">
            <v>材料Ⅱ</v>
          </cell>
          <cell r="Q289" t="str">
            <v>化工</v>
          </cell>
          <cell r="BC289">
            <v>4.7691527143581817E-2</v>
          </cell>
          <cell r="BD289">
            <v>0.10250934329951938</v>
          </cell>
          <cell r="BE289">
            <v>0.25687322328458301</v>
          </cell>
          <cell r="BF289">
            <v>0.65602798461914058</v>
          </cell>
          <cell r="BG289">
            <v>0</v>
          </cell>
        </row>
        <row r="290">
          <cell r="D290" t="str">
            <v>航空货运与物流</v>
          </cell>
          <cell r="M290">
            <v>80.809751594999994</v>
          </cell>
          <cell r="N290">
            <v>69.174070386471968</v>
          </cell>
          <cell r="O290" t="str">
            <v>工业</v>
          </cell>
          <cell r="P290" t="str">
            <v>运输</v>
          </cell>
          <cell r="Q290" t="str">
            <v>航空货运与物流Ⅲ</v>
          </cell>
          <cell r="BC290">
            <v>9.4986807387862887E-2</v>
          </cell>
          <cell r="BD290">
            <v>5.0632911392405104E-2</v>
          </cell>
          <cell r="BE290">
            <v>-0.31911402789171445</v>
          </cell>
          <cell r="BF290">
            <v>0.46744800567626954</v>
          </cell>
          <cell r="BG290">
            <v>0.23216400146484376</v>
          </cell>
        </row>
        <row r="291">
          <cell r="D291" t="str">
            <v>中药</v>
          </cell>
          <cell r="M291">
            <v>293.97874522499995</v>
          </cell>
          <cell r="N291">
            <v>251.44837609753995</v>
          </cell>
          <cell r="O291" t="str">
            <v>医疗保健</v>
          </cell>
          <cell r="P291" t="str">
            <v>制药、生物科技与生命科学</v>
          </cell>
          <cell r="Q291" t="str">
            <v>制药</v>
          </cell>
          <cell r="BC291">
            <v>-1.5564202334630326E-2</v>
          </cell>
          <cell r="BD291">
            <v>1.2449977767896895E-2</v>
          </cell>
          <cell r="BE291">
            <v>-0.31698390825927614</v>
          </cell>
          <cell r="BF291">
            <v>-6.3048000335693355E-2</v>
          </cell>
          <cell r="BG291">
            <v>9.3131999969482418E-2</v>
          </cell>
        </row>
        <row r="292">
          <cell r="D292" t="str">
            <v>中药</v>
          </cell>
          <cell r="M292">
            <v>53.066252722400002</v>
          </cell>
          <cell r="N292">
            <v>45.387424874686843</v>
          </cell>
          <cell r="O292" t="str">
            <v>医疗保健</v>
          </cell>
          <cell r="P292" t="str">
            <v>制药、生物科技与生命科学</v>
          </cell>
          <cell r="Q292" t="str">
            <v>制药</v>
          </cell>
          <cell r="BC292">
            <v>1.1224489795918309E-2</v>
          </cell>
          <cell r="BD292">
            <v>-5.0766283524904157E-2</v>
          </cell>
          <cell r="BE292">
            <v>5.4656355457788561E-3</v>
          </cell>
          <cell r="BF292">
            <v>0.32097599029541013</v>
          </cell>
          <cell r="BG292">
            <v>0.20037599563598632</v>
          </cell>
        </row>
        <row r="293">
          <cell r="D293" t="str">
            <v>资产管理与托管银行</v>
          </cell>
          <cell r="M293">
            <v>421.7843514324</v>
          </cell>
          <cell r="N293">
            <v>360.13341754116817</v>
          </cell>
          <cell r="O293" t="str">
            <v>金融</v>
          </cell>
          <cell r="P293" t="str">
            <v>多元金融</v>
          </cell>
          <cell r="Q293" t="str">
            <v>资本市场</v>
          </cell>
          <cell r="BC293">
            <v>0</v>
          </cell>
          <cell r="BD293">
            <v>0</v>
          </cell>
          <cell r="BE293">
            <v>3.8573842708315709E-2</v>
          </cell>
          <cell r="BF293">
            <v>0.41482799530029296</v>
          </cell>
          <cell r="BG293">
            <v>0.17909999847412109</v>
          </cell>
        </row>
        <row r="294">
          <cell r="D294" t="str">
            <v>中药</v>
          </cell>
          <cell r="M294">
            <v>77.921050525199988</v>
          </cell>
          <cell r="N294">
            <v>66.457839195325604</v>
          </cell>
          <cell r="O294" t="str">
            <v>医疗保健</v>
          </cell>
          <cell r="P294" t="str">
            <v>制药、生物科技与生命科学</v>
          </cell>
          <cell r="Q294" t="str">
            <v>制药</v>
          </cell>
          <cell r="BC294">
            <v>7.5966850828728888E-3</v>
          </cell>
          <cell r="BD294">
            <v>-6.5342729019859033E-2</v>
          </cell>
          <cell r="BE294">
            <v>-0.24377809398934638</v>
          </cell>
          <cell r="BF294">
            <v>0.14475600242614747</v>
          </cell>
          <cell r="BG294">
            <v>0.19134000778198243</v>
          </cell>
        </row>
        <row r="295">
          <cell r="D295" t="str">
            <v>信息科技咨询与其它服务</v>
          </cell>
          <cell r="M295">
            <v>69.217356678000002</v>
          </cell>
          <cell r="N295">
            <v>59.032386338749497</v>
          </cell>
          <cell r="O295" t="str">
            <v>信息技术</v>
          </cell>
          <cell r="P295" t="str">
            <v>软件与服务</v>
          </cell>
          <cell r="Q295" t="str">
            <v>信息技术服务</v>
          </cell>
          <cell r="BC295">
            <v>5.6518599574120719E-2</v>
          </cell>
          <cell r="BD295">
            <v>3.5554926668394778E-2</v>
          </cell>
          <cell r="BE295">
            <v>0.50354964472931074</v>
          </cell>
          <cell r="BF295">
            <v>0.73337997436523439</v>
          </cell>
          <cell r="BG295">
            <v>0</v>
          </cell>
        </row>
        <row r="296">
          <cell r="D296" t="str">
            <v>服装、服饰与奢侈品</v>
          </cell>
          <cell r="M296">
            <v>73.007999999999996</v>
          </cell>
          <cell r="N296">
            <v>62.265222463954395</v>
          </cell>
          <cell r="O296" t="str">
            <v>可选消费</v>
          </cell>
          <cell r="P296" t="str">
            <v>耐用消费品与服装</v>
          </cell>
          <cell r="Q296" t="str">
            <v>纺织品、服装与奢侈品</v>
          </cell>
          <cell r="BC296">
            <v>5.6249999999999911E-2</v>
          </cell>
          <cell r="BD296">
            <v>-4.2492917847025496E-2</v>
          </cell>
          <cell r="BE296">
            <v>0</v>
          </cell>
          <cell r="BF296">
            <v>0</v>
          </cell>
          <cell r="BG296">
            <v>0</v>
          </cell>
        </row>
        <row r="297">
          <cell r="D297" t="str">
            <v>电力</v>
          </cell>
          <cell r="M297">
            <v>253.13115410310002</v>
          </cell>
          <cell r="N297">
            <v>215.85042784270473</v>
          </cell>
          <cell r="O297" t="str">
            <v>公用事业</v>
          </cell>
          <cell r="P297" t="str">
            <v>公用事业Ⅱ</v>
          </cell>
          <cell r="Q297" t="str">
            <v>电力Ⅲ</v>
          </cell>
          <cell r="BC297">
            <v>2.6909722222222265E-2</v>
          </cell>
          <cell r="BD297">
            <v>-1.33444537114262E-2</v>
          </cell>
          <cell r="BE297">
            <v>-0.25025067306919802</v>
          </cell>
          <cell r="BF297">
            <v>0.69166801452636717</v>
          </cell>
          <cell r="BG297">
            <v>0.33051601409912107</v>
          </cell>
        </row>
        <row r="298">
          <cell r="D298" t="str">
            <v>工业机械</v>
          </cell>
          <cell r="M298">
            <v>128.44524878199999</v>
          </cell>
          <cell r="N298">
            <v>109.45081935604092</v>
          </cell>
          <cell r="O298" t="str">
            <v>工业</v>
          </cell>
          <cell r="P298" t="str">
            <v>资本货物</v>
          </cell>
          <cell r="Q298" t="str">
            <v>机械</v>
          </cell>
          <cell r="BC298">
            <v>1.5669515669515716E-2</v>
          </cell>
          <cell r="BD298">
            <v>-3.9083557951482488E-2</v>
          </cell>
          <cell r="BE298">
            <v>-0.24175410731118047</v>
          </cell>
          <cell r="BF298">
            <v>0.41282398223876954</v>
          </cell>
          <cell r="BG298">
            <v>0.12643199920654297</v>
          </cell>
        </row>
        <row r="299">
          <cell r="D299" t="str">
            <v>建筑产品</v>
          </cell>
          <cell r="M299">
            <v>77.56</v>
          </cell>
          <cell r="N299">
            <v>65.857232564950735</v>
          </cell>
          <cell r="O299" t="str">
            <v>工业</v>
          </cell>
          <cell r="P299" t="str">
            <v>资本货物</v>
          </cell>
          <cell r="Q299" t="str">
            <v>建筑产品Ⅲ</v>
          </cell>
          <cell r="BC299">
            <v>1.0325245224573863E-3</v>
          </cell>
          <cell r="BD299">
            <v>-0.12381382738364205</v>
          </cell>
          <cell r="BE299">
            <v>0.16859102117241048</v>
          </cell>
          <cell r="BF299">
            <v>0.2788680076599121</v>
          </cell>
          <cell r="BG299">
            <v>0.11816399574279784</v>
          </cell>
        </row>
        <row r="300">
          <cell r="D300" t="str">
            <v>建筑与工程</v>
          </cell>
          <cell r="M300">
            <v>1538.5620519499998</v>
          </cell>
          <cell r="N300">
            <v>1306.3646511485597</v>
          </cell>
          <cell r="O300" t="str">
            <v>工业</v>
          </cell>
          <cell r="P300" t="str">
            <v>资本货物</v>
          </cell>
          <cell r="Q300" t="str">
            <v>建筑与工程Ⅲ</v>
          </cell>
          <cell r="BC300">
            <v>5.323868677905989E-3</v>
          </cell>
          <cell r="BD300">
            <v>5.3953488372093031E-2</v>
          </cell>
          <cell r="BE300">
            <v>-0.3366541584262171</v>
          </cell>
          <cell r="BF300">
            <v>0.71538002014160151</v>
          </cell>
          <cell r="BG300">
            <v>0.20388000488281249</v>
          </cell>
        </row>
        <row r="301">
          <cell r="D301" t="str">
            <v>建筑与工程</v>
          </cell>
          <cell r="M301">
            <v>121.39325341439998</v>
          </cell>
          <cell r="N301">
            <v>103.00940308865221</v>
          </cell>
          <cell r="O301" t="str">
            <v>工业</v>
          </cell>
          <cell r="P301" t="str">
            <v>资本货物</v>
          </cell>
          <cell r="Q301" t="str">
            <v>建筑与工程Ⅲ</v>
          </cell>
          <cell r="BC301">
            <v>4.9999999999998934E-3</v>
          </cell>
          <cell r="BD301">
            <v>-9.8522167487684834E-3</v>
          </cell>
          <cell r="BE301">
            <v>-0.36771682604377398</v>
          </cell>
          <cell r="BF301">
            <v>0.23399999618530273</v>
          </cell>
          <cell r="BG301">
            <v>0.16486799240112304</v>
          </cell>
        </row>
        <row r="302">
          <cell r="D302" t="str">
            <v>纺织品</v>
          </cell>
          <cell r="M302">
            <v>95.166181800000004</v>
          </cell>
          <cell r="N302">
            <v>80.647784399380839</v>
          </cell>
          <cell r="O302" t="str">
            <v>可选消费</v>
          </cell>
          <cell r="P302" t="str">
            <v>耐用消费品与服装</v>
          </cell>
          <cell r="Q302" t="str">
            <v>纺织品、服装与奢侈品</v>
          </cell>
          <cell r="BC302">
            <v>2.1853805576488389E-2</v>
          </cell>
          <cell r="BD302">
            <v>3.2749428789032725E-2</v>
          </cell>
          <cell r="BE302">
            <v>-1.2367789065966884E-2</v>
          </cell>
          <cell r="BF302">
            <v>0.36148799896240236</v>
          </cell>
          <cell r="BG302">
            <v>0.10507200241088867</v>
          </cell>
        </row>
        <row r="303">
          <cell r="D303" t="str">
            <v>电气部件与设备</v>
          </cell>
          <cell r="M303">
            <v>126.92864732819999</v>
          </cell>
          <cell r="N303">
            <v>107.54713343880371</v>
          </cell>
          <cell r="O303" t="str">
            <v>工业</v>
          </cell>
          <cell r="P303" t="str">
            <v>资本货物</v>
          </cell>
          <cell r="Q303" t="str">
            <v>电气设备</v>
          </cell>
          <cell r="BC303">
            <v>5.575221238938044E-2</v>
          </cell>
          <cell r="BD303">
            <v>6.3279857397504372E-2</v>
          </cell>
          <cell r="BE303">
            <v>-0.165275217588739</v>
          </cell>
          <cell r="BF303">
            <v>-2.5007998943328856E-2</v>
          </cell>
          <cell r="BG303">
            <v>0.28882799148559568</v>
          </cell>
        </row>
        <row r="304">
          <cell r="D304" t="str">
            <v>白酒与葡萄酒</v>
          </cell>
          <cell r="M304">
            <v>3077.4333704399996</v>
          </cell>
          <cell r="N304">
            <v>2603.190215391865</v>
          </cell>
          <cell r="O304" t="str">
            <v>日常消费</v>
          </cell>
          <cell r="P304" t="str">
            <v>食品、饮料与烟草</v>
          </cell>
          <cell r="Q304" t="str">
            <v>饮料</v>
          </cell>
          <cell r="BC304">
            <v>8.3982300884955702E-2</v>
          </cell>
          <cell r="BD304">
            <v>0.12510333425185993</v>
          </cell>
          <cell r="BE304">
            <v>0.38118508807961787</v>
          </cell>
          <cell r="BF304">
            <v>0.34571998596191406</v>
          </cell>
          <cell r="BG304">
            <v>0.16002000808715822</v>
          </cell>
        </row>
        <row r="305">
          <cell r="D305" t="str">
            <v>机动车零配件与设备</v>
          </cell>
          <cell r="M305">
            <v>239.31244531999999</v>
          </cell>
          <cell r="N305">
            <v>202.2478159454127</v>
          </cell>
          <cell r="O305" t="str">
            <v>可选消费</v>
          </cell>
          <cell r="P305" t="str">
            <v>汽车与汽车零部件</v>
          </cell>
          <cell r="Q305" t="str">
            <v>汽车零配件</v>
          </cell>
          <cell r="BC305">
            <v>1.2163336229365818E-2</v>
          </cell>
          <cell r="BD305">
            <v>-0.10142691862707286</v>
          </cell>
          <cell r="BE305">
            <v>0.75981894428039543</v>
          </cell>
          <cell r="BF305">
            <v>0.67729202270507816</v>
          </cell>
          <cell r="BG305">
            <v>0</v>
          </cell>
        </row>
        <row r="306">
          <cell r="D306" t="str">
            <v>轮胎与橡胶</v>
          </cell>
          <cell r="M306">
            <v>245.40847539999999</v>
          </cell>
          <cell r="N306">
            <v>207.38188903231949</v>
          </cell>
          <cell r="O306" t="str">
            <v>可选消费</v>
          </cell>
          <cell r="P306" t="str">
            <v>汽车与汽车零部件</v>
          </cell>
          <cell r="Q306" t="str">
            <v>汽车零配件</v>
          </cell>
          <cell r="BC306">
            <v>0.17145899893503722</v>
          </cell>
          <cell r="BD306">
            <v>0.1518324607329842</v>
          </cell>
          <cell r="BE306">
            <v>6.0760642122146234E-2</v>
          </cell>
          <cell r="BF306">
            <v>0.49301998138427733</v>
          </cell>
          <cell r="BG306">
            <v>0.20425199508666991</v>
          </cell>
        </row>
        <row r="307">
          <cell r="D307" t="str">
            <v>钢铁</v>
          </cell>
          <cell r="M307">
            <v>197.09017374160001</v>
          </cell>
          <cell r="N307">
            <v>166.51161935676529</v>
          </cell>
          <cell r="O307" t="str">
            <v>材料</v>
          </cell>
          <cell r="P307" t="str">
            <v>材料Ⅱ</v>
          </cell>
          <cell r="Q307" t="str">
            <v>金属、非金属与采矿</v>
          </cell>
          <cell r="BC307">
            <v>-1.9830028328611853E-2</v>
          </cell>
          <cell r="BD307">
            <v>-5.7471264367816143E-3</v>
          </cell>
          <cell r="BE307">
            <v>-0.3627992633517495</v>
          </cell>
          <cell r="BF307">
            <v>0.26600400924682616</v>
          </cell>
          <cell r="BG307">
            <v>-3.8292000293731691E-2</v>
          </cell>
        </row>
        <row r="308">
          <cell r="D308" t="str">
            <v>煤炭与消费用燃料</v>
          </cell>
          <cell r="M308">
            <v>185.15785493999999</v>
          </cell>
          <cell r="N308">
            <v>156.28121722042113</v>
          </cell>
          <cell r="O308" t="str">
            <v>能源</v>
          </cell>
          <cell r="P308" t="str">
            <v>能源Ⅱ</v>
          </cell>
          <cell r="Q308" t="str">
            <v>石油、天然气与供消费用燃料</v>
          </cell>
          <cell r="BC308">
            <v>-3.4990791896869156E-2</v>
          </cell>
          <cell r="BD308">
            <v>5.7581573896353646E-3</v>
          </cell>
          <cell r="BE308">
            <v>-0.19606017486412813</v>
          </cell>
          <cell r="BF308">
            <v>0.14701199531555176</v>
          </cell>
          <cell r="BG308">
            <v>-0.12549599647521972</v>
          </cell>
        </row>
        <row r="309">
          <cell r="D309" t="str">
            <v>家庭装饰品</v>
          </cell>
          <cell r="M309">
            <v>91.110599999999991</v>
          </cell>
          <cell r="N309">
            <v>76.900496919288329</v>
          </cell>
          <cell r="O309" t="str">
            <v>可选消费</v>
          </cell>
          <cell r="P309" t="str">
            <v>耐用消费品与服装</v>
          </cell>
          <cell r="Q309" t="str">
            <v>家庭耐用消费品</v>
          </cell>
          <cell r="BC309">
            <v>8.6225026288117679E-2</v>
          </cell>
          <cell r="BD309">
            <v>8.8896697118763093E-2</v>
          </cell>
          <cell r="BE309">
            <v>0.37613452437223033</v>
          </cell>
          <cell r="BF309">
            <v>0</v>
          </cell>
          <cell r="BG309">
            <v>0</v>
          </cell>
        </row>
        <row r="310">
          <cell r="D310" t="str">
            <v>钢铁</v>
          </cell>
          <cell r="M310">
            <v>242.78298263999997</v>
          </cell>
          <cell r="N310">
            <v>204.91364981837037</v>
          </cell>
          <cell r="O310" t="str">
            <v>材料</v>
          </cell>
          <cell r="P310" t="str">
            <v>材料Ⅱ</v>
          </cell>
          <cell r="Q310" t="str">
            <v>金属、非金属与采矿</v>
          </cell>
          <cell r="BC310">
            <v>-3.3684210526315816E-2</v>
          </cell>
          <cell r="BD310">
            <v>-9.1089108910891087E-2</v>
          </cell>
          <cell r="BE310">
            <v>-5.0108242869815703E-2</v>
          </cell>
          <cell r="BF310">
            <v>0.53902801513671872</v>
          </cell>
          <cell r="BG310">
            <v>0.10214400291442871</v>
          </cell>
        </row>
        <row r="311">
          <cell r="D311" t="str">
            <v>建材</v>
          </cell>
          <cell r="M311">
            <v>53.564029458</v>
          </cell>
          <cell r="N311">
            <v>45.089957098149306</v>
          </cell>
          <cell r="O311" t="str">
            <v>材料</v>
          </cell>
          <cell r="P311" t="str">
            <v>材料Ⅱ</v>
          </cell>
          <cell r="Q311" t="str">
            <v>建材Ⅲ</v>
          </cell>
          <cell r="BC311">
            <v>-4.3290043290042371E-3</v>
          </cell>
          <cell r="BD311">
            <v>-4.2995839112343913E-2</v>
          </cell>
          <cell r="BE311">
            <v>-0.35560570401364139</v>
          </cell>
          <cell r="BF311">
            <v>0.10064399719238282</v>
          </cell>
          <cell r="BG311">
            <v>-3.2579998970031741E-2</v>
          </cell>
        </row>
        <row r="312">
          <cell r="D312" t="str">
            <v>人寿与健康保险</v>
          </cell>
          <cell r="M312">
            <v>1244.6990933999998</v>
          </cell>
          <cell r="N312">
            <v>1047.1268419743526</v>
          </cell>
          <cell r="O312" t="str">
            <v>金融</v>
          </cell>
          <cell r="P312" t="str">
            <v>保险Ⅱ</v>
          </cell>
          <cell r="Q312" t="str">
            <v>保险Ⅲ</v>
          </cell>
          <cell r="BC312">
            <v>3.6902286902286953E-2</v>
          </cell>
          <cell r="BD312">
            <v>1.5784114052953092E-2</v>
          </cell>
          <cell r="BE312">
            <v>-0.24158135709702808</v>
          </cell>
          <cell r="BF312">
            <v>0.37200000762939456</v>
          </cell>
          <cell r="BG312">
            <v>0</v>
          </cell>
        </row>
        <row r="313">
          <cell r="D313" t="str">
            <v>工业机械</v>
          </cell>
          <cell r="M313">
            <v>47.615782615699999</v>
          </cell>
          <cell r="N313">
            <v>40.007157722731876</v>
          </cell>
          <cell r="O313" t="str">
            <v>工业</v>
          </cell>
          <cell r="P313" t="str">
            <v>资本货物</v>
          </cell>
          <cell r="Q313" t="str">
            <v>机械</v>
          </cell>
          <cell r="BC313">
            <v>2.5665399239543685E-2</v>
          </cell>
          <cell r="BD313">
            <v>-2.087114337568062E-2</v>
          </cell>
          <cell r="BE313">
            <v>0.69439981669479889</v>
          </cell>
          <cell r="BF313">
            <v>0.68775596618652346</v>
          </cell>
          <cell r="BG313">
            <v>0</v>
          </cell>
        </row>
        <row r="314">
          <cell r="D314" t="str">
            <v>信息科技咨询与其它服务</v>
          </cell>
          <cell r="M314">
            <v>138.13218185549999</v>
          </cell>
          <cell r="N314">
            <v>115.95845764906858</v>
          </cell>
          <cell r="O314" t="str">
            <v>信息技术</v>
          </cell>
          <cell r="P314" t="str">
            <v>软件与服务</v>
          </cell>
          <cell r="Q314" t="str">
            <v>信息技术服务</v>
          </cell>
          <cell r="BC314">
            <v>-3.6263303113914139E-2</v>
          </cell>
          <cell r="BD314">
            <v>-9.3192868719611192E-3</v>
          </cell>
          <cell r="BE314">
            <v>-0.1214696774421466</v>
          </cell>
          <cell r="BF314">
            <v>0.77281196594238277</v>
          </cell>
          <cell r="BG314">
            <v>0.50068801879882807</v>
          </cell>
        </row>
        <row r="315">
          <cell r="D315" t="str">
            <v>电子设备和仪器</v>
          </cell>
          <cell r="M315">
            <v>242.81041233519997</v>
          </cell>
          <cell r="N315">
            <v>203.79823241778308</v>
          </cell>
          <cell r="O315" t="str">
            <v>信息技术</v>
          </cell>
          <cell r="P315" t="str">
            <v>技术硬件与设备</v>
          </cell>
          <cell r="Q315" t="str">
            <v>电子设备、仪器和元件</v>
          </cell>
          <cell r="BC315">
            <v>2.6658767772511808E-2</v>
          </cell>
          <cell r="BD315">
            <v>-1.4781125639568026E-2</v>
          </cell>
          <cell r="BE315">
            <v>-0.35347409541750663</v>
          </cell>
          <cell r="BF315">
            <v>0.29139600753784178</v>
          </cell>
          <cell r="BG315">
            <v>0.19485599517822266</v>
          </cell>
        </row>
        <row r="316">
          <cell r="D316" t="str">
            <v>电影与娱乐</v>
          </cell>
          <cell r="M316">
            <v>942.95886412200002</v>
          </cell>
          <cell r="N316">
            <v>790.99113137426127</v>
          </cell>
          <cell r="O316" t="str">
            <v>可选消费</v>
          </cell>
          <cell r="P316" t="str">
            <v>媒体Ⅱ</v>
          </cell>
          <cell r="Q316" t="str">
            <v>媒体Ⅲ</v>
          </cell>
          <cell r="BC316">
            <v>0</v>
          </cell>
          <cell r="BD316">
            <v>0</v>
          </cell>
          <cell r="BE316">
            <v>0.61757139042264819</v>
          </cell>
          <cell r="BF316">
            <v>0</v>
          </cell>
          <cell r="BG316">
            <v>0</v>
          </cell>
        </row>
        <row r="317">
          <cell r="D317" t="str">
            <v>酒店、度假村与豪华游轮</v>
          </cell>
          <cell r="M317">
            <v>576.85940347450003</v>
          </cell>
          <cell r="N317">
            <v>483.647606465857</v>
          </cell>
          <cell r="O317" t="str">
            <v>可选消费</v>
          </cell>
          <cell r="P317" t="str">
            <v>消费者服务Ⅱ</v>
          </cell>
          <cell r="Q317" t="str">
            <v>酒店、餐馆与休闲Ⅲ</v>
          </cell>
          <cell r="BC317">
            <v>-5.6577086280056622E-3</v>
          </cell>
          <cell r="BD317">
            <v>1.5895953757225481E-2</v>
          </cell>
          <cell r="BE317">
            <v>-0.22405523791191709</v>
          </cell>
          <cell r="BF317">
            <v>0.30333599090576174</v>
          </cell>
          <cell r="BG317">
            <v>0.12104399681091309</v>
          </cell>
        </row>
        <row r="318">
          <cell r="D318" t="str">
            <v>林木产品</v>
          </cell>
          <cell r="M318">
            <v>60.095397698000006</v>
          </cell>
          <cell r="N318">
            <v>50.364971703469969</v>
          </cell>
          <cell r="O318" t="str">
            <v>材料</v>
          </cell>
          <cell r="P318" t="str">
            <v>材料Ⅱ</v>
          </cell>
          <cell r="Q318" t="str">
            <v>纸与林木产品</v>
          </cell>
          <cell r="BC318">
            <v>4.1981528127623846E-2</v>
          </cell>
          <cell r="BD318">
            <v>2.9021558872305109E-2</v>
          </cell>
          <cell r="BE318">
            <v>0.46547725037397708</v>
          </cell>
          <cell r="BF318">
            <v>0.6420719909667969</v>
          </cell>
          <cell r="BG318">
            <v>0.21965999603271485</v>
          </cell>
        </row>
        <row r="319">
          <cell r="D319" t="str">
            <v>煤炭与消费用燃料</v>
          </cell>
          <cell r="M319">
            <v>52.700214489000004</v>
          </cell>
          <cell r="N319">
            <v>44.158196151469909</v>
          </cell>
          <cell r="O319" t="str">
            <v>能源</v>
          </cell>
          <cell r="P319" t="str">
            <v>能源Ⅱ</v>
          </cell>
          <cell r="Q319" t="str">
            <v>石油、天然气与供消费用燃料</v>
          </cell>
          <cell r="BC319">
            <v>-1.3108614232209791E-2</v>
          </cell>
          <cell r="BD319">
            <v>-4.7016274864376248E-2</v>
          </cell>
          <cell r="BE319">
            <v>-0.42404371584699463</v>
          </cell>
          <cell r="BF319">
            <v>3.0480000972747803E-2</v>
          </cell>
          <cell r="BG319">
            <v>-0.18232799530029298</v>
          </cell>
        </row>
        <row r="320">
          <cell r="D320" t="str">
            <v>建筑产品</v>
          </cell>
          <cell r="M320">
            <v>42.592704000000005</v>
          </cell>
          <cell r="N320">
            <v>35.654173371285005</v>
          </cell>
          <cell r="O320" t="str">
            <v>工业</v>
          </cell>
          <cell r="P320" t="str">
            <v>资本货物</v>
          </cell>
          <cell r="Q320" t="str">
            <v>建筑产品Ⅲ</v>
          </cell>
          <cell r="BC320">
            <v>4.9643947100712203E-2</v>
          </cell>
          <cell r="BD320">
            <v>9.8126862494678738E-2</v>
          </cell>
          <cell r="BE320">
            <v>2.7200454105079489E-2</v>
          </cell>
          <cell r="BF320">
            <v>0.15370800018310546</v>
          </cell>
          <cell r="BG320">
            <v>0</v>
          </cell>
        </row>
        <row r="321">
          <cell r="D321" t="str">
            <v>房地产开发</v>
          </cell>
          <cell r="M321">
            <v>199.80712577520001</v>
          </cell>
          <cell r="N321">
            <v>167.24199809675756</v>
          </cell>
          <cell r="O321" t="str">
            <v>金融</v>
          </cell>
          <cell r="P321" t="str">
            <v>房地产</v>
          </cell>
          <cell r="Q321" t="str">
            <v>房地产管理与开发</v>
          </cell>
          <cell r="BC321">
            <v>3.6742800397219388E-2</v>
          </cell>
          <cell r="BD321">
            <v>6.4220183486238425E-2</v>
          </cell>
          <cell r="BE321">
            <v>-0.1397478136418889</v>
          </cell>
          <cell r="BF321">
            <v>0.3501599884033203</v>
          </cell>
          <cell r="BG321">
            <v>8.9160003662109369E-2</v>
          </cell>
        </row>
        <row r="322">
          <cell r="D322" t="str">
            <v>建材</v>
          </cell>
          <cell r="M322">
            <v>56.942551457299992</v>
          </cell>
          <cell r="N322">
            <v>47.632820784020517</v>
          </cell>
          <cell r="O322" t="str">
            <v>材料</v>
          </cell>
          <cell r="P322" t="str">
            <v>材料Ⅱ</v>
          </cell>
          <cell r="Q322" t="str">
            <v>建材Ⅲ</v>
          </cell>
          <cell r="BC322">
            <v>-2.1180030257186167E-2</v>
          </cell>
          <cell r="BD322">
            <v>-3.1437125748502992E-2</v>
          </cell>
          <cell r="BE322">
            <v>-0.39220313679432361</v>
          </cell>
          <cell r="BF322">
            <v>0.13274399757385255</v>
          </cell>
          <cell r="BG322">
            <v>-0.13922400474548341</v>
          </cell>
        </row>
        <row r="323">
          <cell r="D323" t="str">
            <v>通信设备</v>
          </cell>
          <cell r="M323">
            <v>159.60063273000003</v>
          </cell>
          <cell r="N323">
            <v>133.48645431745308</v>
          </cell>
          <cell r="O323" t="str">
            <v>信息技术</v>
          </cell>
          <cell r="P323" t="str">
            <v>技术硬件与设备</v>
          </cell>
          <cell r="Q323" t="str">
            <v>通信设备Ⅲ</v>
          </cell>
          <cell r="BC323">
            <v>1.7647058823529561E-2</v>
          </cell>
          <cell r="BD323">
            <v>4.8484848484848526E-2</v>
          </cell>
          <cell r="BE323">
            <v>0.370187727038568</v>
          </cell>
          <cell r="BF323">
            <v>0.44434799194335939</v>
          </cell>
          <cell r="BG323">
            <v>0</v>
          </cell>
        </row>
        <row r="324">
          <cell r="D324" t="str">
            <v>电子元件</v>
          </cell>
          <cell r="M324">
            <v>66.043687500000004</v>
          </cell>
          <cell r="N324">
            <v>55.163456538567033</v>
          </cell>
          <cell r="O324" t="str">
            <v>信息技术</v>
          </cell>
          <cell r="P324" t="str">
            <v>技术硬件与设备</v>
          </cell>
          <cell r="Q324" t="str">
            <v>电子设备、仪器和元件</v>
          </cell>
          <cell r="BC324">
            <v>1.6129032258064516E-2</v>
          </cell>
          <cell r="BD324">
            <v>-0.1005139920045689</v>
          </cell>
          <cell r="BE324">
            <v>0.15957592206799501</v>
          </cell>
          <cell r="BF324">
            <v>0.54009601593017575</v>
          </cell>
          <cell r="BG324">
            <v>0</v>
          </cell>
        </row>
        <row r="325">
          <cell r="D325" t="str">
            <v>食品加工与肉类</v>
          </cell>
          <cell r="M325">
            <v>811.87380000000007</v>
          </cell>
          <cell r="N325">
            <v>678.06494494197921</v>
          </cell>
          <cell r="O325" t="str">
            <v>日常消费</v>
          </cell>
          <cell r="P325" t="str">
            <v>食品、饮料与烟草</v>
          </cell>
          <cell r="Q325" t="str">
            <v>食品</v>
          </cell>
          <cell r="BC325">
            <v>-1.4130791981597099E-2</v>
          </cell>
          <cell r="BD325">
            <v>3.3769813921433509E-2</v>
          </cell>
          <cell r="BE325">
            <v>7.7840566187596244E-2</v>
          </cell>
          <cell r="BF325">
            <v>0.19306800842285157</v>
          </cell>
          <cell r="BG325">
            <v>0</v>
          </cell>
        </row>
        <row r="326">
          <cell r="D326" t="str">
            <v>中药</v>
          </cell>
          <cell r="M326">
            <v>96.320639999999997</v>
          </cell>
          <cell r="N326">
            <v>80.314868446999995</v>
          </cell>
          <cell r="O326" t="str">
            <v>医疗保健</v>
          </cell>
          <cell r="P326" t="str">
            <v>制药、生物科技与生命科学</v>
          </cell>
          <cell r="Q326" t="str">
            <v>制药</v>
          </cell>
          <cell r="BC326">
            <v>1.1779293242405536E-2</v>
          </cell>
          <cell r="BD326">
            <v>-3.1454005934718164E-2</v>
          </cell>
          <cell r="BE326">
            <v>-0.26360539265013094</v>
          </cell>
          <cell r="BF326">
            <v>0.12614399909973145</v>
          </cell>
          <cell r="BG326">
            <v>4.1687998771667484E-2</v>
          </cell>
        </row>
        <row r="327">
          <cell r="D327" t="str">
            <v>化肥与农用化工</v>
          </cell>
          <cell r="M327">
            <v>99.752948567000004</v>
          </cell>
          <cell r="N327">
            <v>83.056200252447368</v>
          </cell>
          <cell r="O327" t="str">
            <v>材料</v>
          </cell>
          <cell r="P327" t="str">
            <v>材料Ⅱ</v>
          </cell>
          <cell r="Q327" t="str">
            <v>化工</v>
          </cell>
          <cell r="BC327">
            <v>9.3637454981992718E-2</v>
          </cell>
          <cell r="BD327">
            <v>0.13591022443890274</v>
          </cell>
          <cell r="BE327">
            <v>0.74187375614846662</v>
          </cell>
          <cell r="BF327">
            <v>0.88070396423339847</v>
          </cell>
          <cell r="BG327">
            <v>0.27703199386596677</v>
          </cell>
        </row>
        <row r="328">
          <cell r="D328" t="str">
            <v>化纤</v>
          </cell>
          <cell r="M328">
            <v>43.349582986599991</v>
          </cell>
          <cell r="N328">
            <v>36.062002312918239</v>
          </cell>
          <cell r="O328" t="str">
            <v>材料</v>
          </cell>
          <cell r="P328" t="str">
            <v>材料Ⅱ</v>
          </cell>
          <cell r="Q328" t="str">
            <v>化工</v>
          </cell>
          <cell r="BC328">
            <v>-2.3640661938535874E-3</v>
          </cell>
          <cell r="BD328">
            <v>-1.6317016317016382E-2</v>
          </cell>
          <cell r="BE328">
            <v>-0.27283227616459466</v>
          </cell>
          <cell r="BF328">
            <v>0.32240398406982423</v>
          </cell>
          <cell r="BG328">
            <v>4.7616000175476077E-2</v>
          </cell>
        </row>
        <row r="329">
          <cell r="D329" t="str">
            <v>多元化工</v>
          </cell>
          <cell r="M329">
            <v>227.76320000000004</v>
          </cell>
          <cell r="N329">
            <v>189.46974418230272</v>
          </cell>
          <cell r="O329" t="str">
            <v>材料</v>
          </cell>
          <cell r="P329" t="str">
            <v>材料Ⅱ</v>
          </cell>
          <cell r="Q329" t="str">
            <v>化工</v>
          </cell>
          <cell r="BC329">
            <v>1.0735586481113444E-2</v>
          </cell>
          <cell r="BD329">
            <v>-9.6338428723782343E-2</v>
          </cell>
          <cell r="BE329">
            <v>-0.41567217892638203</v>
          </cell>
          <cell r="BF329">
            <v>1.0147679901123048</v>
          </cell>
          <cell r="BG329">
            <v>0</v>
          </cell>
        </row>
        <row r="330">
          <cell r="D330" t="str">
            <v>煤炭与消费用燃料</v>
          </cell>
          <cell r="M330">
            <v>677.51769974000001</v>
          </cell>
          <cell r="N330">
            <v>563.48597649037049</v>
          </cell>
          <cell r="O330" t="str">
            <v>能源</v>
          </cell>
          <cell r="P330" t="str">
            <v>能源Ⅱ</v>
          </cell>
          <cell r="Q330" t="str">
            <v>石油、天然气与供消费用燃料</v>
          </cell>
          <cell r="BC330">
            <v>-1.9193857965450988E-2</v>
          </cell>
          <cell r="BD330">
            <v>-1.7307692307692281E-2</v>
          </cell>
          <cell r="BE330">
            <v>-0.25656013906766389</v>
          </cell>
          <cell r="BF330">
            <v>0.22247999191284179</v>
          </cell>
          <cell r="BG330">
            <v>-5.7095999717712405E-2</v>
          </cell>
        </row>
        <row r="331">
          <cell r="D331" t="str">
            <v>食品加工与肉类</v>
          </cell>
          <cell r="M331">
            <v>859.38217530359998</v>
          </cell>
          <cell r="N331">
            <v>714.40389873672825</v>
          </cell>
          <cell r="O331" t="str">
            <v>日常消费</v>
          </cell>
          <cell r="P331" t="str">
            <v>食品、饮料与烟草</v>
          </cell>
          <cell r="Q331" t="str">
            <v>食品</v>
          </cell>
          <cell r="BC331">
            <v>-8.3974807557732137E-3</v>
          </cell>
          <cell r="BD331">
            <v>2.0158387329013632E-2</v>
          </cell>
          <cell r="BE331">
            <v>-8.1451887977849788E-2</v>
          </cell>
          <cell r="BF331">
            <v>0.12904800415039064</v>
          </cell>
          <cell r="BG331">
            <v>0.20589599609375001</v>
          </cell>
        </row>
        <row r="332">
          <cell r="D332" t="str">
            <v>互联网软件与服务</v>
          </cell>
          <cell r="M332">
            <v>811.26316195520008</v>
          </cell>
          <cell r="N332">
            <v>673.89898842631942</v>
          </cell>
          <cell r="O332" t="str">
            <v>信息技术</v>
          </cell>
          <cell r="P332" t="str">
            <v>软件与服务</v>
          </cell>
          <cell r="Q332" t="str">
            <v>互联网软件与服务Ⅲ</v>
          </cell>
          <cell r="BC332">
            <v>2.4344569288389493E-2</v>
          </cell>
          <cell r="BD332">
            <v>6.4979313701630431E-2</v>
          </cell>
          <cell r="BE332">
            <v>0.48742352141400391</v>
          </cell>
          <cell r="BF332">
            <v>1.4833200073242188</v>
          </cell>
          <cell r="BG332">
            <v>0.78932403564453124</v>
          </cell>
        </row>
        <row r="333">
          <cell r="D333" t="str">
            <v>医疗保健设备</v>
          </cell>
          <cell r="M333">
            <v>157.09517207999997</v>
          </cell>
          <cell r="N333">
            <v>130.48843461316895</v>
          </cell>
          <cell r="O333" t="str">
            <v>医疗保健</v>
          </cell>
          <cell r="P333" t="str">
            <v>医疗保健设备与服务</v>
          </cell>
          <cell r="Q333" t="str">
            <v>医疗保健设备与用品</v>
          </cell>
          <cell r="BC333">
            <v>-7.2007200720072074E-3</v>
          </cell>
          <cell r="BD333">
            <v>-6.6835871404399394E-2</v>
          </cell>
          <cell r="BE333">
            <v>-0.1258402760786646</v>
          </cell>
          <cell r="BF333">
            <v>0.60051601409912114</v>
          </cell>
          <cell r="BG333">
            <v>0.37422000885009765</v>
          </cell>
        </row>
        <row r="334">
          <cell r="D334" t="str">
            <v>化肥与农用化工</v>
          </cell>
          <cell r="M334">
            <v>53.8593413969</v>
          </cell>
          <cell r="N334">
            <v>44.735715274797222</v>
          </cell>
          <cell r="O334" t="str">
            <v>材料</v>
          </cell>
          <cell r="P334" t="str">
            <v>材料Ⅱ</v>
          </cell>
          <cell r="Q334" t="str">
            <v>化工</v>
          </cell>
          <cell r="BC334">
            <v>1.4066496163682791E-2</v>
          </cell>
          <cell r="BD334">
            <v>3.5248041775456866E-2</v>
          </cell>
          <cell r="BE334">
            <v>-0.36738742101031097</v>
          </cell>
          <cell r="BF334">
            <v>-4.1627998352050784E-2</v>
          </cell>
          <cell r="BG334">
            <v>-8.28000009059906E-4</v>
          </cell>
        </row>
        <row r="335">
          <cell r="D335" t="str">
            <v>建材</v>
          </cell>
          <cell r="M335">
            <v>140.14238305599997</v>
          </cell>
          <cell r="N335">
            <v>116.39315179824999</v>
          </cell>
          <cell r="O335" t="str">
            <v>材料</v>
          </cell>
          <cell r="P335" t="str">
            <v>材料Ⅱ</v>
          </cell>
          <cell r="Q335" t="str">
            <v>建材Ⅲ</v>
          </cell>
          <cell r="BC335">
            <v>1.9607843137255009E-2</v>
          </cell>
          <cell r="BD335">
            <v>3.2770605759682228E-2</v>
          </cell>
          <cell r="BE335">
            <v>-0.27061534704831169</v>
          </cell>
          <cell r="BF335">
            <v>0.28749599456787112</v>
          </cell>
          <cell r="BG335">
            <v>-7.5144000053405768E-2</v>
          </cell>
        </row>
        <row r="336">
          <cell r="D336" t="str">
            <v>电气部件与设备</v>
          </cell>
          <cell r="M336">
            <v>87.388160000000013</v>
          </cell>
          <cell r="N336">
            <v>72.541188848160488</v>
          </cell>
          <cell r="O336" t="str">
            <v>工业</v>
          </cell>
          <cell r="P336" t="str">
            <v>资本货物</v>
          </cell>
          <cell r="Q336" t="str">
            <v>电气设备</v>
          </cell>
          <cell r="BC336">
            <v>0.23634168427407176</v>
          </cell>
          <cell r="BD336">
            <v>0.46915351506456249</v>
          </cell>
          <cell r="BE336">
            <v>0.75360326391840204</v>
          </cell>
          <cell r="BF336">
            <v>0</v>
          </cell>
          <cell r="BG336">
            <v>0</v>
          </cell>
        </row>
        <row r="337">
          <cell r="D337" t="str">
            <v>应用软件</v>
          </cell>
          <cell r="M337">
            <v>113.69164982200002</v>
          </cell>
          <cell r="N337">
            <v>94.356756939205127</v>
          </cell>
          <cell r="O337" t="str">
            <v>信息技术</v>
          </cell>
          <cell r="P337" t="str">
            <v>软件与服务</v>
          </cell>
          <cell r="Q337" t="str">
            <v>软件</v>
          </cell>
          <cell r="BC337">
            <v>5.3170144462279259E-2</v>
          </cell>
          <cell r="BD337">
            <v>-1.4642387835554741E-2</v>
          </cell>
          <cell r="BE337">
            <v>0.31082380374385576</v>
          </cell>
          <cell r="BF337">
            <v>1.0033560180664063</v>
          </cell>
          <cell r="BG337">
            <v>0.44030399322509767</v>
          </cell>
        </row>
        <row r="338">
          <cell r="D338" t="str">
            <v>农产品</v>
          </cell>
          <cell r="M338">
            <v>333.66717844920004</v>
          </cell>
          <cell r="N338">
            <v>276.82990632605095</v>
          </cell>
          <cell r="O338" t="str">
            <v>日常消费</v>
          </cell>
          <cell r="P338" t="str">
            <v>食品、饮料与烟草</v>
          </cell>
          <cell r="Q338" t="str">
            <v>食品</v>
          </cell>
          <cell r="BC338">
            <v>4.0285899935022802E-2</v>
          </cell>
          <cell r="BD338">
            <v>-0.15692469720905725</v>
          </cell>
          <cell r="BE338">
            <v>-0.26209788585994792</v>
          </cell>
          <cell r="BF338">
            <v>0.32031600952148437</v>
          </cell>
          <cell r="BG338">
            <v>3.8039999008178713E-2</v>
          </cell>
        </row>
        <row r="339">
          <cell r="D339" t="str">
            <v>机场服务</v>
          </cell>
          <cell r="M339">
            <v>57.209301000000004</v>
          </cell>
          <cell r="N339">
            <v>47.447431920801527</v>
          </cell>
          <cell r="O339" t="str">
            <v>工业</v>
          </cell>
          <cell r="P339" t="str">
            <v>运输</v>
          </cell>
          <cell r="Q339" t="str">
            <v>交通基础设施</v>
          </cell>
          <cell r="BC339">
            <v>4.7071129707112894E-3</v>
          </cell>
          <cell r="BD339">
            <v>-4.1472265422497819E-3</v>
          </cell>
          <cell r="BE339">
            <v>-0.26423772793678496</v>
          </cell>
          <cell r="BF339">
            <v>0.20909999847412108</v>
          </cell>
          <cell r="BG339">
            <v>9.2628002166748047E-2</v>
          </cell>
        </row>
        <row r="340">
          <cell r="D340" t="str">
            <v>公路与铁路</v>
          </cell>
          <cell r="M340">
            <v>69.2245940934</v>
          </cell>
          <cell r="N340">
            <v>57.327767098469231</v>
          </cell>
          <cell r="O340" t="str">
            <v>工业</v>
          </cell>
          <cell r="P340" t="str">
            <v>运输</v>
          </cell>
          <cell r="Q340" t="str">
            <v>交通基础设施</v>
          </cell>
          <cell r="BC340">
            <v>1.6207455429497223E-3</v>
          </cell>
          <cell r="BD340">
            <v>-1.1200000000000045E-2</v>
          </cell>
          <cell r="BE340">
            <v>-0.11965811965811965</v>
          </cell>
          <cell r="BF340">
            <v>0.26168399810791015</v>
          </cell>
          <cell r="BG340">
            <v>0.41505599975585938</v>
          </cell>
        </row>
        <row r="341">
          <cell r="D341" t="str">
            <v>家用电器</v>
          </cell>
          <cell r="M341">
            <v>80.400018279999998</v>
          </cell>
          <cell r="N341">
            <v>66.576549795541482</v>
          </cell>
          <cell r="O341" t="str">
            <v>可选消费</v>
          </cell>
          <cell r="P341" t="str">
            <v>耐用消费品与服装</v>
          </cell>
          <cell r="Q341" t="str">
            <v>家庭耐用消费品</v>
          </cell>
          <cell r="BC341">
            <v>1.8477043673012422E-2</v>
          </cell>
          <cell r="BD341">
            <v>5.2053209947946918E-2</v>
          </cell>
          <cell r="BE341">
            <v>6.0226773008159006E-2</v>
          </cell>
          <cell r="BF341">
            <v>5.6483998298645019E-2</v>
          </cell>
          <cell r="BG341">
            <v>0</v>
          </cell>
        </row>
        <row r="342">
          <cell r="D342" t="str">
            <v>电力</v>
          </cell>
          <cell r="M342">
            <v>568.33860458059996</v>
          </cell>
          <cell r="N342">
            <v>470.451549256568</v>
          </cell>
          <cell r="O342" t="str">
            <v>公用事业</v>
          </cell>
          <cell r="P342" t="str">
            <v>公用事业Ⅱ</v>
          </cell>
          <cell r="Q342" t="str">
            <v>电力Ⅲ</v>
          </cell>
          <cell r="BC342">
            <v>0</v>
          </cell>
          <cell r="BD342">
            <v>-9.28074245939676E-3</v>
          </cell>
          <cell r="BE342">
            <v>-0.31860618802818491</v>
          </cell>
          <cell r="BF342">
            <v>0.1283880043029785</v>
          </cell>
          <cell r="BG342">
            <v>-1.2000000476837159E-2</v>
          </cell>
        </row>
        <row r="343">
          <cell r="D343" t="str">
            <v>建筑与工程</v>
          </cell>
          <cell r="M343">
            <v>270.76091182559998</v>
          </cell>
          <cell r="N343">
            <v>224.07926106660972</v>
          </cell>
          <cell r="O343" t="str">
            <v>工业</v>
          </cell>
          <cell r="P343" t="str">
            <v>资本货物</v>
          </cell>
          <cell r="Q343" t="str">
            <v>建筑与工程Ⅲ</v>
          </cell>
          <cell r="BC343">
            <v>0</v>
          </cell>
          <cell r="BD343">
            <v>3.4129692832763777E-3</v>
          </cell>
          <cell r="BE343">
            <v>-0.38867822312940759</v>
          </cell>
          <cell r="BF343">
            <v>0.34062000274658205</v>
          </cell>
          <cell r="BG343">
            <v>-8.3352003097534183E-2</v>
          </cell>
        </row>
        <row r="344">
          <cell r="D344" t="str">
            <v>调查和咨询服务</v>
          </cell>
          <cell r="M344">
            <v>96.768248723400006</v>
          </cell>
          <cell r="N344">
            <v>80.056080410168917</v>
          </cell>
          <cell r="O344" t="str">
            <v>工业</v>
          </cell>
          <cell r="P344" t="str">
            <v>商业和专业服务</v>
          </cell>
          <cell r="Q344" t="str">
            <v>专业服务</v>
          </cell>
          <cell r="BC344">
            <v>0.12172546280125753</v>
          </cell>
          <cell r="BD344">
            <v>0.13300405715293714</v>
          </cell>
          <cell r="BE344">
            <v>0</v>
          </cell>
          <cell r="BF344">
            <v>0</v>
          </cell>
          <cell r="BG344">
            <v>0</v>
          </cell>
        </row>
        <row r="345">
          <cell r="D345" t="str">
            <v>信息科技咨询与其它服务</v>
          </cell>
          <cell r="M345">
            <v>91.847228760000007</v>
          </cell>
          <cell r="N345">
            <v>75.9803009497262</v>
          </cell>
          <cell r="O345" t="str">
            <v>信息技术</v>
          </cell>
          <cell r="P345" t="str">
            <v>软件与服务</v>
          </cell>
          <cell r="Q345" t="str">
            <v>信息技术服务</v>
          </cell>
          <cell r="BC345">
            <v>1.8232385661310364E-2</v>
          </cell>
          <cell r="BD345">
            <v>-2.7736795514901082E-2</v>
          </cell>
          <cell r="BE345">
            <v>0.35429510891903021</v>
          </cell>
          <cell r="BF345">
            <v>0.59859600067138674</v>
          </cell>
          <cell r="BG345">
            <v>0.36198001861572265</v>
          </cell>
        </row>
        <row r="346">
          <cell r="D346" t="str">
            <v>轮胎与橡胶</v>
          </cell>
          <cell r="M346">
            <v>64.73599999999999</v>
          </cell>
          <cell r="N346">
            <v>53.53671813387907</v>
          </cell>
          <cell r="O346" t="str">
            <v>可选消费</v>
          </cell>
          <cell r="P346" t="str">
            <v>汽车与汽车零部件</v>
          </cell>
          <cell r="Q346" t="str">
            <v>汽车零配件</v>
          </cell>
          <cell r="BC346">
            <v>4.8458149779735629E-2</v>
          </cell>
          <cell r="BD346">
            <v>0.10312862108922349</v>
          </cell>
          <cell r="BE346">
            <v>5.088814799226541E-2</v>
          </cell>
          <cell r="BF346">
            <v>0.23150400161743165</v>
          </cell>
          <cell r="BG346">
            <v>0.20177999496459961</v>
          </cell>
        </row>
        <row r="347">
          <cell r="D347" t="str">
            <v>电气部件与设备</v>
          </cell>
          <cell r="M347">
            <v>141.4683214527</v>
          </cell>
          <cell r="N347">
            <v>116.91476824872541</v>
          </cell>
          <cell r="O347" t="str">
            <v>工业</v>
          </cell>
          <cell r="P347" t="str">
            <v>资本货物</v>
          </cell>
          <cell r="Q347" t="str">
            <v>电气设备</v>
          </cell>
          <cell r="BC347">
            <v>1.5930485155684203E-2</v>
          </cell>
          <cell r="BD347">
            <v>-1.8194541637508735E-2</v>
          </cell>
          <cell r="BE347">
            <v>-0.4597599145151211</v>
          </cell>
          <cell r="BF347">
            <v>-0.26540399551391602</v>
          </cell>
          <cell r="BG347">
            <v>3.836400032043457E-2</v>
          </cell>
        </row>
        <row r="348">
          <cell r="D348" t="str">
            <v>药品零售</v>
          </cell>
          <cell r="M348">
            <v>67.730988129599993</v>
          </cell>
          <cell r="N348">
            <v>55.935436664684737</v>
          </cell>
          <cell r="O348" t="str">
            <v>日常消费</v>
          </cell>
          <cell r="P348" t="str">
            <v>食品与主要用品零售Ⅱ</v>
          </cell>
          <cell r="Q348" t="str">
            <v>食品与主要用品零售Ⅲ</v>
          </cell>
          <cell r="BC348">
            <v>6.2784349408553181E-2</v>
          </cell>
          <cell r="BD348">
            <v>-6.80272108843538E-3</v>
          </cell>
          <cell r="BE348">
            <v>-0.21558092679650778</v>
          </cell>
          <cell r="BF348">
            <v>0.32754001617431638</v>
          </cell>
          <cell r="BG348">
            <v>2.6291999816894531E-2</v>
          </cell>
        </row>
        <row r="349">
          <cell r="D349" t="str">
            <v>白酒与葡萄酒</v>
          </cell>
          <cell r="M349">
            <v>1004.7088996</v>
          </cell>
          <cell r="N349">
            <v>829.64708011126243</v>
          </cell>
          <cell r="O349" t="str">
            <v>日常消费</v>
          </cell>
          <cell r="P349" t="str">
            <v>食品、饮料与烟草</v>
          </cell>
          <cell r="Q349" t="str">
            <v>饮料</v>
          </cell>
          <cell r="BC349">
            <v>4.1718750000000027E-2</v>
          </cell>
          <cell r="BD349">
            <v>9.1340644950073629E-2</v>
          </cell>
          <cell r="BE349">
            <v>0.15827652781829568</v>
          </cell>
          <cell r="BF349">
            <v>0.31431600570678708</v>
          </cell>
          <cell r="BG349">
            <v>5.3196001052856448E-2</v>
          </cell>
        </row>
        <row r="350">
          <cell r="D350" t="str">
            <v>工业机械</v>
          </cell>
          <cell r="M350">
            <v>64.22</v>
          </cell>
          <cell r="N350">
            <v>53.022598314305</v>
          </cell>
          <cell r="O350" t="str">
            <v>工业</v>
          </cell>
          <cell r="P350" t="str">
            <v>资本货物</v>
          </cell>
          <cell r="Q350" t="str">
            <v>机械</v>
          </cell>
          <cell r="BC350">
            <v>3.9452919516044183E-2</v>
          </cell>
          <cell r="BD350">
            <v>-6.7924528301886694E-2</v>
          </cell>
          <cell r="BE350">
            <v>1.112350329276105</v>
          </cell>
          <cell r="BF350">
            <v>0</v>
          </cell>
          <cell r="BG350">
            <v>0</v>
          </cell>
        </row>
        <row r="351">
          <cell r="D351" t="str">
            <v>房地产开发</v>
          </cell>
          <cell r="M351">
            <v>57.466355335200006</v>
          </cell>
          <cell r="N351">
            <v>47.419882977051003</v>
          </cell>
          <cell r="O351" t="str">
            <v>金融</v>
          </cell>
          <cell r="P351" t="str">
            <v>房地产</v>
          </cell>
          <cell r="Q351" t="str">
            <v>房地产管理与开发</v>
          </cell>
          <cell r="BC351">
            <v>-1.2360939431396523E-3</v>
          </cell>
          <cell r="BD351">
            <v>-9.8039215686274595E-3</v>
          </cell>
          <cell r="BE351">
            <v>-0.11493226122842091</v>
          </cell>
          <cell r="BF351">
            <v>0.40058399200439454</v>
          </cell>
          <cell r="BG351">
            <v>0.32876399993896482</v>
          </cell>
        </row>
        <row r="352">
          <cell r="D352" t="str">
            <v>家用电器</v>
          </cell>
          <cell r="M352">
            <v>69.300000000000011</v>
          </cell>
          <cell r="N352">
            <v>57.15844381680364</v>
          </cell>
          <cell r="O352" t="str">
            <v>可选消费</v>
          </cell>
          <cell r="P352" t="str">
            <v>耐用消费品与服装</v>
          </cell>
          <cell r="Q352" t="str">
            <v>家庭耐用消费品</v>
          </cell>
          <cell r="BC352">
            <v>4.6511627906976695E-2</v>
          </cell>
          <cell r="BD352">
            <v>8.0246913580246909E-2</v>
          </cell>
          <cell r="BE352">
            <v>0.15599876591673534</v>
          </cell>
          <cell r="BF352">
            <v>0.23591999053955079</v>
          </cell>
          <cell r="BG352">
            <v>8.701199531555176E-2</v>
          </cell>
        </row>
        <row r="353">
          <cell r="D353" t="str">
            <v>汽车制造</v>
          </cell>
          <cell r="M353">
            <v>59.586845769</v>
          </cell>
          <cell r="N353">
            <v>49.111340927780567</v>
          </cell>
          <cell r="O353" t="str">
            <v>可选消费</v>
          </cell>
          <cell r="P353" t="str">
            <v>汽车与汽车零部件</v>
          </cell>
          <cell r="Q353" t="str">
            <v>汽车</v>
          </cell>
          <cell r="BC353">
            <v>-2.6162790697674375E-2</v>
          </cell>
          <cell r="BD353">
            <v>-3.9655996177735228E-2</v>
          </cell>
          <cell r="BE353">
            <v>0.17462451887735272</v>
          </cell>
          <cell r="BF353">
            <v>0.2656559944152832</v>
          </cell>
          <cell r="BG353">
            <v>0.22401599884033202</v>
          </cell>
        </row>
        <row r="354">
          <cell r="D354" t="str">
            <v>电子设备和仪器</v>
          </cell>
          <cell r="M354">
            <v>159.53342707500002</v>
          </cell>
          <cell r="N354">
            <v>131.4832902398586</v>
          </cell>
          <cell r="O354" t="str">
            <v>信息技术</v>
          </cell>
          <cell r="P354" t="str">
            <v>技术硬件与设备</v>
          </cell>
          <cell r="Q354" t="str">
            <v>电子设备、仪器和元件</v>
          </cell>
          <cell r="BC354">
            <v>-3.3405954974582361E-2</v>
          </cell>
          <cell r="BD354">
            <v>2.8593508500772875E-2</v>
          </cell>
          <cell r="BE354">
            <v>4.4994960881176653E-2</v>
          </cell>
          <cell r="BF354">
            <v>0.72105598449707031</v>
          </cell>
          <cell r="BG354">
            <v>0</v>
          </cell>
        </row>
        <row r="355">
          <cell r="D355" t="str">
            <v>出版</v>
          </cell>
          <cell r="M355">
            <v>341.77880000000005</v>
          </cell>
          <cell r="N355">
            <v>281.50922784472488</v>
          </cell>
          <cell r="O355" t="str">
            <v>可选消费</v>
          </cell>
          <cell r="P355" t="str">
            <v>媒体Ⅱ</v>
          </cell>
          <cell r="Q355" t="str">
            <v>媒体Ⅲ</v>
          </cell>
          <cell r="BC355">
            <v>3.1995661605206061E-2</v>
          </cell>
          <cell r="BD355">
            <v>3.3116178067318099E-2</v>
          </cell>
          <cell r="BE355">
            <v>-0.13950562709392464</v>
          </cell>
          <cell r="BF355">
            <v>0.14758799552917481</v>
          </cell>
          <cell r="BG355">
            <v>0.13826399803161621</v>
          </cell>
        </row>
        <row r="356">
          <cell r="D356" t="str">
            <v>非传统电信运营商</v>
          </cell>
          <cell r="M356">
            <v>283.59194492249998</v>
          </cell>
          <cell r="N356">
            <v>233.43335168158015</v>
          </cell>
          <cell r="O356" t="str">
            <v>电信服务</v>
          </cell>
          <cell r="P356" t="str">
            <v>电信服务Ⅱ</v>
          </cell>
          <cell r="Q356" t="str">
            <v>多元电信服务</v>
          </cell>
          <cell r="BC356">
            <v>-1.6990291262135991E-2</v>
          </cell>
          <cell r="BD356">
            <v>3.1059063136456181E-2</v>
          </cell>
          <cell r="BE356">
            <v>-0.38543033469791671</v>
          </cell>
          <cell r="BF356">
            <v>0.22509599685668946</v>
          </cell>
          <cell r="BG356">
            <v>0.27290399551391603</v>
          </cell>
        </row>
        <row r="357">
          <cell r="D357" t="str">
            <v>重型电气设备</v>
          </cell>
          <cell r="M357">
            <v>141.1146</v>
          </cell>
          <cell r="N357">
            <v>116.14642270709919</v>
          </cell>
          <cell r="O357" t="str">
            <v>工业</v>
          </cell>
          <cell r="P357" t="str">
            <v>资本货物</v>
          </cell>
          <cell r="Q357" t="str">
            <v>电气设备</v>
          </cell>
          <cell r="BC357">
            <v>6.0975609756097615E-3</v>
          </cell>
          <cell r="BD357">
            <v>-2.0044543429844196E-2</v>
          </cell>
          <cell r="BE357">
            <v>-0.12699465865437315</v>
          </cell>
          <cell r="BF357">
            <v>0.14425200462341309</v>
          </cell>
          <cell r="BG357">
            <v>0.28209600448608396</v>
          </cell>
        </row>
        <row r="358">
          <cell r="D358" t="str">
            <v>百货商店</v>
          </cell>
          <cell r="M358">
            <v>55.174553025200005</v>
          </cell>
          <cell r="N358">
            <v>45.266090182553576</v>
          </cell>
          <cell r="O358" t="str">
            <v>可选消费</v>
          </cell>
          <cell r="P358" t="str">
            <v>零售业</v>
          </cell>
          <cell r="Q358" t="str">
            <v>多元化零售</v>
          </cell>
          <cell r="BC358">
            <v>3.5928143712576212E-3</v>
          </cell>
          <cell r="BD358">
            <v>-1.8735362997657889E-2</v>
          </cell>
          <cell r="BE358">
            <v>-0.11374348102425992</v>
          </cell>
          <cell r="BF358">
            <v>0.19641599655151368</v>
          </cell>
          <cell r="BG358">
            <v>-2.3856000900268556E-2</v>
          </cell>
        </row>
        <row r="359">
          <cell r="D359" t="str">
            <v>家庭装饰品</v>
          </cell>
          <cell r="M359">
            <v>87.384683848799995</v>
          </cell>
          <cell r="N359">
            <v>71.660622505185742</v>
          </cell>
          <cell r="O359" t="str">
            <v>可选消费</v>
          </cell>
          <cell r="P359" t="str">
            <v>耐用消费品与服装</v>
          </cell>
          <cell r="Q359" t="str">
            <v>家庭耐用消费品</v>
          </cell>
          <cell r="BC359">
            <v>-8.7976539589443535E-3</v>
          </cell>
          <cell r="BD359">
            <v>5.3780202650038932E-2</v>
          </cell>
          <cell r="BE359">
            <v>8.205610698290916E-2</v>
          </cell>
          <cell r="BF359">
            <v>0.43639198303222654</v>
          </cell>
          <cell r="BG359">
            <v>9.4703998565673825E-2</v>
          </cell>
        </row>
        <row r="360">
          <cell r="D360" t="str">
            <v>电气部件与设备</v>
          </cell>
          <cell r="M360">
            <v>64.104327865599998</v>
          </cell>
          <cell r="N360">
            <v>52.536778866117501</v>
          </cell>
          <cell r="O360" t="str">
            <v>工业</v>
          </cell>
          <cell r="P360" t="str">
            <v>资本货物</v>
          </cell>
          <cell r="Q360" t="str">
            <v>电气设备</v>
          </cell>
          <cell r="BC360">
            <v>2.441229656419526E-2</v>
          </cell>
          <cell r="BD360">
            <v>-4.9496644295302004E-2</v>
          </cell>
          <cell r="BE360">
            <v>-0.21352355282694443</v>
          </cell>
          <cell r="BF360">
            <v>0.21402000427246093</v>
          </cell>
          <cell r="BG360">
            <v>7.4376001358032226E-2</v>
          </cell>
        </row>
        <row r="361">
          <cell r="D361" t="str">
            <v>钢铁</v>
          </cell>
          <cell r="M361">
            <v>119.11817598750001</v>
          </cell>
          <cell r="N361">
            <v>97.60898095266667</v>
          </cell>
          <cell r="O361" t="str">
            <v>材料</v>
          </cell>
          <cell r="P361" t="str">
            <v>材料Ⅱ</v>
          </cell>
          <cell r="Q361" t="str">
            <v>金属、非金属与采矿</v>
          </cell>
          <cell r="BC361">
            <v>-7.5376884422110064E-3</v>
          </cell>
          <cell r="BD361">
            <v>-2.2277227722772242E-2</v>
          </cell>
          <cell r="BE361">
            <v>-0.1559829059829059</v>
          </cell>
          <cell r="BF361">
            <v>0.50263198852539059</v>
          </cell>
          <cell r="BG361">
            <v>5.0988001823425291E-2</v>
          </cell>
        </row>
        <row r="362">
          <cell r="D362" t="str">
            <v>重型电气设备</v>
          </cell>
          <cell r="M362">
            <v>51.893799999999999</v>
          </cell>
          <cell r="N362">
            <v>42.480323860125424</v>
          </cell>
          <cell r="O362" t="str">
            <v>工业</v>
          </cell>
          <cell r="P362" t="str">
            <v>资本货物</v>
          </cell>
          <cell r="Q362" t="str">
            <v>电气设备</v>
          </cell>
          <cell r="BC362">
            <v>1.4347202295552444E-2</v>
          </cell>
          <cell r="BD362">
            <v>-1.1188811188811197E-2</v>
          </cell>
          <cell r="BE362">
            <v>6.352479581399556E-2</v>
          </cell>
          <cell r="BF362">
            <v>0.13184399604797364</v>
          </cell>
          <cell r="BG362">
            <v>0.13916399955749512</v>
          </cell>
        </row>
        <row r="363">
          <cell r="D363" t="str">
            <v>航空</v>
          </cell>
          <cell r="M363">
            <v>802.86492834600006</v>
          </cell>
          <cell r="N363">
            <v>657.18639663067927</v>
          </cell>
          <cell r="O363" t="str">
            <v>工业</v>
          </cell>
          <cell r="P363" t="str">
            <v>运输</v>
          </cell>
          <cell r="Q363" t="str">
            <v>航空Ⅲ</v>
          </cell>
          <cell r="BC363">
            <v>1.3266998341625218E-2</v>
          </cell>
          <cell r="BD363">
            <v>-4.6801872074882969E-2</v>
          </cell>
          <cell r="BE363">
            <v>-0.13822284908321572</v>
          </cell>
          <cell r="BF363">
            <v>0.56253601074218751</v>
          </cell>
          <cell r="BG363">
            <v>6.9372000694274905E-2</v>
          </cell>
        </row>
        <row r="364">
          <cell r="D364" t="str">
            <v>食品加工与肉类</v>
          </cell>
          <cell r="M364">
            <v>146.41947811800003</v>
          </cell>
          <cell r="N364">
            <v>119.82973252548585</v>
          </cell>
          <cell r="O364" t="str">
            <v>日常消费</v>
          </cell>
          <cell r="P364" t="str">
            <v>食品、饮料与烟草</v>
          </cell>
          <cell r="Q364" t="str">
            <v>食品</v>
          </cell>
          <cell r="BC364">
            <v>7.5030750307503002E-2</v>
          </cell>
          <cell r="BD364">
            <v>9.8209127671866972E-3</v>
          </cell>
          <cell r="BE364">
            <v>0.56089613989095932</v>
          </cell>
          <cell r="BF364">
            <v>0.9272879791259766</v>
          </cell>
          <cell r="BG364">
            <v>0.30336000442504885</v>
          </cell>
        </row>
        <row r="365">
          <cell r="D365" t="str">
            <v>农产品</v>
          </cell>
          <cell r="M365">
            <v>243.51833943359998</v>
          </cell>
          <cell r="N365">
            <v>199.20143251441033</v>
          </cell>
          <cell r="O365" t="str">
            <v>日常消费</v>
          </cell>
          <cell r="P365" t="str">
            <v>食品、饮料与烟草</v>
          </cell>
          <cell r="Q365" t="str">
            <v>食品</v>
          </cell>
          <cell r="BC365">
            <v>0.11235955056179772</v>
          </cell>
          <cell r="BD365">
            <v>0.1865168539325843</v>
          </cell>
          <cell r="BE365">
            <v>0.17670812723143686</v>
          </cell>
          <cell r="BF365">
            <v>0.44484001159667969</v>
          </cell>
          <cell r="BG365">
            <v>0.23539199829101562</v>
          </cell>
        </row>
        <row r="366">
          <cell r="D366" t="str">
            <v>西药</v>
          </cell>
          <cell r="M366">
            <v>74.594000000000008</v>
          </cell>
          <cell r="N366">
            <v>61.0160762950917</v>
          </cell>
          <cell r="O366" t="str">
            <v>医疗保健</v>
          </cell>
          <cell r="P366" t="str">
            <v>制药、生物科技与生命科学</v>
          </cell>
          <cell r="Q366" t="str">
            <v>制药</v>
          </cell>
          <cell r="BC366">
            <v>3.8488453463961857E-3</v>
          </cell>
          <cell r="BD366">
            <v>-5.344770702738362E-2</v>
          </cell>
          <cell r="BE366">
            <v>0</v>
          </cell>
          <cell r="BF366">
            <v>0</v>
          </cell>
          <cell r="BG366">
            <v>0</v>
          </cell>
        </row>
        <row r="367">
          <cell r="D367" t="str">
            <v>钢铁</v>
          </cell>
          <cell r="M367">
            <v>105.78733460190001</v>
          </cell>
          <cell r="N367">
            <v>86.475020341242129</v>
          </cell>
          <cell r="O367" t="str">
            <v>材料</v>
          </cell>
          <cell r="P367" t="str">
            <v>材料Ⅱ</v>
          </cell>
          <cell r="Q367" t="str">
            <v>金属、非金属与采矿</v>
          </cell>
          <cell r="BC367">
            <v>-7.4349442379182222E-3</v>
          </cell>
          <cell r="BD367">
            <v>7.5471698113207617E-3</v>
          </cell>
          <cell r="BE367">
            <v>-0.41956521739130431</v>
          </cell>
          <cell r="BF367">
            <v>0.33271198272705077</v>
          </cell>
          <cell r="BG367">
            <v>1.9775999784469603E-2</v>
          </cell>
        </row>
        <row r="368">
          <cell r="D368" t="str">
            <v>燃气</v>
          </cell>
          <cell r="M368">
            <v>42.2613437292</v>
          </cell>
          <cell r="N368">
            <v>34.533541266905353</v>
          </cell>
          <cell r="O368" t="str">
            <v>公用事业</v>
          </cell>
          <cell r="P368" t="str">
            <v>公用事业Ⅱ</v>
          </cell>
          <cell r="Q368" t="str">
            <v>燃气Ⅲ</v>
          </cell>
          <cell r="BC368">
            <v>2.3578363384188616E-2</v>
          </cell>
          <cell r="BD368">
            <v>-4.5278137128072514E-2</v>
          </cell>
          <cell r="BE368">
            <v>-0.18455808696797149</v>
          </cell>
          <cell r="BF368">
            <v>0.3024480056762695</v>
          </cell>
          <cell r="BG368">
            <v>7.9499998092651361E-2</v>
          </cell>
        </row>
        <row r="369">
          <cell r="D369" t="str">
            <v>多元化保险</v>
          </cell>
          <cell r="M369">
            <v>2382.3998000000001</v>
          </cell>
          <cell r="N369">
            <v>1945.4939618055557</v>
          </cell>
          <cell r="O369" t="str">
            <v>金融</v>
          </cell>
          <cell r="P369" t="str">
            <v>保险Ⅱ</v>
          </cell>
          <cell r="Q369" t="str">
            <v>保险Ⅲ</v>
          </cell>
          <cell r="BC369">
            <v>4.5743834526650699E-2</v>
          </cell>
          <cell r="BD369">
            <v>0.10230607966457013</v>
          </cell>
          <cell r="BE369">
            <v>-0.17156179426632137</v>
          </cell>
          <cell r="BF369">
            <v>0.27959999084472659</v>
          </cell>
          <cell r="BG369">
            <v>8.5511999130249025E-2</v>
          </cell>
        </row>
        <row r="370">
          <cell r="D370" t="str">
            <v>中药</v>
          </cell>
          <cell r="M370">
            <v>309.9408063843</v>
          </cell>
          <cell r="N370">
            <v>252.76591923761265</v>
          </cell>
          <cell r="O370" t="str">
            <v>医疗保健</v>
          </cell>
          <cell r="P370" t="str">
            <v>制药、生物科技与生命科学</v>
          </cell>
          <cell r="Q370" t="str">
            <v>制药</v>
          </cell>
          <cell r="BC370">
            <v>1.260683760683768E-2</v>
          </cell>
          <cell r="BD370">
            <v>-8.7847730600293175E-3</v>
          </cell>
          <cell r="BE370">
            <v>0.16068633785913963</v>
          </cell>
          <cell r="BF370">
            <v>0.16780799865722656</v>
          </cell>
          <cell r="BG370">
            <v>4.1760001182556156E-2</v>
          </cell>
        </row>
        <row r="371">
          <cell r="D371" t="str">
            <v>西药</v>
          </cell>
          <cell r="M371">
            <v>458.18692207200002</v>
          </cell>
          <cell r="N371">
            <v>373.48370251291669</v>
          </cell>
          <cell r="O371" t="str">
            <v>医疗保健</v>
          </cell>
          <cell r="P371" t="str">
            <v>制药、生物科技与生命科学</v>
          </cell>
          <cell r="Q371" t="str">
            <v>制药</v>
          </cell>
          <cell r="BC371">
            <v>2.0092735703245778E-2</v>
          </cell>
          <cell r="BD371">
            <v>2.9641185647425912E-2</v>
          </cell>
          <cell r="BE371">
            <v>-0.19188700759680555</v>
          </cell>
          <cell r="BF371">
            <v>-2.681999921798706E-2</v>
          </cell>
          <cell r="BG371">
            <v>0.13272000312805177</v>
          </cell>
        </row>
        <row r="372">
          <cell r="D372" t="str">
            <v>纺织品</v>
          </cell>
          <cell r="M372">
            <v>92.945853000000014</v>
          </cell>
          <cell r="N372">
            <v>75.761636122995498</v>
          </cell>
          <cell r="O372" t="str">
            <v>可选消费</v>
          </cell>
          <cell r="P372" t="str">
            <v>耐用消费品与服装</v>
          </cell>
          <cell r="Q372" t="str">
            <v>纺织品、服装与奢侈品</v>
          </cell>
          <cell r="BC372">
            <v>-1.7461383478844846E-2</v>
          </cell>
          <cell r="BD372">
            <v>0.13410852713178298</v>
          </cell>
          <cell r="BE372">
            <v>0.21566336329699121</v>
          </cell>
          <cell r="BF372">
            <v>0.59535598754882812</v>
          </cell>
          <cell r="BG372">
            <v>0.28431600570678711</v>
          </cell>
        </row>
        <row r="373">
          <cell r="D373" t="str">
            <v>公路与铁路</v>
          </cell>
          <cell r="M373">
            <v>193.87048198140002</v>
          </cell>
          <cell r="N373">
            <v>158.0138618691625</v>
          </cell>
          <cell r="O373" t="str">
            <v>工业</v>
          </cell>
          <cell r="P373" t="str">
            <v>运输</v>
          </cell>
          <cell r="Q373" t="str">
            <v>交通基础设施</v>
          </cell>
          <cell r="BC373">
            <v>1.022727272727271E-2</v>
          </cell>
          <cell r="BD373">
            <v>1.4840182648401916E-2</v>
          </cell>
          <cell r="BE373">
            <v>8.3456909975295236E-3</v>
          </cell>
          <cell r="BF373">
            <v>0.59353199005126955</v>
          </cell>
          <cell r="BG373">
            <v>0.19358400344848634</v>
          </cell>
        </row>
        <row r="374">
          <cell r="D374" t="str">
            <v>西药</v>
          </cell>
          <cell r="M374">
            <v>218.62834054000001</v>
          </cell>
          <cell r="N374">
            <v>177.89032724918664</v>
          </cell>
          <cell r="O374" t="str">
            <v>医疗保健</v>
          </cell>
          <cell r="P374" t="str">
            <v>制药、生物科技与生命科学</v>
          </cell>
          <cell r="Q374" t="str">
            <v>制药</v>
          </cell>
          <cell r="BC374">
            <v>2.1021021021021109E-2</v>
          </cell>
          <cell r="BD374">
            <v>-1.9042123485285535E-2</v>
          </cell>
          <cell r="BE374">
            <v>-8.7064473152512253E-3</v>
          </cell>
          <cell r="BF374">
            <v>0.23989200592041016</v>
          </cell>
          <cell r="BG374">
            <v>0.1154520034790039</v>
          </cell>
        </row>
        <row r="375">
          <cell r="D375" t="str">
            <v>建筑机械与重型卡车</v>
          </cell>
          <cell r="M375">
            <v>37.790360595999999</v>
          </cell>
          <cell r="N375">
            <v>30.726413363629622</v>
          </cell>
          <cell r="O375" t="str">
            <v>工业</v>
          </cell>
          <cell r="P375" t="str">
            <v>资本货物</v>
          </cell>
          <cell r="Q375" t="str">
            <v>机械</v>
          </cell>
          <cell r="BC375">
            <v>-0.12031047865459257</v>
          </cell>
          <cell r="BD375">
            <v>-0.12031047865459257</v>
          </cell>
          <cell r="BE375">
            <v>-0.49442379182156132</v>
          </cell>
          <cell r="BF375">
            <v>-6.7020001411437991E-2</v>
          </cell>
          <cell r="BG375">
            <v>-0.11554800033569336</v>
          </cell>
        </row>
        <row r="376">
          <cell r="D376" t="str">
            <v>商业印刷</v>
          </cell>
          <cell r="M376">
            <v>133.10640000000001</v>
          </cell>
          <cell r="N376">
            <v>108.18864620425347</v>
          </cell>
          <cell r="O376" t="str">
            <v>工业</v>
          </cell>
          <cell r="P376" t="str">
            <v>商业和专业服务</v>
          </cell>
          <cell r="Q376" t="str">
            <v>商业服务与用品</v>
          </cell>
          <cell r="BC376">
            <v>-1.2376237623762261E-2</v>
          </cell>
          <cell r="BD376">
            <v>-2.1259198691741601E-2</v>
          </cell>
          <cell r="BE376">
            <v>-0.16701978327739064</v>
          </cell>
          <cell r="BF376">
            <v>9.7284002304077147E-2</v>
          </cell>
          <cell r="BG376">
            <v>0</v>
          </cell>
        </row>
        <row r="377">
          <cell r="D377" t="str">
            <v>百货商店</v>
          </cell>
          <cell r="M377">
            <v>105.86646000000002</v>
          </cell>
          <cell r="N377">
            <v>85.986511735817132</v>
          </cell>
          <cell r="O377" t="str">
            <v>可选消费</v>
          </cell>
          <cell r="P377" t="str">
            <v>零售业</v>
          </cell>
          <cell r="Q377" t="str">
            <v>多元化零售</v>
          </cell>
          <cell r="BC377">
            <v>3.3593749999999978E-2</v>
          </cell>
          <cell r="BD377">
            <v>9.7014925373134317E-2</v>
          </cell>
          <cell r="BE377">
            <v>-0.13483969194919049</v>
          </cell>
          <cell r="BF377">
            <v>0.11547599792480469</v>
          </cell>
          <cell r="BG377">
            <v>-2.9723999500274659E-2</v>
          </cell>
        </row>
        <row r="378">
          <cell r="D378" t="str">
            <v>汽车零售</v>
          </cell>
          <cell r="M378">
            <v>93.131134964999987</v>
          </cell>
          <cell r="N378">
            <v>75.568668854795533</v>
          </cell>
          <cell r="O378" t="str">
            <v>可选消费</v>
          </cell>
          <cell r="P378" t="str">
            <v>零售业</v>
          </cell>
          <cell r="Q378" t="str">
            <v>专营零售</v>
          </cell>
          <cell r="BC378">
            <v>4.5038705137227214E-2</v>
          </cell>
          <cell r="BD378">
            <v>2.8393351800554027E-2</v>
          </cell>
          <cell r="BE378">
            <v>-0.37275370703395783</v>
          </cell>
          <cell r="BF378">
            <v>-2.0027999877929688E-2</v>
          </cell>
          <cell r="BG378">
            <v>0.11344799995422364</v>
          </cell>
        </row>
        <row r="379">
          <cell r="D379" t="str">
            <v>半导体产品</v>
          </cell>
          <cell r="M379">
            <v>117.85155852279999</v>
          </cell>
          <cell r="N379">
            <v>95.474673324890887</v>
          </cell>
          <cell r="O379" t="str">
            <v>信息技术</v>
          </cell>
          <cell r="P379" t="str">
            <v>半导体与半导体生产设备</v>
          </cell>
          <cell r="Q379" t="str">
            <v>半导体产品与半导体设备</v>
          </cell>
          <cell r="BC379">
            <v>6.4594759293113882E-2</v>
          </cell>
          <cell r="BD379">
            <v>0.15618795499669091</v>
          </cell>
          <cell r="BE379">
            <v>0.6574952561669829</v>
          </cell>
          <cell r="BF379">
            <v>0.40405200958251952</v>
          </cell>
          <cell r="BG379">
            <v>1.0908000469207764E-2</v>
          </cell>
        </row>
        <row r="380">
          <cell r="D380" t="str">
            <v>电气部件与设备</v>
          </cell>
          <cell r="M380">
            <v>291.11066547420006</v>
          </cell>
          <cell r="N380">
            <v>235.28234116035824</v>
          </cell>
          <cell r="O380" t="str">
            <v>工业</v>
          </cell>
          <cell r="P380" t="str">
            <v>资本货物</v>
          </cell>
          <cell r="Q380" t="str">
            <v>电气设备</v>
          </cell>
          <cell r="BC380">
            <v>-1.6447368421052478E-2</v>
          </cell>
          <cell r="BD380">
            <v>-1.9672131147540951E-2</v>
          </cell>
          <cell r="BE380">
            <v>-0.32662552025977781</v>
          </cell>
          <cell r="BF380">
            <v>-1.128000020980835E-2</v>
          </cell>
          <cell r="BG380">
            <v>-4.6236000061035155E-2</v>
          </cell>
        </row>
        <row r="381">
          <cell r="D381" t="str">
            <v>黄金</v>
          </cell>
          <cell r="M381">
            <v>249.6575564808</v>
          </cell>
          <cell r="N381">
            <v>201.49996516201898</v>
          </cell>
          <cell r="O381" t="str">
            <v>材料</v>
          </cell>
          <cell r="P381" t="str">
            <v>材料Ⅱ</v>
          </cell>
          <cell r="Q381" t="str">
            <v>金属、非金属与采矿</v>
          </cell>
          <cell r="BC381">
            <v>2.2560975609756159E-2</v>
          </cell>
          <cell r="BD381">
            <v>1.6979987871437306E-2</v>
          </cell>
          <cell r="BE381">
            <v>0.42816727163981616</v>
          </cell>
          <cell r="BF381">
            <v>0.83262001037597655</v>
          </cell>
          <cell r="BG381">
            <v>0.34686000823974611</v>
          </cell>
        </row>
        <row r="382">
          <cell r="D382" t="str">
            <v>白酒与葡萄酒</v>
          </cell>
          <cell r="M382">
            <v>168.08</v>
          </cell>
          <cell r="N382">
            <v>135.57923687746168</v>
          </cell>
          <cell r="O382" t="str">
            <v>日常消费</v>
          </cell>
          <cell r="P382" t="str">
            <v>食品、饮料与烟草</v>
          </cell>
          <cell r="Q382" t="str">
            <v>饮料</v>
          </cell>
          <cell r="BC382">
            <v>2.9901960784313873E-2</v>
          </cell>
          <cell r="BD382">
            <v>-2.7314814814814806E-2</v>
          </cell>
          <cell r="BE382">
            <v>0</v>
          </cell>
          <cell r="BF382">
            <v>0</v>
          </cell>
          <cell r="BG382">
            <v>0</v>
          </cell>
        </row>
        <row r="383">
          <cell r="D383" t="str">
            <v>电子元件</v>
          </cell>
          <cell r="M383">
            <v>50.508159810500004</v>
          </cell>
          <cell r="N383">
            <v>40.730311279759739</v>
          </cell>
          <cell r="O383" t="str">
            <v>信息技术</v>
          </cell>
          <cell r="P383" t="str">
            <v>技术硬件与设备</v>
          </cell>
          <cell r="Q383" t="str">
            <v>电子设备、仪器和元件</v>
          </cell>
          <cell r="BC383">
            <v>3.1676198856137212E-2</v>
          </cell>
          <cell r="BD383">
            <v>-4.4027721157766077E-2</v>
          </cell>
          <cell r="BE383">
            <v>5.7330190057003155E-2</v>
          </cell>
          <cell r="BF383">
            <v>0.51297599792480464</v>
          </cell>
          <cell r="BG383">
            <v>0</v>
          </cell>
        </row>
        <row r="384">
          <cell r="D384" t="str">
            <v>房地产开发</v>
          </cell>
          <cell r="M384">
            <v>450.21979416260001</v>
          </cell>
          <cell r="N384">
            <v>362.47460523085238</v>
          </cell>
          <cell r="O384" t="str">
            <v>金融</v>
          </cell>
          <cell r="P384" t="str">
            <v>房地产</v>
          </cell>
          <cell r="Q384" t="str">
            <v>房地产管理与开发</v>
          </cell>
          <cell r="BC384">
            <v>7.35294117647055E-3</v>
          </cell>
          <cell r="BD384">
            <v>-7.8999341672152217E-3</v>
          </cell>
          <cell r="BE384">
            <v>1.1436700387670815</v>
          </cell>
          <cell r="BF384">
            <v>0.49459201812744141</v>
          </cell>
          <cell r="BG384">
            <v>0.25091999053955077</v>
          </cell>
        </row>
        <row r="385">
          <cell r="D385" t="str">
            <v>工业机械</v>
          </cell>
          <cell r="M385">
            <v>131.47500000000002</v>
          </cell>
          <cell r="N385">
            <v>105.84599500250251</v>
          </cell>
          <cell r="O385" t="str">
            <v>工业</v>
          </cell>
          <cell r="P385" t="str">
            <v>资本货物</v>
          </cell>
          <cell r="Q385" t="str">
            <v>机械</v>
          </cell>
          <cell r="BC385">
            <v>2.2157434402332511E-2</v>
          </cell>
          <cell r="BD385">
            <v>-2.0670391061452374E-2</v>
          </cell>
          <cell r="BE385">
            <v>-0.21259746338949925</v>
          </cell>
          <cell r="BF385">
            <v>-1.7364000082015992E-2</v>
          </cell>
          <cell r="BG385">
            <v>0</v>
          </cell>
        </row>
        <row r="386">
          <cell r="D386" t="str">
            <v>电子元件</v>
          </cell>
          <cell r="M386">
            <v>69.785188412500005</v>
          </cell>
          <cell r="N386">
            <v>56.164896180773106</v>
          </cell>
          <cell r="O386" t="str">
            <v>信息技术</v>
          </cell>
          <cell r="P386" t="str">
            <v>技术硬件与设备</v>
          </cell>
          <cell r="Q386" t="str">
            <v>电子设备、仪器和元件</v>
          </cell>
          <cell r="BC386">
            <v>-1.5611448395490002E-2</v>
          </cell>
          <cell r="BD386">
            <v>4.1284403669724704E-2</v>
          </cell>
          <cell r="BE386">
            <v>0.70052635116522877</v>
          </cell>
          <cell r="BF386">
            <v>0.67748397827148432</v>
          </cell>
          <cell r="BG386">
            <v>0</v>
          </cell>
        </row>
        <row r="387">
          <cell r="D387" t="str">
            <v>房地产开发</v>
          </cell>
          <cell r="M387">
            <v>543.70260413760002</v>
          </cell>
          <cell r="N387">
            <v>437.56701036642067</v>
          </cell>
          <cell r="O387" t="str">
            <v>金融</v>
          </cell>
          <cell r="P387" t="str">
            <v>房地产</v>
          </cell>
          <cell r="Q387" t="str">
            <v>房地产管理与开发</v>
          </cell>
          <cell r="BC387">
            <v>-1.5484922575387083E-2</v>
          </cell>
          <cell r="BD387">
            <v>-0.18046132971506107</v>
          </cell>
          <cell r="BE387">
            <v>0.20402636338375096</v>
          </cell>
          <cell r="BF387">
            <v>0.53960399627685551</v>
          </cell>
          <cell r="BG387">
            <v>0.24087600708007811</v>
          </cell>
        </row>
        <row r="388">
          <cell r="D388" t="str">
            <v>化肥与农用化工</v>
          </cell>
          <cell r="M388">
            <v>80.669352059700003</v>
          </cell>
          <cell r="N388">
            <v>64.88285646551148</v>
          </cell>
          <cell r="O388" t="str">
            <v>材料</v>
          </cell>
          <cell r="P388" t="str">
            <v>材料Ⅱ</v>
          </cell>
          <cell r="Q388" t="str">
            <v>化工</v>
          </cell>
          <cell r="BC388">
            <v>5.3869499241274724E-2</v>
          </cell>
          <cell r="BD388">
            <v>3.6127167630058319E-3</v>
          </cell>
          <cell r="BE388">
            <v>-0.26680026947369451</v>
          </cell>
          <cell r="BF388">
            <v>2.4719999730587004E-3</v>
          </cell>
          <cell r="BG388">
            <v>1.2347999811172485E-2</v>
          </cell>
        </row>
        <row r="389">
          <cell r="D389" t="str">
            <v>消费电子产品</v>
          </cell>
          <cell r="M389">
            <v>471.44811524119996</v>
          </cell>
          <cell r="N389">
            <v>378.7285542635434</v>
          </cell>
          <cell r="O389" t="str">
            <v>可选消费</v>
          </cell>
          <cell r="P389" t="str">
            <v>耐用消费品与服装</v>
          </cell>
          <cell r="Q389" t="str">
            <v>家庭耐用消费品</v>
          </cell>
          <cell r="BC389">
            <v>-2.2784810126582355E-2</v>
          </cell>
          <cell r="BD389">
            <v>-2.7707808564231818E-2</v>
          </cell>
          <cell r="BE389">
            <v>-0.32957917408722731</v>
          </cell>
          <cell r="BF389">
            <v>0.23698799133300782</v>
          </cell>
          <cell r="BG389">
            <v>0.16342800140380859</v>
          </cell>
        </row>
        <row r="390">
          <cell r="D390" t="str">
            <v>电力</v>
          </cell>
          <cell r="M390">
            <v>2009.7</v>
          </cell>
          <cell r="N390">
            <v>1612.581096090548</v>
          </cell>
          <cell r="O390" t="str">
            <v>公用事业</v>
          </cell>
          <cell r="P390" t="str">
            <v>公用事业Ⅱ</v>
          </cell>
          <cell r="Q390" t="str">
            <v>电力Ⅲ</v>
          </cell>
          <cell r="BC390">
            <v>-9.7560975609756895E-3</v>
          </cell>
          <cell r="BD390">
            <v>-2.4570024570025497E-3</v>
          </cell>
          <cell r="BE390">
            <v>0.15230756165478651</v>
          </cell>
          <cell r="BF390">
            <v>0.40100399017333982</v>
          </cell>
          <cell r="BG390">
            <v>0.13846799850463867</v>
          </cell>
        </row>
        <row r="391">
          <cell r="D391" t="str">
            <v>投资银行业与经纪业</v>
          </cell>
          <cell r="M391">
            <v>1098.6025275680001</v>
          </cell>
          <cell r="N391">
            <v>881.43759954018117</v>
          </cell>
          <cell r="O391" t="str">
            <v>金融</v>
          </cell>
          <cell r="P391" t="str">
            <v>多元金融</v>
          </cell>
          <cell r="Q391" t="str">
            <v>资本市场</v>
          </cell>
          <cell r="BC391">
            <v>3.8610038610039504E-3</v>
          </cell>
          <cell r="BD391">
            <v>6.6119938493080427E-2</v>
          </cell>
          <cell r="BE391">
            <v>9.2848449531737806E-2</v>
          </cell>
          <cell r="BF391">
            <v>0</v>
          </cell>
          <cell r="BG391">
            <v>0</v>
          </cell>
        </row>
        <row r="392">
          <cell r="D392" t="str">
            <v>办公服务与用品</v>
          </cell>
          <cell r="M392">
            <v>172.22399999999999</v>
          </cell>
          <cell r="N392">
            <v>138.13621622725998</v>
          </cell>
          <cell r="O392" t="str">
            <v>工业</v>
          </cell>
          <cell r="P392" t="str">
            <v>商业和专业服务</v>
          </cell>
          <cell r="Q392" t="str">
            <v>商业服务与用品</v>
          </cell>
          <cell r="BC392">
            <v>2.772440296458957E-2</v>
          </cell>
          <cell r="BD392">
            <v>6.3938618925831206E-2</v>
          </cell>
          <cell r="BE392">
            <v>9.5569885615251177E-2</v>
          </cell>
          <cell r="BF392">
            <v>0</v>
          </cell>
          <cell r="BG392">
            <v>0</v>
          </cell>
        </row>
        <row r="393">
          <cell r="D393" t="str">
            <v>公路与铁路</v>
          </cell>
          <cell r="M393">
            <v>77.901055064800005</v>
          </cell>
          <cell r="N393">
            <v>62.475191410004278</v>
          </cell>
          <cell r="O393" t="str">
            <v>工业</v>
          </cell>
          <cell r="P393" t="str">
            <v>运输</v>
          </cell>
          <cell r="Q393" t="str">
            <v>交通基础设施</v>
          </cell>
          <cell r="BC393">
            <v>2.4856596558317377E-2</v>
          </cell>
          <cell r="BD393">
            <v>-7.4265975820379915E-2</v>
          </cell>
          <cell r="BE393">
            <v>0.43578196539072772</v>
          </cell>
          <cell r="BF393">
            <v>0.74229598999023438</v>
          </cell>
          <cell r="BG393">
            <v>0.19628400802612306</v>
          </cell>
        </row>
        <row r="394">
          <cell r="D394" t="str">
            <v>百货商店</v>
          </cell>
          <cell r="M394">
            <v>50.3513757375</v>
          </cell>
          <cell r="N394">
            <v>40.38043505672757</v>
          </cell>
          <cell r="O394" t="str">
            <v>可选消费</v>
          </cell>
          <cell r="P394" t="str">
            <v>零售业</v>
          </cell>
          <cell r="Q394" t="str">
            <v>多元化零售</v>
          </cell>
          <cell r="BC394">
            <v>3.9750328515111608E-2</v>
          </cell>
          <cell r="BD394">
            <v>-5.8315977387682266E-2</v>
          </cell>
          <cell r="BE394">
            <v>0.14423195029147373</v>
          </cell>
          <cell r="BF394">
            <v>0.37345199584960936</v>
          </cell>
          <cell r="BG394">
            <v>7.8095998764038083E-2</v>
          </cell>
        </row>
        <row r="395">
          <cell r="D395" t="str">
            <v>出版</v>
          </cell>
          <cell r="M395">
            <v>91.143455642199996</v>
          </cell>
          <cell r="N395">
            <v>73.000432758602344</v>
          </cell>
          <cell r="O395" t="str">
            <v>可选消费</v>
          </cell>
          <cell r="P395" t="str">
            <v>媒体Ⅱ</v>
          </cell>
          <cell r="Q395" t="str">
            <v>媒体Ⅲ</v>
          </cell>
          <cell r="BC395">
            <v>2.2264329701563185E-2</v>
          </cell>
          <cell r="BD395">
            <v>-0.12276422764227654</v>
          </cell>
          <cell r="BE395">
            <v>-0.10485110148108737</v>
          </cell>
          <cell r="BF395">
            <v>0.14894399642944336</v>
          </cell>
          <cell r="BG395">
            <v>0.43671600341796873</v>
          </cell>
        </row>
        <row r="396">
          <cell r="D396" t="str">
            <v>家庭装饰品</v>
          </cell>
          <cell r="M396">
            <v>182.65308759999999</v>
          </cell>
          <cell r="N396">
            <v>146.17290000319332</v>
          </cell>
          <cell r="O396" t="str">
            <v>可选消费</v>
          </cell>
          <cell r="P396" t="str">
            <v>耐用消费品与服装</v>
          </cell>
          <cell r="Q396" t="str">
            <v>家庭耐用消费品</v>
          </cell>
          <cell r="BC396">
            <v>-1.7552182163187737E-2</v>
          </cell>
          <cell r="BD396">
            <v>1.7394192713529585E-2</v>
          </cell>
          <cell r="BE396">
            <v>0.46197076293287159</v>
          </cell>
          <cell r="BF396">
            <v>0.51079200744628905</v>
          </cell>
          <cell r="BG396">
            <v>0</v>
          </cell>
        </row>
        <row r="397">
          <cell r="D397" t="str">
            <v>半导体产品</v>
          </cell>
          <cell r="M397">
            <v>116.55548491500002</v>
          </cell>
          <cell r="N397">
            <v>93.253108758061231</v>
          </cell>
          <cell r="O397" t="str">
            <v>信息技术</v>
          </cell>
          <cell r="P397" t="str">
            <v>半导体与半导体生产设备</v>
          </cell>
          <cell r="Q397" t="str">
            <v>半导体产品与半导体设备</v>
          </cell>
          <cell r="BC397">
            <v>7.9726651480637872E-2</v>
          </cell>
          <cell r="BD397">
            <v>5.6577086280056622E-3</v>
          </cell>
          <cell r="BE397">
            <v>-0.16335504321895264</v>
          </cell>
          <cell r="BF397">
            <v>0.14119199752807618</v>
          </cell>
          <cell r="BG397">
            <v>0.16124399185180663</v>
          </cell>
        </row>
        <row r="398">
          <cell r="D398" t="str">
            <v>环境与设施服务</v>
          </cell>
          <cell r="M398">
            <v>111.110243447</v>
          </cell>
          <cell r="N398">
            <v>88.872784571744717</v>
          </cell>
          <cell r="O398" t="str">
            <v>工业</v>
          </cell>
          <cell r="P398" t="str">
            <v>商业和专业服务</v>
          </cell>
          <cell r="Q398" t="str">
            <v>商业服务与用品</v>
          </cell>
          <cell r="BC398">
            <v>1.4978601997146995E-2</v>
          </cell>
          <cell r="BD398">
            <v>-3.851351351351353E-2</v>
          </cell>
          <cell r="BE398">
            <v>-0.32541113386718162</v>
          </cell>
          <cell r="BF398">
            <v>-1.3680000305175782E-2</v>
          </cell>
          <cell r="BG398">
            <v>8.9952001571655268E-2</v>
          </cell>
        </row>
        <row r="399">
          <cell r="D399" t="str">
            <v>铝</v>
          </cell>
          <cell r="M399">
            <v>44.949933627199997</v>
          </cell>
          <cell r="N399">
            <v>35.936633272016664</v>
          </cell>
          <cell r="O399" t="str">
            <v>材料</v>
          </cell>
          <cell r="P399" t="str">
            <v>材料Ⅱ</v>
          </cell>
          <cell r="Q399" t="str">
            <v>金属、非金属与采矿</v>
          </cell>
          <cell r="BC399">
            <v>7.1839080459769862E-3</v>
          </cell>
          <cell r="BD399">
            <v>1.1544011544011554E-2</v>
          </cell>
          <cell r="BE399">
            <v>-0.32335907335907332</v>
          </cell>
          <cell r="BF399">
            <v>0.20408399581909178</v>
          </cell>
          <cell r="BG399">
            <v>-8.8008003234863283E-2</v>
          </cell>
        </row>
        <row r="400">
          <cell r="D400" t="str">
            <v>煤炭与消费用燃料</v>
          </cell>
          <cell r="M400">
            <v>62.719711999999994</v>
          </cell>
          <cell r="N400">
            <v>50.062038072263888</v>
          </cell>
          <cell r="O400" t="str">
            <v>能源</v>
          </cell>
          <cell r="P400" t="str">
            <v>能源Ⅱ</v>
          </cell>
          <cell r="Q400" t="str">
            <v>石油、天然气与供消费用燃料</v>
          </cell>
          <cell r="BC400">
            <v>-3.9697542533081276E-2</v>
          </cell>
          <cell r="BD400">
            <v>-1.9646365422396439E-3</v>
          </cell>
          <cell r="BE400">
            <v>-0.30824202776449094</v>
          </cell>
          <cell r="BF400">
            <v>0.10423199653625488</v>
          </cell>
          <cell r="BG400">
            <v>-0.20876399993896486</v>
          </cell>
        </row>
        <row r="401">
          <cell r="D401" t="str">
            <v>建筑与工程</v>
          </cell>
          <cell r="M401">
            <v>259.07351814560002</v>
          </cell>
          <cell r="N401">
            <v>206.76444531357666</v>
          </cell>
          <cell r="O401" t="str">
            <v>工业</v>
          </cell>
          <cell r="P401" t="str">
            <v>资本货物</v>
          </cell>
          <cell r="Q401" t="str">
            <v>建筑与工程Ⅲ</v>
          </cell>
          <cell r="BC401">
            <v>-1.199040767386087E-2</v>
          </cell>
          <cell r="BD401">
            <v>-3.8506417736289392E-2</v>
          </cell>
          <cell r="BE401">
            <v>-0.18062998781939063</v>
          </cell>
          <cell r="BF401">
            <v>0.47823600769042968</v>
          </cell>
          <cell r="BG401">
            <v>0.16947599411010741</v>
          </cell>
        </row>
        <row r="402">
          <cell r="D402" t="str">
            <v>新能源发电业者</v>
          </cell>
          <cell r="M402">
            <v>137.61579356360002</v>
          </cell>
          <cell r="N402">
            <v>109.80526488222912</v>
          </cell>
          <cell r="O402" t="str">
            <v>公用事业</v>
          </cell>
          <cell r="P402" t="str">
            <v>公用事业Ⅱ</v>
          </cell>
          <cell r="Q402" t="str">
            <v>独立电力生产商与能源贸易商Ⅲ</v>
          </cell>
          <cell r="BC402">
            <v>3.9863325740319068E-2</v>
          </cell>
          <cell r="BD402">
            <v>-1.4038876889848706E-2</v>
          </cell>
          <cell r="BE402">
            <v>-0.3805274734117331</v>
          </cell>
          <cell r="BF402">
            <v>0.21393600463867188</v>
          </cell>
          <cell r="BG402">
            <v>7.827600002288819E-2</v>
          </cell>
        </row>
        <row r="403">
          <cell r="D403" t="str">
            <v>电力</v>
          </cell>
          <cell r="M403">
            <v>227.36479293719998</v>
          </cell>
          <cell r="N403">
            <v>181.18598224021943</v>
          </cell>
          <cell r="O403" t="str">
            <v>公用事业</v>
          </cell>
          <cell r="P403" t="str">
            <v>公用事业Ⅱ</v>
          </cell>
          <cell r="Q403" t="str">
            <v>电力Ⅲ</v>
          </cell>
          <cell r="BC403">
            <v>8.464328899637278E-3</v>
          </cell>
          <cell r="BD403">
            <v>-7.4361820199778023E-2</v>
          </cell>
          <cell r="BE403">
            <v>-0.16493552776746268</v>
          </cell>
          <cell r="BF403">
            <v>0.33379199981689456</v>
          </cell>
          <cell r="BG403">
            <v>9.6635999679565432E-2</v>
          </cell>
        </row>
        <row r="404">
          <cell r="D404" t="str">
            <v>白酒与葡萄酒</v>
          </cell>
          <cell r="M404">
            <v>343.83230711519997</v>
          </cell>
          <cell r="N404">
            <v>273.64440806788531</v>
          </cell>
          <cell r="O404" t="str">
            <v>日常消费</v>
          </cell>
          <cell r="P404" t="str">
            <v>食品、饮料与烟草</v>
          </cell>
          <cell r="Q404" t="str">
            <v>饮料</v>
          </cell>
          <cell r="BC404">
            <v>4.7863247863247908E-2</v>
          </cell>
          <cell r="BD404">
            <v>9.5131755247878466E-2</v>
          </cell>
          <cell r="BE404">
            <v>3.2954817549682679E-2</v>
          </cell>
          <cell r="BF404">
            <v>0.2243400001525879</v>
          </cell>
          <cell r="BG404">
            <v>-4.3751997947692869E-2</v>
          </cell>
        </row>
        <row r="405">
          <cell r="D405" t="str">
            <v>工业机械</v>
          </cell>
          <cell r="M405">
            <v>48.059680603000004</v>
          </cell>
          <cell r="N405">
            <v>38.224607143358469</v>
          </cell>
          <cell r="O405" t="str">
            <v>工业</v>
          </cell>
          <cell r="P405" t="str">
            <v>资本货物</v>
          </cell>
          <cell r="Q405" t="str">
            <v>机械</v>
          </cell>
          <cell r="BC405">
            <v>2.0236087689713342E-2</v>
          </cell>
          <cell r="BD405">
            <v>8.2712985938790623E-4</v>
          </cell>
          <cell r="BE405">
            <v>-0.15908083034339521</v>
          </cell>
          <cell r="BF405">
            <v>0.29936399459838869</v>
          </cell>
          <cell r="BG405">
            <v>0</v>
          </cell>
        </row>
        <row r="406">
          <cell r="D406" t="str">
            <v>电脑硬件</v>
          </cell>
          <cell r="M406">
            <v>216.19069732369999</v>
          </cell>
          <cell r="N406">
            <v>171.77531875110415</v>
          </cell>
          <cell r="O406" t="str">
            <v>信息技术</v>
          </cell>
          <cell r="P406" t="str">
            <v>技术硬件与设备</v>
          </cell>
          <cell r="Q406" t="str">
            <v>电脑与外围设备</v>
          </cell>
          <cell r="BC406">
            <v>8.7996389891696725E-2</v>
          </cell>
          <cell r="BD406">
            <v>8.8487584650112916E-2</v>
          </cell>
          <cell r="BE406">
            <v>-0.37573516066320461</v>
          </cell>
          <cell r="BF406">
            <v>0.26436000823974609</v>
          </cell>
          <cell r="BG406">
            <v>0.15709199905395507</v>
          </cell>
        </row>
        <row r="407">
          <cell r="D407" t="str">
            <v>药品零售</v>
          </cell>
          <cell r="M407">
            <v>445.55247614659999</v>
          </cell>
          <cell r="N407">
            <v>353.99501338461602</v>
          </cell>
          <cell r="O407" t="str">
            <v>日常消费</v>
          </cell>
          <cell r="P407" t="str">
            <v>食品与主要用品零售Ⅱ</v>
          </cell>
          <cell r="Q407" t="str">
            <v>食品与主要用品零售Ⅲ</v>
          </cell>
          <cell r="BC407">
            <v>-1.01553166069294E-2</v>
          </cell>
          <cell r="BD407">
            <v>0</v>
          </cell>
          <cell r="BE407">
            <v>-0.23319042350731814</v>
          </cell>
          <cell r="BF407">
            <v>0.12716400146484375</v>
          </cell>
          <cell r="BG407">
            <v>7.4159997701644899E-3</v>
          </cell>
        </row>
        <row r="408">
          <cell r="D408" t="str">
            <v>西药</v>
          </cell>
          <cell r="M408">
            <v>101.88503492999997</v>
          </cell>
          <cell r="N408">
            <v>80.90101704333037</v>
          </cell>
          <cell r="O408" t="str">
            <v>医疗保健</v>
          </cell>
          <cell r="P408" t="str">
            <v>制药、生物科技与生命科学</v>
          </cell>
          <cell r="Q408" t="str">
            <v>制药</v>
          </cell>
          <cell r="BC408">
            <v>1.1073663938372674E-2</v>
          </cell>
          <cell r="BD408">
            <v>-8.4985835694050861E-3</v>
          </cell>
          <cell r="BE408">
            <v>-0.1935229730255171</v>
          </cell>
          <cell r="BF408">
            <v>0.12210000038146973</v>
          </cell>
          <cell r="BG408">
            <v>0.14846400260925294</v>
          </cell>
        </row>
        <row r="409">
          <cell r="D409" t="str">
            <v>消费品经销商</v>
          </cell>
          <cell r="M409">
            <v>278.86609945680004</v>
          </cell>
          <cell r="N409">
            <v>221.3975660616945</v>
          </cell>
          <cell r="O409" t="str">
            <v>可选消费</v>
          </cell>
          <cell r="P409" t="str">
            <v>零售业</v>
          </cell>
          <cell r="Q409" t="str">
            <v>消费品经销商Ⅲ</v>
          </cell>
          <cell r="BC409">
            <v>6.9835680751173787E-2</v>
          </cell>
          <cell r="BD409">
            <v>6.1117578579743932E-2</v>
          </cell>
          <cell r="BE409">
            <v>-0.36279573638550083</v>
          </cell>
          <cell r="BF409">
            <v>0.16888799667358398</v>
          </cell>
          <cell r="BG409">
            <v>3.225600004196167E-2</v>
          </cell>
        </row>
        <row r="410">
          <cell r="D410" t="str">
            <v>广告</v>
          </cell>
          <cell r="M410">
            <v>61.676517690000004</v>
          </cell>
          <cell r="N410">
            <v>48.964615904650614</v>
          </cell>
          <cell r="O410" t="str">
            <v>可选消费</v>
          </cell>
          <cell r="P410" t="str">
            <v>媒体Ⅱ</v>
          </cell>
          <cell r="Q410" t="str">
            <v>媒体Ⅲ</v>
          </cell>
          <cell r="BC410">
            <v>0</v>
          </cell>
          <cell r="BD410">
            <v>0</v>
          </cell>
          <cell r="BE410">
            <v>-0.25355693588415645</v>
          </cell>
          <cell r="BF410">
            <v>0.17914800643920897</v>
          </cell>
          <cell r="BG410">
            <v>0.4284960174560547</v>
          </cell>
        </row>
        <row r="411">
          <cell r="D411" t="str">
            <v>金属非金属</v>
          </cell>
          <cell r="M411">
            <v>97.962199770300003</v>
          </cell>
          <cell r="N411">
            <v>77.66095635736329</v>
          </cell>
          <cell r="O411" t="str">
            <v>材料</v>
          </cell>
          <cell r="P411" t="str">
            <v>材料Ⅱ</v>
          </cell>
          <cell r="Q411" t="str">
            <v>金属、非金属与采矿</v>
          </cell>
          <cell r="BC411">
            <v>2.2593320235756428E-2</v>
          </cell>
          <cell r="BD411">
            <v>-8.571428571428558E-3</v>
          </cell>
          <cell r="BE411">
            <v>-0.16612088153083052</v>
          </cell>
          <cell r="BF411">
            <v>0.16430400848388671</v>
          </cell>
          <cell r="BG411">
            <v>0.20558399200439453</v>
          </cell>
        </row>
        <row r="412">
          <cell r="D412" t="str">
            <v>机动车零配件与设备</v>
          </cell>
          <cell r="M412">
            <v>52.182822780000002</v>
          </cell>
          <cell r="N412">
            <v>41.331215017784821</v>
          </cell>
          <cell r="O412" t="str">
            <v>可选消费</v>
          </cell>
          <cell r="P412" t="str">
            <v>汽车与汽车零部件</v>
          </cell>
          <cell r="Q412" t="str">
            <v>汽车零配件</v>
          </cell>
          <cell r="BC412">
            <v>4.6669495120916477E-2</v>
          </cell>
          <cell r="BD412">
            <v>2.2802653399668353E-2</v>
          </cell>
          <cell r="BE412">
            <v>-0.2847384211419865</v>
          </cell>
          <cell r="BF412">
            <v>0.13472399711608887</v>
          </cell>
          <cell r="BG412">
            <v>-2.2655999660491942E-2</v>
          </cell>
        </row>
        <row r="413">
          <cell r="D413" t="str">
            <v>水务</v>
          </cell>
          <cell r="M413">
            <v>490.43359861319999</v>
          </cell>
          <cell r="N413">
            <v>388.08916021473806</v>
          </cell>
          <cell r="O413" t="str">
            <v>公用事业</v>
          </cell>
          <cell r="P413" t="str">
            <v>公用事业Ⅱ</v>
          </cell>
          <cell r="Q413" t="str">
            <v>水务Ⅲ</v>
          </cell>
          <cell r="BC413">
            <v>5.9416171531903091E-3</v>
          </cell>
          <cell r="BD413">
            <v>-1.741105223315682E-2</v>
          </cell>
          <cell r="BE413">
            <v>-6.4516051331417371E-2</v>
          </cell>
          <cell r="BF413">
            <v>0.13993200302124023</v>
          </cell>
          <cell r="BG413">
            <v>0.23190000534057617</v>
          </cell>
        </row>
        <row r="414">
          <cell r="D414" t="str">
            <v>工业机械</v>
          </cell>
          <cell r="M414">
            <v>89.550632591599992</v>
          </cell>
          <cell r="N414">
            <v>70.850529179915426</v>
          </cell>
          <cell r="O414" t="str">
            <v>工业</v>
          </cell>
          <cell r="P414" t="str">
            <v>资本货物</v>
          </cell>
          <cell r="Q414" t="str">
            <v>机械</v>
          </cell>
          <cell r="BC414">
            <v>0.10490921318090118</v>
          </cell>
          <cell r="BD414">
            <v>-7.540799099606077E-2</v>
          </cell>
          <cell r="BE414">
            <v>-0.31082214765100674</v>
          </cell>
          <cell r="BF414">
            <v>0.98836799621582028</v>
          </cell>
          <cell r="BG414">
            <v>0</v>
          </cell>
        </row>
        <row r="415">
          <cell r="D415" t="str">
            <v>半导体产品</v>
          </cell>
          <cell r="M415">
            <v>53.365134803700009</v>
          </cell>
          <cell r="N415">
            <v>42.203296665826819</v>
          </cell>
          <cell r="O415" t="str">
            <v>信息技术</v>
          </cell>
          <cell r="P415" t="str">
            <v>半导体与半导体生产设备</v>
          </cell>
          <cell r="Q415" t="str">
            <v>半导体产品与半导体设备</v>
          </cell>
          <cell r="BC415">
            <v>3.2042723631508709E-2</v>
          </cell>
          <cell r="BD415">
            <v>-4.2131350681536534E-2</v>
          </cell>
          <cell r="BE415">
            <v>-0.10189215377052513</v>
          </cell>
          <cell r="BF415">
            <v>0.32996398925781251</v>
          </cell>
          <cell r="BG415">
            <v>0</v>
          </cell>
        </row>
        <row r="416">
          <cell r="D416" t="str">
            <v>建筑产品</v>
          </cell>
          <cell r="M416">
            <v>65.961794857599997</v>
          </cell>
          <cell r="N416">
            <v>52.067014099801185</v>
          </cell>
          <cell r="O416" t="str">
            <v>工业</v>
          </cell>
          <cell r="P416" t="str">
            <v>资本货物</v>
          </cell>
          <cell r="Q416" t="str">
            <v>建筑产品Ⅲ</v>
          </cell>
          <cell r="BC416">
            <v>1.0956902848794766E-2</v>
          </cell>
          <cell r="BD416">
            <v>7.2868217054263523E-2</v>
          </cell>
          <cell r="BE416">
            <v>-7.6101468624833149E-2</v>
          </cell>
          <cell r="BF416">
            <v>0.69070800781249997</v>
          </cell>
          <cell r="BG416">
            <v>0.30760799407958983</v>
          </cell>
        </row>
        <row r="417">
          <cell r="D417" t="str">
            <v>电气部件与设备</v>
          </cell>
          <cell r="M417">
            <v>312.85695000000004</v>
          </cell>
          <cell r="N417">
            <v>246.73378465266214</v>
          </cell>
          <cell r="O417" t="str">
            <v>工业</v>
          </cell>
          <cell r="P417" t="str">
            <v>资本货物</v>
          </cell>
          <cell r="Q417" t="str">
            <v>电气设备</v>
          </cell>
          <cell r="BC417">
            <v>-3.2520325203251918E-2</v>
          </cell>
          <cell r="BD417">
            <v>8.3131067961165109E-2</v>
          </cell>
          <cell r="BE417">
            <v>0.25836915741128225</v>
          </cell>
          <cell r="BF417">
            <v>1.2699600219726563</v>
          </cell>
          <cell r="BG417">
            <v>0.4477560043334961</v>
          </cell>
        </row>
        <row r="418">
          <cell r="D418" t="str">
            <v>环境与设施服务</v>
          </cell>
          <cell r="M418">
            <v>56.102703999999996</v>
          </cell>
          <cell r="N418">
            <v>44.231349573053819</v>
          </cell>
          <cell r="O418" t="str">
            <v>工业</v>
          </cell>
          <cell r="P418" t="str">
            <v>商业和专业服务</v>
          </cell>
          <cell r="Q418" t="str">
            <v>商业服务与用品</v>
          </cell>
          <cell r="BC418">
            <v>-6.6137566137565908E-3</v>
          </cell>
          <cell r="BD418">
            <v>-4.3921069382558957E-2</v>
          </cell>
          <cell r="BE418">
            <v>-0.27040728138550513</v>
          </cell>
          <cell r="BF418">
            <v>0.25999200820922852</v>
          </cell>
          <cell r="BG418">
            <v>0</v>
          </cell>
        </row>
        <row r="419">
          <cell r="D419" t="str">
            <v>纺织品</v>
          </cell>
          <cell r="M419">
            <v>103.4130692672</v>
          </cell>
          <cell r="N419">
            <v>81.518635573325739</v>
          </cell>
          <cell r="O419" t="str">
            <v>可选消费</v>
          </cell>
          <cell r="P419" t="str">
            <v>耐用消费品与服装</v>
          </cell>
          <cell r="Q419" t="str">
            <v>纺织品、服装与奢侈品</v>
          </cell>
          <cell r="BC419">
            <v>8.3876980428704423E-3</v>
          </cell>
          <cell r="BD419">
            <v>1.6917293233082678E-2</v>
          </cell>
          <cell r="BE419">
            <v>-0.19747089022212089</v>
          </cell>
          <cell r="BF419">
            <v>0.10971599578857422</v>
          </cell>
          <cell r="BG419">
            <v>7.3920001983642583E-2</v>
          </cell>
        </row>
        <row r="420">
          <cell r="D420" t="str">
            <v>电气部件与设备</v>
          </cell>
          <cell r="M420">
            <v>54.687269086000008</v>
          </cell>
          <cell r="N420">
            <v>43.100761070078462</v>
          </cell>
          <cell r="O420" t="str">
            <v>工业</v>
          </cell>
          <cell r="P420" t="str">
            <v>资本货物</v>
          </cell>
          <cell r="Q420" t="str">
            <v>电气设备</v>
          </cell>
          <cell r="BC420">
            <v>6.7901234567901328E-2</v>
          </cell>
          <cell r="BD420">
            <v>-5.7471264367814868E-3</v>
          </cell>
          <cell r="BE420">
            <v>0.1700978295003312</v>
          </cell>
          <cell r="BF420">
            <v>0.56457599639892575</v>
          </cell>
          <cell r="BG420">
            <v>0.17162399291992186</v>
          </cell>
        </row>
        <row r="421">
          <cell r="D421" t="str">
            <v>西药</v>
          </cell>
          <cell r="M421">
            <v>226.71323999999998</v>
          </cell>
          <cell r="N421">
            <v>178.66492794255251</v>
          </cell>
          <cell r="O421" t="str">
            <v>医疗保健</v>
          </cell>
          <cell r="P421" t="str">
            <v>制药、生物科技与生命科学</v>
          </cell>
          <cell r="Q421" t="str">
            <v>制药</v>
          </cell>
          <cell r="BC421">
            <v>4.324324324324328E-2</v>
          </cell>
          <cell r="BD421">
            <v>5.6569343065693355E-2</v>
          </cell>
          <cell r="BE421">
            <v>-0.11537597026519772</v>
          </cell>
          <cell r="BF421">
            <v>-1.7195999622344971E-2</v>
          </cell>
          <cell r="BG421">
            <v>2.7911999225616456E-2</v>
          </cell>
        </row>
        <row r="422">
          <cell r="D422" t="str">
            <v>半导体产品</v>
          </cell>
          <cell r="M422">
            <v>85.441384872</v>
          </cell>
          <cell r="N422">
            <v>67.314743484981335</v>
          </cell>
          <cell r="O422" t="str">
            <v>信息技术</v>
          </cell>
          <cell r="P422" t="str">
            <v>半导体与半导体生产设备</v>
          </cell>
          <cell r="Q422" t="str">
            <v>半导体产品与半导体设备</v>
          </cell>
          <cell r="BC422">
            <v>0.17519788918205806</v>
          </cell>
          <cell r="BD422">
            <v>3.9197386840877271E-2</v>
          </cell>
          <cell r="BE422">
            <v>9.6251231938122919E-2</v>
          </cell>
          <cell r="BF422">
            <v>0.58492801666259764</v>
          </cell>
          <cell r="BG422">
            <v>0</v>
          </cell>
        </row>
        <row r="423">
          <cell r="D423" t="str">
            <v>电气部件与设备</v>
          </cell>
          <cell r="M423">
            <v>161.68228560000003</v>
          </cell>
          <cell r="N423">
            <v>127.28060614469527</v>
          </cell>
          <cell r="O423" t="str">
            <v>工业</v>
          </cell>
          <cell r="P423" t="str">
            <v>资本货物</v>
          </cell>
          <cell r="Q423" t="str">
            <v>电气设备</v>
          </cell>
          <cell r="BC423">
            <v>-1.0183299389002001E-2</v>
          </cell>
          <cell r="BD423">
            <v>-4.1420118343195256E-2</v>
          </cell>
          <cell r="BE423">
            <v>0.10281273159935971</v>
          </cell>
          <cell r="BF423">
            <v>0.46676399230957033</v>
          </cell>
          <cell r="BG423">
            <v>8.9616003036499026E-2</v>
          </cell>
        </row>
        <row r="424">
          <cell r="D424" t="str">
            <v>纺织品</v>
          </cell>
          <cell r="M424">
            <v>50.362729590600011</v>
          </cell>
          <cell r="N424">
            <v>39.645011007987037</v>
          </cell>
          <cell r="O424" t="str">
            <v>可选消费</v>
          </cell>
          <cell r="P424" t="str">
            <v>耐用消费品与服装</v>
          </cell>
          <cell r="Q424" t="str">
            <v>纺织品、服装与奢侈品</v>
          </cell>
          <cell r="BC424">
            <v>2.0435967302452365E-2</v>
          </cell>
          <cell r="BD424">
            <v>-1.5768725361366635E-2</v>
          </cell>
          <cell r="BE424">
            <v>0.2725176568373216</v>
          </cell>
          <cell r="BF424">
            <v>0.75436798095703128</v>
          </cell>
          <cell r="BG424">
            <v>0.25673999786376955</v>
          </cell>
        </row>
        <row r="425">
          <cell r="D425" t="str">
            <v>电影与娱乐</v>
          </cell>
          <cell r="M425">
            <v>378.28601428259998</v>
          </cell>
          <cell r="N425">
            <v>297.76427838408159</v>
          </cell>
          <cell r="O425" t="str">
            <v>可选消费</v>
          </cell>
          <cell r="P425" t="str">
            <v>媒体Ⅱ</v>
          </cell>
          <cell r="Q425" t="str">
            <v>媒体Ⅲ</v>
          </cell>
          <cell r="BC425">
            <v>0</v>
          </cell>
          <cell r="BD425">
            <v>-7.8700177710078742E-2</v>
          </cell>
          <cell r="BE425">
            <v>0.66217441323622706</v>
          </cell>
          <cell r="BF425">
            <v>0.82299598693847653</v>
          </cell>
          <cell r="BG425">
            <v>0</v>
          </cell>
        </row>
        <row r="426">
          <cell r="D426" t="str">
            <v>铝</v>
          </cell>
          <cell r="M426">
            <v>62.903106799999996</v>
          </cell>
          <cell r="N426">
            <v>49.501538241970202</v>
          </cell>
          <cell r="O426" t="str">
            <v>材料</v>
          </cell>
          <cell r="P426" t="str">
            <v>材料Ⅱ</v>
          </cell>
          <cell r="Q426" t="str">
            <v>金属、非金属与采矿</v>
          </cell>
          <cell r="BC426">
            <v>1.8764659890539503E-2</v>
          </cell>
          <cell r="BD426">
            <v>-1.3626040878122747E-2</v>
          </cell>
          <cell r="BE426">
            <v>-0.15012481856864202</v>
          </cell>
          <cell r="BF426">
            <v>0.33608398437499998</v>
          </cell>
          <cell r="BG426">
            <v>0</v>
          </cell>
        </row>
        <row r="427">
          <cell r="D427" t="str">
            <v>酒店、度假村与豪华游轮</v>
          </cell>
          <cell r="M427">
            <v>41.323567191200006</v>
          </cell>
          <cell r="N427">
            <v>32.493564999132062</v>
          </cell>
          <cell r="O427" t="str">
            <v>可选消费</v>
          </cell>
          <cell r="P427" t="str">
            <v>消费者服务Ⅱ</v>
          </cell>
          <cell r="Q427" t="str">
            <v>酒店、餐馆与休闲Ⅲ</v>
          </cell>
          <cell r="BC427">
            <v>5.142857142857149E-2</v>
          </cell>
          <cell r="BD427">
            <v>9.523809523809533E-2</v>
          </cell>
          <cell r="BE427">
            <v>0.25048543689320385</v>
          </cell>
          <cell r="BF427">
            <v>0.26922000885009767</v>
          </cell>
          <cell r="BG427">
            <v>6.6180000305175776E-2</v>
          </cell>
        </row>
        <row r="428">
          <cell r="D428" t="str">
            <v>电力</v>
          </cell>
          <cell r="M428">
            <v>49.6</v>
          </cell>
          <cell r="N428">
            <v>38.998820785091056</v>
          </cell>
          <cell r="O428" t="str">
            <v>公用事业</v>
          </cell>
          <cell r="P428" t="str">
            <v>公用事业Ⅱ</v>
          </cell>
          <cell r="Q428" t="str">
            <v>电力Ⅲ</v>
          </cell>
          <cell r="BC428">
            <v>7.0072488781498146E-2</v>
          </cell>
          <cell r="BD428">
            <v>-5.7464274855579221E-2</v>
          </cell>
          <cell r="BE428">
            <v>0.63039823806820006</v>
          </cell>
          <cell r="BF428">
            <v>0.66997200012207037</v>
          </cell>
          <cell r="BG428">
            <v>0.25045200347900393</v>
          </cell>
        </row>
        <row r="429">
          <cell r="D429" t="str">
            <v>电影与娱乐</v>
          </cell>
          <cell r="M429">
            <v>389.79647737940002</v>
          </cell>
          <cell r="N429">
            <v>306.40667452296742</v>
          </cell>
          <cell r="O429" t="str">
            <v>可选消费</v>
          </cell>
          <cell r="P429" t="str">
            <v>媒体Ⅱ</v>
          </cell>
          <cell r="Q429" t="str">
            <v>媒体Ⅲ</v>
          </cell>
          <cell r="BC429">
            <v>7.2248062015503822E-2</v>
          </cell>
          <cell r="BD429">
            <v>1.85567010309277E-2</v>
          </cell>
          <cell r="BE429">
            <v>0.7243926964353673</v>
          </cell>
          <cell r="BF429">
            <v>0</v>
          </cell>
          <cell r="BG429">
            <v>0</v>
          </cell>
        </row>
        <row r="430">
          <cell r="D430" t="str">
            <v>酒店、度假村与豪华游轮</v>
          </cell>
          <cell r="M430">
            <v>54.145969380299995</v>
          </cell>
          <cell r="N430">
            <v>42.525010689090827</v>
          </cell>
          <cell r="O430" t="str">
            <v>可选消费</v>
          </cell>
          <cell r="P430" t="str">
            <v>消费者服务Ⅱ</v>
          </cell>
          <cell r="Q430" t="str">
            <v>酒店、餐馆与休闲Ⅲ</v>
          </cell>
          <cell r="BC430">
            <v>7.0754716981131964E-3</v>
          </cell>
          <cell r="BD430">
            <v>-6.7685589519650632E-2</v>
          </cell>
          <cell r="BE430">
            <v>3.353005600449533E-2</v>
          </cell>
          <cell r="BF430">
            <v>0.26698799133300782</v>
          </cell>
          <cell r="BG430">
            <v>6.7428002357482905E-2</v>
          </cell>
        </row>
        <row r="431">
          <cell r="D431" t="str">
            <v>家庭装饰品</v>
          </cell>
          <cell r="M431">
            <v>176.75810447679999</v>
          </cell>
          <cell r="N431">
            <v>138.75666863866093</v>
          </cell>
          <cell r="O431" t="str">
            <v>可选消费</v>
          </cell>
          <cell r="P431" t="str">
            <v>耐用消费品与服装</v>
          </cell>
          <cell r="Q431" t="str">
            <v>家庭耐用消费品</v>
          </cell>
          <cell r="BC431">
            <v>-1.6750418760468656E-3</v>
          </cell>
          <cell r="BD431">
            <v>-4.9441786283891488E-2</v>
          </cell>
          <cell r="BE431">
            <v>0.3148977576011508</v>
          </cell>
          <cell r="BF431">
            <v>0.51562801361083987</v>
          </cell>
          <cell r="BG431">
            <v>0.23455200195312501</v>
          </cell>
        </row>
        <row r="432">
          <cell r="D432" t="str">
            <v>工业机械</v>
          </cell>
          <cell r="M432">
            <v>155.01280000000003</v>
          </cell>
          <cell r="N432">
            <v>121.67843691801976</v>
          </cell>
          <cell r="O432" t="str">
            <v>工业</v>
          </cell>
          <cell r="P432" t="str">
            <v>资本货物</v>
          </cell>
          <cell r="Q432" t="str">
            <v>机械</v>
          </cell>
          <cell r="BC432">
            <v>0</v>
          </cell>
          <cell r="BD432">
            <v>-2.013834165134312E-3</v>
          </cell>
          <cell r="BE432">
            <v>0</v>
          </cell>
          <cell r="BF432">
            <v>0</v>
          </cell>
          <cell r="BG432">
            <v>0</v>
          </cell>
        </row>
        <row r="433">
          <cell r="D433" t="str">
            <v>房地产开发</v>
          </cell>
          <cell r="M433">
            <v>400.26853904959995</v>
          </cell>
          <cell r="N433">
            <v>314.18038916904152</v>
          </cell>
          <cell r="O433" t="str">
            <v>金融</v>
          </cell>
          <cell r="P433" t="str">
            <v>房地产</v>
          </cell>
          <cell r="Q433" t="str">
            <v>房地产管理与开发</v>
          </cell>
          <cell r="BC433">
            <v>0</v>
          </cell>
          <cell r="BD433">
            <v>0</v>
          </cell>
          <cell r="BE433">
            <v>0.93728410998550504</v>
          </cell>
          <cell r="BF433">
            <v>0.94012802124023442</v>
          </cell>
          <cell r="BG433">
            <v>0.34824001312255859</v>
          </cell>
        </row>
        <row r="434">
          <cell r="D434" t="str">
            <v>药品零售</v>
          </cell>
          <cell r="M434">
            <v>116.11983000000001</v>
          </cell>
          <cell r="N434">
            <v>91.126672855061116</v>
          </cell>
          <cell r="O434" t="str">
            <v>日常消费</v>
          </cell>
          <cell r="P434" t="str">
            <v>食品与主要用品零售Ⅱ</v>
          </cell>
          <cell r="Q434" t="str">
            <v>食品与主要用品零售Ⅲ</v>
          </cell>
          <cell r="BC434">
            <v>8.8579795021962004E-2</v>
          </cell>
          <cell r="BD434">
            <v>2.9540733902607922E-2</v>
          </cell>
          <cell r="BE434">
            <v>-0.20668720317180625</v>
          </cell>
          <cell r="BF434">
            <v>0</v>
          </cell>
          <cell r="BG434">
            <v>0</v>
          </cell>
        </row>
        <row r="435">
          <cell r="D435" t="str">
            <v>中药</v>
          </cell>
          <cell r="M435">
            <v>99.314874095199997</v>
          </cell>
          <cell r="N435">
            <v>77.884845722703744</v>
          </cell>
          <cell r="O435" t="str">
            <v>医疗保健</v>
          </cell>
          <cell r="P435" t="str">
            <v>制药、生物科技与生命科学</v>
          </cell>
          <cell r="Q435" t="str">
            <v>制药</v>
          </cell>
          <cell r="BC435">
            <v>7.2192513368983843E-2</v>
          </cell>
          <cell r="BD435">
            <v>8.3783783783783677E-2</v>
          </cell>
          <cell r="BE435">
            <v>-2.6922134148798987E-2</v>
          </cell>
          <cell r="BF435">
            <v>0.45757198333740234</v>
          </cell>
          <cell r="BG435">
            <v>0.11953200340270996</v>
          </cell>
        </row>
        <row r="436">
          <cell r="D436" t="str">
            <v>房地产开发</v>
          </cell>
          <cell r="M436">
            <v>213.61600000000001</v>
          </cell>
          <cell r="N436">
            <v>167.38463297345001</v>
          </cell>
          <cell r="O436" t="str">
            <v>金融</v>
          </cell>
          <cell r="P436" t="str">
            <v>房地产</v>
          </cell>
          <cell r="Q436" t="str">
            <v>房地产管理与开发</v>
          </cell>
          <cell r="BC436">
            <v>3.5386631716907008E-2</v>
          </cell>
          <cell r="BD436">
            <v>7.1913161465400305E-2</v>
          </cell>
          <cell r="BE436">
            <v>0.35782973008434743</v>
          </cell>
          <cell r="BF436">
            <v>0.55790401458740235</v>
          </cell>
          <cell r="BG436">
            <v>0.15962400436401367</v>
          </cell>
        </row>
        <row r="437">
          <cell r="D437" t="str">
            <v>消费电子产品</v>
          </cell>
          <cell r="M437">
            <v>202.9454375322</v>
          </cell>
          <cell r="N437">
            <v>158.86863990954825</v>
          </cell>
          <cell r="O437" t="str">
            <v>可选消费</v>
          </cell>
          <cell r="P437" t="str">
            <v>耐用消费品与服装</v>
          </cell>
          <cell r="Q437" t="str">
            <v>家庭耐用消费品</v>
          </cell>
          <cell r="BC437">
            <v>3.9544235924932968E-2</v>
          </cell>
          <cell r="BD437">
            <v>3.2623169107856204E-2</v>
          </cell>
          <cell r="BE437">
            <v>-0.31486038799682203</v>
          </cell>
          <cell r="BF437">
            <v>0.27453599929809569</v>
          </cell>
          <cell r="BG437">
            <v>0.21238800048828124</v>
          </cell>
        </row>
        <row r="438">
          <cell r="D438" t="str">
            <v>西药</v>
          </cell>
          <cell r="M438">
            <v>125.1885250368</v>
          </cell>
          <cell r="N438">
            <v>97.924477550266644</v>
          </cell>
          <cell r="O438" t="str">
            <v>医疗保健</v>
          </cell>
          <cell r="P438" t="str">
            <v>制药、生物科技与生命科学</v>
          </cell>
          <cell r="Q438" t="str">
            <v>制药</v>
          </cell>
          <cell r="BC438">
            <v>9.3457943925233725E-3</v>
          </cell>
          <cell r="BD438">
            <v>-2.757456387169378E-2</v>
          </cell>
          <cell r="BE438">
            <v>-0.36400441663599559</v>
          </cell>
          <cell r="BF438">
            <v>-3.1140000820159913E-2</v>
          </cell>
          <cell r="BG438">
            <v>-3.040800094604492E-2</v>
          </cell>
        </row>
        <row r="439">
          <cell r="D439" t="str">
            <v>纸制品</v>
          </cell>
          <cell r="M439">
            <v>70.308926575200005</v>
          </cell>
          <cell r="N439">
            <v>54.958510973438884</v>
          </cell>
          <cell r="O439" t="str">
            <v>材料</v>
          </cell>
          <cell r="P439" t="str">
            <v>材料Ⅱ</v>
          </cell>
          <cell r="Q439" t="str">
            <v>纸与林木产品</v>
          </cell>
          <cell r="BC439">
            <v>1.9667170953101346E-2</v>
          </cell>
          <cell r="BD439">
            <v>2.976190476190545E-3</v>
          </cell>
          <cell r="BE439">
            <v>-6.7773167358229622E-2</v>
          </cell>
          <cell r="BF439">
            <v>0.44617198944091796</v>
          </cell>
          <cell r="BG439">
            <v>-2.6184000968933106E-2</v>
          </cell>
        </row>
        <row r="440">
          <cell r="D440" t="str">
            <v>西药</v>
          </cell>
          <cell r="M440">
            <v>58.305280000000003</v>
          </cell>
          <cell r="N440">
            <v>45.540284758172916</v>
          </cell>
          <cell r="O440" t="str">
            <v>医疗保健</v>
          </cell>
          <cell r="P440" t="str">
            <v>制药、生物科技与生命科学</v>
          </cell>
          <cell r="Q440" t="str">
            <v>制药</v>
          </cell>
          <cell r="BC440">
            <v>4.0069184202940346E-2</v>
          </cell>
          <cell r="BD440">
            <v>-2.880215343203231E-2</v>
          </cell>
          <cell r="BE440">
            <v>-0.24550397323295697</v>
          </cell>
          <cell r="BF440">
            <v>0.25497600555419919</v>
          </cell>
          <cell r="BG440">
            <v>0</v>
          </cell>
        </row>
        <row r="441">
          <cell r="D441" t="str">
            <v>休闲设施</v>
          </cell>
          <cell r="M441">
            <v>397.30811729700002</v>
          </cell>
          <cell r="N441">
            <v>310.20021764888503</v>
          </cell>
          <cell r="O441" t="str">
            <v>可选消费</v>
          </cell>
          <cell r="P441" t="str">
            <v>消费者服务Ⅱ</v>
          </cell>
          <cell r="Q441" t="str">
            <v>酒店、餐馆与休闲Ⅲ</v>
          </cell>
          <cell r="BC441">
            <v>-3.5953471977440941E-2</v>
          </cell>
          <cell r="BD441">
            <v>3.7950664136622389E-2</v>
          </cell>
          <cell r="BE441">
            <v>0.12399486657777657</v>
          </cell>
          <cell r="BF441">
            <v>0.64789199829101562</v>
          </cell>
          <cell r="BG441">
            <v>0.40329601287841799</v>
          </cell>
        </row>
        <row r="442">
          <cell r="D442" t="str">
            <v>钢铁</v>
          </cell>
          <cell r="M442">
            <v>175.37400787199999</v>
          </cell>
          <cell r="N442">
            <v>136.73096417544073</v>
          </cell>
          <cell r="O442" t="str">
            <v>材料</v>
          </cell>
          <cell r="P442" t="str">
            <v>材料Ⅱ</v>
          </cell>
          <cell r="Q442" t="str">
            <v>金属、非金属与采矿</v>
          </cell>
          <cell r="BC442">
            <v>-1.4084507042253534E-2</v>
          </cell>
          <cell r="BD442">
            <v>-1.4084507042253534E-2</v>
          </cell>
          <cell r="BE442">
            <v>-0.38053097345132741</v>
          </cell>
          <cell r="BF442">
            <v>0.16972799301147462</v>
          </cell>
          <cell r="BG442">
            <v>-7.7579998970031733E-2</v>
          </cell>
        </row>
        <row r="443">
          <cell r="D443" t="str">
            <v>煤炭与消费用燃料</v>
          </cell>
          <cell r="M443">
            <v>81.174449999999979</v>
          </cell>
          <cell r="N443">
            <v>63.257360553296287</v>
          </cell>
          <cell r="O443" t="str">
            <v>能源</v>
          </cell>
          <cell r="P443" t="str">
            <v>能源Ⅱ</v>
          </cell>
          <cell r="Q443" t="str">
            <v>石油、天然气与供消费用燃料</v>
          </cell>
          <cell r="BC443">
            <v>0</v>
          </cell>
          <cell r="BD443">
            <v>-0.10018552875695734</v>
          </cell>
          <cell r="BE443">
            <v>-0.44327257369623047</v>
          </cell>
          <cell r="BF443">
            <v>0.12895199775695801</v>
          </cell>
          <cell r="BG443">
            <v>-0.20806800842285156</v>
          </cell>
        </row>
        <row r="444">
          <cell r="D444" t="str">
            <v>环境与设施服务</v>
          </cell>
          <cell r="M444">
            <v>158.28544000000002</v>
          </cell>
          <cell r="N444">
            <v>123.29422602063261</v>
          </cell>
          <cell r="O444" t="str">
            <v>工业</v>
          </cell>
          <cell r="P444" t="str">
            <v>商业和专业服务</v>
          </cell>
          <cell r="Q444" t="str">
            <v>商业服务与用品</v>
          </cell>
          <cell r="BC444">
            <v>2.7090694935217954E-2</v>
          </cell>
          <cell r="BD444">
            <v>-7.1846726982437353E-2</v>
          </cell>
          <cell r="BE444">
            <v>0</v>
          </cell>
          <cell r="BF444">
            <v>0</v>
          </cell>
          <cell r="BG444">
            <v>0</v>
          </cell>
        </row>
        <row r="445">
          <cell r="D445" t="str">
            <v>机场服务</v>
          </cell>
          <cell r="M445">
            <v>575.77518426239999</v>
          </cell>
          <cell r="N445">
            <v>448.36367236870996</v>
          </cell>
          <cell r="O445" t="str">
            <v>工业</v>
          </cell>
          <cell r="P445" t="str">
            <v>运输</v>
          </cell>
          <cell r="Q445" t="str">
            <v>交通基础设施</v>
          </cell>
          <cell r="BC445">
            <v>1.7711171662125328E-2</v>
          </cell>
          <cell r="BD445">
            <v>5.807365439093487E-2</v>
          </cell>
          <cell r="BE445">
            <v>0.27149190418573793</v>
          </cell>
          <cell r="BF445">
            <v>0.42840000152587893</v>
          </cell>
          <cell r="BG445">
            <v>0.18175199508666992</v>
          </cell>
        </row>
        <row r="446">
          <cell r="D446" t="str">
            <v>建筑与工程</v>
          </cell>
          <cell r="M446">
            <v>88.070672373600004</v>
          </cell>
          <cell r="N446">
            <v>68.543805595983798</v>
          </cell>
          <cell r="O446" t="str">
            <v>工业</v>
          </cell>
          <cell r="P446" t="str">
            <v>资本货物</v>
          </cell>
          <cell r="Q446" t="str">
            <v>建筑与工程Ⅲ</v>
          </cell>
          <cell r="BC446">
            <v>9.996895374107416E-2</v>
          </cell>
          <cell r="BD446">
            <v>0.16163934426229506</v>
          </cell>
          <cell r="BE446">
            <v>0.2860254083484573</v>
          </cell>
          <cell r="BF446">
            <v>0.44914798736572265</v>
          </cell>
          <cell r="BG446">
            <v>0.13941599845886229</v>
          </cell>
        </row>
        <row r="447">
          <cell r="D447" t="str">
            <v>农用农业机械</v>
          </cell>
          <cell r="M447">
            <v>54.572654014400001</v>
          </cell>
          <cell r="N447">
            <v>42.470969304228753</v>
          </cell>
          <cell r="O447" t="str">
            <v>工业</v>
          </cell>
          <cell r="P447" t="str">
            <v>资本货物</v>
          </cell>
          <cell r="Q447" t="str">
            <v>机械</v>
          </cell>
          <cell r="BC447">
            <v>2.9368575624082911E-3</v>
          </cell>
          <cell r="BD447">
            <v>-2.1489971346704922E-2</v>
          </cell>
          <cell r="BE447">
            <v>-0.19256050581069234</v>
          </cell>
          <cell r="BF447">
            <v>0.26180400848388674</v>
          </cell>
          <cell r="BG447">
            <v>4.2336001396179199E-2</v>
          </cell>
        </row>
        <row r="448">
          <cell r="D448" t="str">
            <v>纸制品</v>
          </cell>
          <cell r="M448">
            <v>46.655865651200003</v>
          </cell>
          <cell r="N448">
            <v>36.24719502473129</v>
          </cell>
          <cell r="O448" t="str">
            <v>材料</v>
          </cell>
          <cell r="P448" t="str">
            <v>材料Ⅱ</v>
          </cell>
          <cell r="Q448" t="str">
            <v>纸与林木产品</v>
          </cell>
          <cell r="BC448">
            <v>8.6705202312139448E-3</v>
          </cell>
          <cell r="BD448">
            <v>1.453488372093031E-2</v>
          </cell>
          <cell r="BE448">
            <v>-0.26834381551362674</v>
          </cell>
          <cell r="BF448">
            <v>0.24244800567626953</v>
          </cell>
          <cell r="BG448">
            <v>1.3320000171661376E-2</v>
          </cell>
        </row>
        <row r="449">
          <cell r="D449" t="str">
            <v>西药</v>
          </cell>
          <cell r="M449">
            <v>95.71562999999999</v>
          </cell>
          <cell r="N449">
            <v>74.328228133448334</v>
          </cell>
          <cell r="O449" t="str">
            <v>医疗保健</v>
          </cell>
          <cell r="P449" t="str">
            <v>制药、生物科技与生命科学</v>
          </cell>
          <cell r="Q449" t="str">
            <v>制药</v>
          </cell>
          <cell r="BC449">
            <v>1.9188993482983259E-2</v>
          </cell>
          <cell r="BD449">
            <v>-7.7049180327868894E-2</v>
          </cell>
          <cell r="BE449">
            <v>0</v>
          </cell>
          <cell r="BF449">
            <v>0</v>
          </cell>
          <cell r="BG449">
            <v>0</v>
          </cell>
        </row>
        <row r="450">
          <cell r="D450" t="str">
            <v>建筑与工程</v>
          </cell>
          <cell r="M450">
            <v>1981.4050895625001</v>
          </cell>
          <cell r="N450">
            <v>1537.234520824697</v>
          </cell>
          <cell r="O450" t="str">
            <v>工业</v>
          </cell>
          <cell r="P450" t="str">
            <v>资本货物</v>
          </cell>
          <cell r="Q450" t="str">
            <v>建筑与工程Ⅲ</v>
          </cell>
          <cell r="BC450">
            <v>2.7684563758389267E-2</v>
          </cell>
          <cell r="BD450">
            <v>3.3755274261603407E-2</v>
          </cell>
          <cell r="BE450">
            <v>-0.16521624594094664</v>
          </cell>
          <cell r="BF450">
            <v>0.80795997619628901</v>
          </cell>
          <cell r="BG450">
            <v>0</v>
          </cell>
        </row>
        <row r="451">
          <cell r="D451" t="str">
            <v>钢铁</v>
          </cell>
          <cell r="M451">
            <v>223.14120369650001</v>
          </cell>
          <cell r="N451">
            <v>172.91799784123333</v>
          </cell>
          <cell r="O451" t="str">
            <v>材料</v>
          </cell>
          <cell r="P451" t="str">
            <v>材料Ⅱ</v>
          </cell>
          <cell r="Q451" t="str">
            <v>金属、非金属与采矿</v>
          </cell>
          <cell r="BC451">
            <v>-7.4906367041198572E-3</v>
          </cell>
          <cell r="BD451">
            <v>-3.759398496240688E-3</v>
          </cell>
          <cell r="BE451">
            <v>-0.32569974554707382</v>
          </cell>
          <cell r="BF451">
            <v>0.36711601257324217</v>
          </cell>
          <cell r="BG451">
            <v>2.1071999073028563E-2</v>
          </cell>
        </row>
        <row r="452">
          <cell r="D452" t="str">
            <v>电气部件与设备</v>
          </cell>
          <cell r="M452">
            <v>79.690855999999997</v>
          </cell>
          <cell r="N452">
            <v>61.745943102199995</v>
          </cell>
          <cell r="O452" t="str">
            <v>工业</v>
          </cell>
          <cell r="P452" t="str">
            <v>资本货物</v>
          </cell>
          <cell r="Q452" t="str">
            <v>电气设备</v>
          </cell>
          <cell r="BC452">
            <v>5.2631578947368439E-2</v>
          </cell>
          <cell r="BD452">
            <v>-4.5764362220058315E-2</v>
          </cell>
          <cell r="BE452">
            <v>-0.18659900185250208</v>
          </cell>
          <cell r="BF452">
            <v>9.4440002441406254E-2</v>
          </cell>
          <cell r="BG452">
            <v>2.5392000675201417E-2</v>
          </cell>
        </row>
        <row r="453">
          <cell r="D453" t="str">
            <v>西药</v>
          </cell>
          <cell r="M453">
            <v>126</v>
          </cell>
          <cell r="N453">
            <v>97.449984094680005</v>
          </cell>
          <cell r="O453" t="str">
            <v>医疗保健</v>
          </cell>
          <cell r="P453" t="str">
            <v>制药、生物科技与生命科学</v>
          </cell>
          <cell r="Q453" t="str">
            <v>制药</v>
          </cell>
          <cell r="BC453">
            <v>4.7904191616766435E-2</v>
          </cell>
          <cell r="BD453">
            <v>-6.124273580688417E-2</v>
          </cell>
          <cell r="BE453">
            <v>0</v>
          </cell>
          <cell r="BF453">
            <v>0</v>
          </cell>
          <cell r="BG453">
            <v>0</v>
          </cell>
        </row>
        <row r="454">
          <cell r="D454" t="str">
            <v>电气部件与设备</v>
          </cell>
          <cell r="M454">
            <v>35.910000000000004</v>
          </cell>
          <cell r="N454">
            <v>27.767350166675001</v>
          </cell>
          <cell r="O454" t="str">
            <v>工业</v>
          </cell>
          <cell r="P454" t="str">
            <v>资本货物</v>
          </cell>
          <cell r="Q454" t="str">
            <v>电气设备</v>
          </cell>
          <cell r="BC454">
            <v>0.20274544558291774</v>
          </cell>
          <cell r="BD454">
            <v>0.2970555918483741</v>
          </cell>
          <cell r="BE454">
            <v>1.4368588109513476</v>
          </cell>
          <cell r="BF454">
            <v>0.6458879852294922</v>
          </cell>
          <cell r="BG454">
            <v>0.26032800674438478</v>
          </cell>
        </row>
        <row r="455">
          <cell r="D455" t="str">
            <v>服装、服饰与奢侈品</v>
          </cell>
          <cell r="M455">
            <v>212.2811886312</v>
          </cell>
          <cell r="N455">
            <v>164.06040340837006</v>
          </cell>
          <cell r="O455" t="str">
            <v>可选消费</v>
          </cell>
          <cell r="P455" t="str">
            <v>耐用消费品与服装</v>
          </cell>
          <cell r="Q455" t="str">
            <v>纺织品、服装与奢侈品</v>
          </cell>
          <cell r="BC455">
            <v>-3.4039514401333008E-2</v>
          </cell>
          <cell r="BD455">
            <v>-2.4050024050024051E-2</v>
          </cell>
          <cell r="BE455">
            <v>-9.9007401269692402E-2</v>
          </cell>
          <cell r="BF455">
            <v>0.27759599685668945</v>
          </cell>
          <cell r="BG455">
            <v>0.24149999618530274</v>
          </cell>
        </row>
        <row r="456">
          <cell r="D456" t="str">
            <v>电影与娱乐</v>
          </cell>
          <cell r="M456">
            <v>225.77018939999999</v>
          </cell>
          <cell r="N456">
            <v>174.39540678877228</v>
          </cell>
          <cell r="O456" t="str">
            <v>可选消费</v>
          </cell>
          <cell r="P456" t="str">
            <v>媒体Ⅱ</v>
          </cell>
          <cell r="Q456" t="str">
            <v>媒体Ⅲ</v>
          </cell>
          <cell r="BC456">
            <v>0</v>
          </cell>
          <cell r="BD456">
            <v>0</v>
          </cell>
          <cell r="BE456">
            <v>0.9894657209564538</v>
          </cell>
          <cell r="BF456">
            <v>0.94299598693847653</v>
          </cell>
          <cell r="BG456">
            <v>0</v>
          </cell>
        </row>
        <row r="457">
          <cell r="D457" t="str">
            <v>电气部件与设备</v>
          </cell>
          <cell r="M457">
            <v>288.07458818240002</v>
          </cell>
          <cell r="N457">
            <v>222.39218645161108</v>
          </cell>
          <cell r="O457" t="str">
            <v>工业</v>
          </cell>
          <cell r="P457" t="str">
            <v>资本货物</v>
          </cell>
          <cell r="Q457" t="str">
            <v>电气设备</v>
          </cell>
          <cell r="BC457">
            <v>3.5714285714286542E-3</v>
          </cell>
          <cell r="BD457">
            <v>3.5714285714286542E-3</v>
          </cell>
          <cell r="BE457">
            <v>-0.25525942858039513</v>
          </cell>
          <cell r="BF457">
            <v>0.30769199371337891</v>
          </cell>
          <cell r="BG457">
            <v>-1.2611999511718749E-2</v>
          </cell>
        </row>
        <row r="458">
          <cell r="D458" t="str">
            <v>互联网软件与服务</v>
          </cell>
          <cell r="M458">
            <v>259.65200945880002</v>
          </cell>
          <cell r="N458">
            <v>200.29577967538756</v>
          </cell>
          <cell r="O458" t="str">
            <v>信息技术</v>
          </cell>
          <cell r="P458" t="str">
            <v>软件与服务</v>
          </cell>
          <cell r="Q458" t="str">
            <v>互联网软件与服务Ⅲ</v>
          </cell>
          <cell r="BC458">
            <v>-4.2524619516561713E-3</v>
          </cell>
          <cell r="BD458">
            <v>4.1798384264137775E-2</v>
          </cell>
          <cell r="BE458">
            <v>1.2508638906720113</v>
          </cell>
          <cell r="BF458">
            <v>0.93232803344726567</v>
          </cell>
          <cell r="BG458">
            <v>0.62835601806640629</v>
          </cell>
        </row>
        <row r="459">
          <cell r="D459" t="str">
            <v>房地产开发</v>
          </cell>
          <cell r="M459">
            <v>65.899064867199996</v>
          </cell>
          <cell r="N459">
            <v>50.790045665422191</v>
          </cell>
          <cell r="O459" t="str">
            <v>金融</v>
          </cell>
          <cell r="P459" t="str">
            <v>房地产</v>
          </cell>
          <cell r="Q459" t="str">
            <v>房地产管理与开发</v>
          </cell>
          <cell r="BC459">
            <v>2.9918404351767913E-2</v>
          </cell>
          <cell r="BD459">
            <v>3.6496350364963369E-2</v>
          </cell>
          <cell r="BE459">
            <v>-0.27088623040553478</v>
          </cell>
          <cell r="BF459">
            <v>8.9616003036499026E-2</v>
          </cell>
          <cell r="BG459">
            <v>7.0655999183654783E-2</v>
          </cell>
        </row>
        <row r="460">
          <cell r="D460" t="str">
            <v>中药</v>
          </cell>
          <cell r="M460">
            <v>80.063679739999998</v>
          </cell>
          <cell r="N460">
            <v>61.687001243635898</v>
          </cell>
          <cell r="O460" t="str">
            <v>医疗保健</v>
          </cell>
          <cell r="P460" t="str">
            <v>制药、生物科技与生命科学</v>
          </cell>
          <cell r="Q460" t="str">
            <v>制药</v>
          </cell>
          <cell r="BC460">
            <v>3.4930139720558848E-2</v>
          </cell>
          <cell r="BD460">
            <v>-3.5348837209302396E-2</v>
          </cell>
          <cell r="BE460">
            <v>-0.32210128105456842</v>
          </cell>
          <cell r="BF460">
            <v>3.7871999740600584E-2</v>
          </cell>
          <cell r="BG460">
            <v>0.13948800086975097</v>
          </cell>
        </row>
        <row r="461">
          <cell r="D461" t="str">
            <v>建筑与工程</v>
          </cell>
          <cell r="M461">
            <v>92.887500000000003</v>
          </cell>
          <cell r="N461">
            <v>71.514524781897762</v>
          </cell>
          <cell r="O461" t="str">
            <v>工业</v>
          </cell>
          <cell r="P461" t="str">
            <v>资本货物</v>
          </cell>
          <cell r="Q461" t="str">
            <v>建筑与工程Ⅲ</v>
          </cell>
          <cell r="BC461">
            <v>2.0601565718994644E-2</v>
          </cell>
          <cell r="BD461">
            <v>-6.2097690268837581E-2</v>
          </cell>
          <cell r="BE461">
            <v>0</v>
          </cell>
          <cell r="BF461">
            <v>0</v>
          </cell>
          <cell r="BG461">
            <v>0</v>
          </cell>
        </row>
        <row r="462">
          <cell r="D462" t="str">
            <v>机动车零配件与设备</v>
          </cell>
          <cell r="M462">
            <v>315.45739360919998</v>
          </cell>
          <cell r="N462">
            <v>242.81758210466302</v>
          </cell>
          <cell r="O462" t="str">
            <v>可选消费</v>
          </cell>
          <cell r="P462" t="str">
            <v>汽车与汽车零部件</v>
          </cell>
          <cell r="Q462" t="str">
            <v>汽车零配件</v>
          </cell>
          <cell r="BC462">
            <v>-8.5910652920963421E-3</v>
          </cell>
          <cell r="BD462">
            <v>0.2168717047451669</v>
          </cell>
          <cell r="BE462">
            <v>0.77971074672401264</v>
          </cell>
          <cell r="BF462">
            <v>0.77332801818847652</v>
          </cell>
          <cell r="BG462">
            <v>0.5278200149536133</v>
          </cell>
        </row>
        <row r="463">
          <cell r="D463" t="str">
            <v>机动车零配件与设备</v>
          </cell>
          <cell r="M463">
            <v>112.575</v>
          </cell>
          <cell r="N463">
            <v>86.630186155260347</v>
          </cell>
          <cell r="O463" t="str">
            <v>可选消费</v>
          </cell>
          <cell r="P463" t="str">
            <v>汽车与汽车零部件</v>
          </cell>
          <cell r="Q463" t="str">
            <v>汽车零配件</v>
          </cell>
          <cell r="BC463">
            <v>1.4189189189189126E-2</v>
          </cell>
          <cell r="BD463">
            <v>-0.11757789535567323</v>
          </cell>
          <cell r="BE463">
            <v>-0.13034698099702308</v>
          </cell>
          <cell r="BF463">
            <v>0.48155998229980468</v>
          </cell>
          <cell r="BG463">
            <v>0</v>
          </cell>
        </row>
        <row r="464">
          <cell r="D464" t="str">
            <v>白酒与葡萄酒</v>
          </cell>
          <cell r="M464">
            <v>146.37505999999999</v>
          </cell>
          <cell r="N464">
            <v>112.59046479225779</v>
          </cell>
          <cell r="O464" t="str">
            <v>日常消费</v>
          </cell>
          <cell r="P464" t="str">
            <v>食品、饮料与烟草</v>
          </cell>
          <cell r="Q464" t="str">
            <v>饮料</v>
          </cell>
          <cell r="BC464">
            <v>2.9650547123191085E-2</v>
          </cell>
          <cell r="BD464">
            <v>3.8817663817663939E-2</v>
          </cell>
          <cell r="BE464">
            <v>-2.5638161546085236E-2</v>
          </cell>
          <cell r="BF464">
            <v>0</v>
          </cell>
          <cell r="BG464">
            <v>0</v>
          </cell>
        </row>
        <row r="465">
          <cell r="D465" t="str">
            <v>水务</v>
          </cell>
          <cell r="M465">
            <v>95.629749446400012</v>
          </cell>
          <cell r="N465">
            <v>73.543954350736399</v>
          </cell>
          <cell r="O465" t="str">
            <v>公用事业</v>
          </cell>
          <cell r="P465" t="str">
            <v>公用事业Ⅱ</v>
          </cell>
          <cell r="Q465" t="str">
            <v>水务Ⅲ</v>
          </cell>
          <cell r="BC465">
            <v>1.4634146341463391E-2</v>
          </cell>
          <cell r="BD465">
            <v>-2.6521060842433684E-2</v>
          </cell>
          <cell r="BE465">
            <v>-0.25831445998155111</v>
          </cell>
          <cell r="BF465">
            <v>5.3508000373840334E-2</v>
          </cell>
          <cell r="BG465">
            <v>0.11971199989318848</v>
          </cell>
        </row>
        <row r="466">
          <cell r="D466" t="str">
            <v>公路与铁路</v>
          </cell>
          <cell r="M466">
            <v>94.132919999999999</v>
          </cell>
          <cell r="N466">
            <v>72.382091844605554</v>
          </cell>
          <cell r="O466" t="str">
            <v>工业</v>
          </cell>
          <cell r="P466" t="str">
            <v>运输</v>
          </cell>
          <cell r="Q466" t="str">
            <v>交通基础设施</v>
          </cell>
          <cell r="BC466">
            <v>-2.9069767441859845E-3</v>
          </cell>
          <cell r="BD466">
            <v>-2.9069767441859845E-3</v>
          </cell>
          <cell r="BE466">
            <v>-0.2544165298874988</v>
          </cell>
          <cell r="BF466">
            <v>0.34575599670410156</v>
          </cell>
          <cell r="BG466">
            <v>6.1296000480651855E-2</v>
          </cell>
        </row>
        <row r="467">
          <cell r="D467" t="str">
            <v>数据处理与外包服务</v>
          </cell>
          <cell r="M467">
            <v>128.764218075</v>
          </cell>
          <cell r="N467">
            <v>99.011100728681384</v>
          </cell>
          <cell r="O467" t="str">
            <v>信息技术</v>
          </cell>
          <cell r="P467" t="str">
            <v>软件与服务</v>
          </cell>
          <cell r="Q467" t="str">
            <v>信息技术服务</v>
          </cell>
          <cell r="BC467">
            <v>7.3134328358209044E-2</v>
          </cell>
          <cell r="BD467">
            <v>3.9618276460381859E-2</v>
          </cell>
          <cell r="BE467">
            <v>0.62466269861976276</v>
          </cell>
          <cell r="BF467">
            <v>0.73441200256347661</v>
          </cell>
          <cell r="BG467">
            <v>0</v>
          </cell>
        </row>
        <row r="468">
          <cell r="D468" t="str">
            <v>电子设备和仪器</v>
          </cell>
          <cell r="M468">
            <v>127.92453120000002</v>
          </cell>
          <cell r="N468">
            <v>98.350779357453348</v>
          </cell>
          <cell r="O468" t="str">
            <v>信息技术</v>
          </cell>
          <cell r="P468" t="str">
            <v>技术硬件与设备</v>
          </cell>
          <cell r="Q468" t="str">
            <v>电子设备、仪器和元件</v>
          </cell>
          <cell r="BC468">
            <v>-2.9999999999999954E-2</v>
          </cell>
          <cell r="BD468">
            <v>-0.12051378919531537</v>
          </cell>
          <cell r="BE468">
            <v>-0.36910568324774784</v>
          </cell>
          <cell r="BF468">
            <v>0.20020799636840819</v>
          </cell>
          <cell r="BG468">
            <v>0</v>
          </cell>
        </row>
        <row r="469">
          <cell r="D469" t="str">
            <v>中药</v>
          </cell>
          <cell r="M469">
            <v>94.470827823900009</v>
          </cell>
          <cell r="N469">
            <v>72.593495348459868</v>
          </cell>
          <cell r="O469" t="str">
            <v>医疗保健</v>
          </cell>
          <cell r="P469" t="str">
            <v>制药、生物科技与生命科学</v>
          </cell>
          <cell r="Q469" t="str">
            <v>制药</v>
          </cell>
          <cell r="BC469">
            <v>9.8846787479406756E-3</v>
          </cell>
          <cell r="BD469">
            <v>-5.059370160041303E-2</v>
          </cell>
          <cell r="BE469">
            <v>-0.30298892426970891</v>
          </cell>
          <cell r="BF469">
            <v>-0.16755599975585939</v>
          </cell>
          <cell r="BG469">
            <v>0.11095199584960938</v>
          </cell>
        </row>
        <row r="470">
          <cell r="D470" t="str">
            <v>电子元件</v>
          </cell>
          <cell r="M470">
            <v>398.40597961200007</v>
          </cell>
          <cell r="N470">
            <v>305.94790403096954</v>
          </cell>
          <cell r="O470" t="str">
            <v>信息技术</v>
          </cell>
          <cell r="P470" t="str">
            <v>技术硬件与设备</v>
          </cell>
          <cell r="Q470" t="str">
            <v>电子设备、仪器和元件</v>
          </cell>
          <cell r="BC470">
            <v>1.6355140186915956E-2</v>
          </cell>
          <cell r="BD470">
            <v>-0.1215079097946819</v>
          </cell>
          <cell r="BE470">
            <v>-0.17885975038731339</v>
          </cell>
          <cell r="BF470">
            <v>1.4880000352859498E-2</v>
          </cell>
          <cell r="BG470">
            <v>0.20265600204467774</v>
          </cell>
        </row>
        <row r="471">
          <cell r="D471" t="str">
            <v>特种化工</v>
          </cell>
          <cell r="M471">
            <v>39.760000000000005</v>
          </cell>
          <cell r="N471">
            <v>30.48388812979875</v>
          </cell>
          <cell r="O471" t="str">
            <v>材料</v>
          </cell>
          <cell r="P471" t="str">
            <v>材料Ⅱ</v>
          </cell>
          <cell r="Q471" t="str">
            <v>化工</v>
          </cell>
          <cell r="BC471">
            <v>0.13134532210334632</v>
          </cell>
          <cell r="BD471">
            <v>4.0619765494137455E-2</v>
          </cell>
          <cell r="BE471">
            <v>0</v>
          </cell>
          <cell r="BF471">
            <v>0</v>
          </cell>
          <cell r="BG471">
            <v>0</v>
          </cell>
        </row>
        <row r="472">
          <cell r="D472" t="str">
            <v>电影与娱乐</v>
          </cell>
          <cell r="M472">
            <v>169.12818315470003</v>
          </cell>
          <cell r="N472">
            <v>129.6540370460439</v>
          </cell>
          <cell r="O472" t="str">
            <v>可选消费</v>
          </cell>
          <cell r="P472" t="str">
            <v>媒体Ⅱ</v>
          </cell>
          <cell r="Q472" t="str">
            <v>媒体Ⅲ</v>
          </cell>
          <cell r="BC472">
            <v>-2.051702913418137E-2</v>
          </cell>
          <cell r="BD472">
            <v>-8.3685220729366586E-2</v>
          </cell>
          <cell r="BE472">
            <v>-0.12762057474072511</v>
          </cell>
          <cell r="BF472">
            <v>0.64090797424316404</v>
          </cell>
          <cell r="BG472">
            <v>0</v>
          </cell>
        </row>
        <row r="473">
          <cell r="D473" t="str">
            <v>房地产开发</v>
          </cell>
          <cell r="M473">
            <v>232.49669624999996</v>
          </cell>
          <cell r="N473">
            <v>178.16275593811116</v>
          </cell>
          <cell r="O473" t="str">
            <v>金融</v>
          </cell>
          <cell r="P473" t="str">
            <v>房地产</v>
          </cell>
          <cell r="Q473" t="str">
            <v>房地产管理与开发</v>
          </cell>
          <cell r="BC473">
            <v>-9.5510983763134119E-3</v>
          </cell>
          <cell r="BD473">
            <v>5.7084607543323007E-2</v>
          </cell>
          <cell r="BE473">
            <v>-4.9470956798358369E-2</v>
          </cell>
          <cell r="BF473">
            <v>0.68405998229980469</v>
          </cell>
          <cell r="BG473">
            <v>0.21286800384521484</v>
          </cell>
        </row>
        <row r="474">
          <cell r="D474" t="str">
            <v>公路运输</v>
          </cell>
          <cell r="M474">
            <v>42.665857799599998</v>
          </cell>
          <cell r="N474">
            <v>32.66576708040629</v>
          </cell>
          <cell r="O474" t="str">
            <v>工业</v>
          </cell>
          <cell r="P474" t="str">
            <v>运输</v>
          </cell>
          <cell r="Q474" t="str">
            <v>公路与铁路运输</v>
          </cell>
          <cell r="BC474">
            <v>3.3409263477600572E-2</v>
          </cell>
          <cell r="BD474">
            <v>-4.8251748251748341E-2</v>
          </cell>
          <cell r="BE474">
            <v>0.26138459452094509</v>
          </cell>
          <cell r="BF474">
            <v>0.47782798767089846</v>
          </cell>
          <cell r="BG474">
            <v>0.27034799575805663</v>
          </cell>
        </row>
        <row r="475">
          <cell r="D475" t="str">
            <v>中药</v>
          </cell>
          <cell r="M475">
            <v>416.73954614460001</v>
          </cell>
          <cell r="N475">
            <v>318.94128764605045</v>
          </cell>
          <cell r="O475" t="str">
            <v>医疗保健</v>
          </cell>
          <cell r="P475" t="str">
            <v>制药、生物科技与生命科学</v>
          </cell>
          <cell r="Q475" t="str">
            <v>制药</v>
          </cell>
          <cell r="BC475">
            <v>2.498006909380807E-2</v>
          </cell>
          <cell r="BD475">
            <v>9.2015855039637592E-2</v>
          </cell>
          <cell r="BE475">
            <v>-0.18955904927816264</v>
          </cell>
          <cell r="BF475">
            <v>-8.3400001525878911E-2</v>
          </cell>
          <cell r="BG475">
            <v>0.16882799148559571</v>
          </cell>
        </row>
        <row r="476">
          <cell r="D476" t="str">
            <v>建筑与工程</v>
          </cell>
          <cell r="M476">
            <v>1857.2417154459001</v>
          </cell>
          <cell r="N476">
            <v>1420.1531826469193</v>
          </cell>
          <cell r="O476" t="str">
            <v>工业</v>
          </cell>
          <cell r="P476" t="str">
            <v>资本货物</v>
          </cell>
          <cell r="Q476" t="str">
            <v>建筑与工程Ⅲ</v>
          </cell>
          <cell r="BC476">
            <v>-7.3260073260071699E-3</v>
          </cell>
          <cell r="BD476">
            <v>-1.8115942028985338E-2</v>
          </cell>
          <cell r="BE476">
            <v>-0.34755008362812367</v>
          </cell>
          <cell r="BF476">
            <v>0.91382400512695316</v>
          </cell>
          <cell r="BG476">
            <v>0.25726800918579101</v>
          </cell>
        </row>
        <row r="477">
          <cell r="D477" t="str">
            <v>房地产开发</v>
          </cell>
          <cell r="M477">
            <v>335.77648459829999</v>
          </cell>
          <cell r="N477">
            <v>256.63065381167041</v>
          </cell>
          <cell r="O477" t="str">
            <v>金融</v>
          </cell>
          <cell r="P477" t="str">
            <v>房地产</v>
          </cell>
          <cell r="Q477" t="str">
            <v>房地产管理与开发</v>
          </cell>
          <cell r="BC477">
            <v>4.2016806722689429E-3</v>
          </cell>
          <cell r="BD477">
            <v>-1.9151846785225676E-2</v>
          </cell>
          <cell r="BE477">
            <v>-0.35590237899555349</v>
          </cell>
          <cell r="BF477">
            <v>0.94638000488281249</v>
          </cell>
          <cell r="BG477">
            <v>0.31701599121093749</v>
          </cell>
        </row>
        <row r="478">
          <cell r="D478" t="str">
            <v>建筑机械与重型卡车</v>
          </cell>
          <cell r="M478">
            <v>346.41877769999996</v>
          </cell>
          <cell r="N478">
            <v>264.69568035466943</v>
          </cell>
          <cell r="O478" t="str">
            <v>工业</v>
          </cell>
          <cell r="P478" t="str">
            <v>资本货物</v>
          </cell>
          <cell r="Q478" t="str">
            <v>机械</v>
          </cell>
          <cell r="BC478">
            <v>-1.0940919037199279E-2</v>
          </cell>
          <cell r="BD478">
            <v>-2.2075055187639457E-3</v>
          </cell>
          <cell r="BE478">
            <v>-0.33977759339523317</v>
          </cell>
          <cell r="BF478">
            <v>8.3399999141693121E-3</v>
          </cell>
          <cell r="BG478">
            <v>-0.12014399528503418</v>
          </cell>
        </row>
        <row r="479">
          <cell r="D479" t="str">
            <v>房地产开发</v>
          </cell>
          <cell r="M479">
            <v>114.34458039619999</v>
          </cell>
          <cell r="N479">
            <v>87.332916786143443</v>
          </cell>
          <cell r="O479" t="str">
            <v>金融</v>
          </cell>
          <cell r="P479" t="str">
            <v>房地产</v>
          </cell>
          <cell r="Q479" t="str">
            <v>房地产管理与开发</v>
          </cell>
          <cell r="BC479">
            <v>9.5351609058402943E-3</v>
          </cell>
          <cell r="BD479">
            <v>-4.1855203619909416E-2</v>
          </cell>
          <cell r="BE479">
            <v>4.9097377977943973E-2</v>
          </cell>
          <cell r="BF479">
            <v>0.45481201171875002</v>
          </cell>
          <cell r="BG479">
            <v>0.23878799438476561</v>
          </cell>
        </row>
        <row r="480">
          <cell r="D480" t="str">
            <v>西药</v>
          </cell>
          <cell r="M480">
            <v>64.141024999999999</v>
          </cell>
          <cell r="N480">
            <v>48.982210427701553</v>
          </cell>
          <cell r="O480" t="str">
            <v>医疗保健</v>
          </cell>
          <cell r="P480" t="str">
            <v>制药、生物科技与生命科学</v>
          </cell>
          <cell r="Q480" t="str">
            <v>制药</v>
          </cell>
          <cell r="BC480">
            <v>1.2751849018106901E-3</v>
          </cell>
          <cell r="BD480">
            <v>-2.5564656242243761E-2</v>
          </cell>
          <cell r="BE480">
            <v>-0.11881463958482472</v>
          </cell>
          <cell r="BF480">
            <v>0</v>
          </cell>
          <cell r="BG480">
            <v>0</v>
          </cell>
        </row>
        <row r="481">
          <cell r="D481" t="str">
            <v>通信设备</v>
          </cell>
          <cell r="M481">
            <v>625.43842430100005</v>
          </cell>
          <cell r="N481">
            <v>477.59499858864137</v>
          </cell>
          <cell r="O481" t="str">
            <v>信息技术</v>
          </cell>
          <cell r="P481" t="str">
            <v>技术硬件与设备</v>
          </cell>
          <cell r="Q481" t="str">
            <v>通信设备Ⅲ</v>
          </cell>
          <cell r="BC481">
            <v>0</v>
          </cell>
          <cell r="BD481">
            <v>-2.1442495126705655E-2</v>
          </cell>
          <cell r="BE481">
            <v>-0.16827592432524036</v>
          </cell>
          <cell r="BF481">
            <v>0.21024000167846679</v>
          </cell>
          <cell r="BG481">
            <v>-6.0000002384185793E-3</v>
          </cell>
        </row>
        <row r="482">
          <cell r="D482" t="str">
            <v>建材</v>
          </cell>
          <cell r="M482">
            <v>825.63134180819998</v>
          </cell>
          <cell r="N482">
            <v>630.15688129946204</v>
          </cell>
          <cell r="O482" t="str">
            <v>材料</v>
          </cell>
          <cell r="P482" t="str">
            <v>材料Ⅱ</v>
          </cell>
          <cell r="Q482" t="str">
            <v>建材Ⅲ</v>
          </cell>
          <cell r="BC482">
            <v>-2.8072364316905865E-2</v>
          </cell>
          <cell r="BD482">
            <v>8.8749126484975502E-2</v>
          </cell>
          <cell r="BE482">
            <v>-0.2681632327192589</v>
          </cell>
          <cell r="BF482">
            <v>4.8347997665405276E-2</v>
          </cell>
          <cell r="BG482">
            <v>-1.0032000541687012E-2</v>
          </cell>
        </row>
        <row r="483">
          <cell r="D483" t="str">
            <v>服装、服饰与奢侈品</v>
          </cell>
          <cell r="M483">
            <v>59.463092115999991</v>
          </cell>
          <cell r="N483">
            <v>45.382241370903415</v>
          </cell>
          <cell r="O483" t="str">
            <v>可选消费</v>
          </cell>
          <cell r="P483" t="str">
            <v>耐用消费品与服装</v>
          </cell>
          <cell r="Q483" t="str">
            <v>纺织品、服装与奢侈品</v>
          </cell>
          <cell r="BC483">
            <v>-4.8209366391184774E-3</v>
          </cell>
          <cell r="BD483">
            <v>-2.8244788164088767E-2</v>
          </cell>
          <cell r="BE483">
            <v>0.43737991070646204</v>
          </cell>
          <cell r="BF483">
            <v>0.40233600616455079</v>
          </cell>
          <cell r="BG483">
            <v>6.3744001388549798E-2</v>
          </cell>
        </row>
        <row r="484">
          <cell r="D484" t="str">
            <v>建筑与工程</v>
          </cell>
          <cell r="M484">
            <v>176.41674479539998</v>
          </cell>
          <cell r="N484">
            <v>134.49767835686757</v>
          </cell>
          <cell r="O484" t="str">
            <v>工业</v>
          </cell>
          <cell r="P484" t="str">
            <v>资本货物</v>
          </cell>
          <cell r="Q484" t="str">
            <v>建筑与工程Ⅲ</v>
          </cell>
          <cell r="BC484">
            <v>4.1077133728890852E-2</v>
          </cell>
          <cell r="BD484">
            <v>-5.8216350123864585E-2</v>
          </cell>
          <cell r="BE484">
            <v>-0.31276162155963627</v>
          </cell>
          <cell r="BF484">
            <v>0.24247200012207032</v>
          </cell>
          <cell r="BG484">
            <v>8.8716001510620118E-2</v>
          </cell>
        </row>
        <row r="485">
          <cell r="D485" t="str">
            <v>半导体产品</v>
          </cell>
          <cell r="M485">
            <v>75.4780384787</v>
          </cell>
          <cell r="N485">
            <v>57.517767965312856</v>
          </cell>
          <cell r="O485" t="str">
            <v>信息技术</v>
          </cell>
          <cell r="P485" t="str">
            <v>半导体与半导体生产设备</v>
          </cell>
          <cell r="Q485" t="str">
            <v>半导体产品与半导体设备</v>
          </cell>
          <cell r="BC485">
            <v>6.5435698088759292E-2</v>
          </cell>
          <cell r="BD485">
            <v>-1.5179113539768416E-3</v>
          </cell>
          <cell r="BE485">
            <v>0.61462934063244878</v>
          </cell>
          <cell r="BF485">
            <v>0.58076400756835933</v>
          </cell>
          <cell r="BG485">
            <v>0</v>
          </cell>
        </row>
        <row r="486">
          <cell r="D486" t="str">
            <v>石油与天然气的炼制和销售</v>
          </cell>
          <cell r="M486">
            <v>115.9595839325</v>
          </cell>
          <cell r="N486">
            <v>88.322434223518513</v>
          </cell>
          <cell r="O486" t="str">
            <v>能源</v>
          </cell>
          <cell r="P486" t="str">
            <v>能源Ⅱ</v>
          </cell>
          <cell r="Q486" t="str">
            <v>石油、天然气与供消费用燃料</v>
          </cell>
          <cell r="BC486">
            <v>2.9829545454545449E-2</v>
          </cell>
          <cell r="BD486">
            <v>0.13993710691823893</v>
          </cell>
          <cell r="BE486">
            <v>-0.28075396825396826</v>
          </cell>
          <cell r="BF486">
            <v>0.26221200942993161</v>
          </cell>
          <cell r="BG486">
            <v>-1.3308000564575196E-2</v>
          </cell>
        </row>
        <row r="487">
          <cell r="D487" t="str">
            <v>钢铁</v>
          </cell>
          <cell r="M487">
            <v>72.803901156999999</v>
          </cell>
          <cell r="N487">
            <v>55.399707174790265</v>
          </cell>
          <cell r="O487" t="str">
            <v>材料</v>
          </cell>
          <cell r="P487" t="str">
            <v>材料Ⅱ</v>
          </cell>
          <cell r="Q487" t="str">
            <v>金属、非金属与采矿</v>
          </cell>
          <cell r="BC487">
            <v>0.14455445544554466</v>
          </cell>
          <cell r="BD487">
            <v>1.4035087719298258E-2</v>
          </cell>
          <cell r="BE487">
            <v>-8.6887835703001556E-2</v>
          </cell>
          <cell r="BF487">
            <v>0.5119079971313476</v>
          </cell>
          <cell r="BG487">
            <v>3.3360001444816588E-3</v>
          </cell>
        </row>
        <row r="488">
          <cell r="D488" t="str">
            <v>环境与设施服务</v>
          </cell>
          <cell r="M488">
            <v>142.14397367700002</v>
          </cell>
          <cell r="N488">
            <v>108.09692700197895</v>
          </cell>
          <cell r="O488" t="str">
            <v>工业</v>
          </cell>
          <cell r="P488" t="str">
            <v>商业和专业服务</v>
          </cell>
          <cell r="Q488" t="str">
            <v>商业服务与用品</v>
          </cell>
          <cell r="BC488">
            <v>6.1538461538462414E-3</v>
          </cell>
          <cell r="BD488">
            <v>4.8076923076923191E-2</v>
          </cell>
          <cell r="BE488">
            <v>-0.18459761381530243</v>
          </cell>
          <cell r="BF488">
            <v>0.27226800918579103</v>
          </cell>
          <cell r="BG488">
            <v>0</v>
          </cell>
        </row>
        <row r="489">
          <cell r="D489" t="str">
            <v>汽车制造</v>
          </cell>
          <cell r="M489">
            <v>91.556841309899994</v>
          </cell>
          <cell r="N489">
            <v>69.529736496123519</v>
          </cell>
          <cell r="O489" t="str">
            <v>可选消费</v>
          </cell>
          <cell r="P489" t="str">
            <v>汽车与汽车零部件</v>
          </cell>
          <cell r="Q489" t="str">
            <v>汽车</v>
          </cell>
          <cell r="BC489">
            <v>1.547779273216692E-2</v>
          </cell>
          <cell r="BD489">
            <v>-6.0398505603984992E-2</v>
          </cell>
          <cell r="BE489">
            <v>-0.21587919014372456</v>
          </cell>
          <cell r="BF489">
            <v>0.35996398925781248</v>
          </cell>
          <cell r="BG489">
            <v>0.13944000244140625</v>
          </cell>
        </row>
        <row r="490">
          <cell r="D490" t="str">
            <v>电脑与电子产品零售</v>
          </cell>
          <cell r="M490">
            <v>223.36851957000002</v>
          </cell>
          <cell r="N490">
            <v>169.44871415618249</v>
          </cell>
          <cell r="O490" t="str">
            <v>可选消费</v>
          </cell>
          <cell r="P490" t="str">
            <v>零售业</v>
          </cell>
          <cell r="Q490" t="str">
            <v>专营零售</v>
          </cell>
          <cell r="BC490">
            <v>0</v>
          </cell>
          <cell r="BD490">
            <v>0</v>
          </cell>
          <cell r="BE490">
            <v>1.1242341246008987</v>
          </cell>
          <cell r="BF490">
            <v>0.95834396362304686</v>
          </cell>
          <cell r="BG490">
            <v>0.30851999282836912</v>
          </cell>
        </row>
        <row r="491">
          <cell r="D491" t="str">
            <v>家用电器</v>
          </cell>
          <cell r="M491">
            <v>101.93185767600001</v>
          </cell>
          <cell r="N491">
            <v>77.280938418337314</v>
          </cell>
          <cell r="O491" t="str">
            <v>可选消费</v>
          </cell>
          <cell r="P491" t="str">
            <v>耐用消费品与服装</v>
          </cell>
          <cell r="Q491" t="str">
            <v>家庭耐用消费品</v>
          </cell>
          <cell r="BC491">
            <v>1.081081081081082E-2</v>
          </cell>
          <cell r="BD491">
            <v>-2.3498694516971241E-2</v>
          </cell>
          <cell r="BE491">
            <v>-0.32368896925858948</v>
          </cell>
          <cell r="BF491">
            <v>-0.13097999572753907</v>
          </cell>
          <cell r="BG491">
            <v>5.4312000274658205E-2</v>
          </cell>
        </row>
        <row r="492">
          <cell r="D492" t="str">
            <v>电气部件与设备</v>
          </cell>
          <cell r="M492">
            <v>133.451322025</v>
          </cell>
          <cell r="N492">
            <v>101.17562623916666</v>
          </cell>
          <cell r="O492" t="str">
            <v>工业</v>
          </cell>
          <cell r="P492" t="str">
            <v>资本货物</v>
          </cell>
          <cell r="Q492" t="str">
            <v>电气设备</v>
          </cell>
          <cell r="BC492">
            <v>1.7532467532467504E-2</v>
          </cell>
          <cell r="BD492">
            <v>-1.3224181360201565E-2</v>
          </cell>
          <cell r="BE492">
            <v>-0.10242182783744029</v>
          </cell>
          <cell r="BF492">
            <v>0.24458400726318361</v>
          </cell>
          <cell r="BG492">
            <v>0</v>
          </cell>
        </row>
        <row r="493">
          <cell r="D493" t="str">
            <v>化纤</v>
          </cell>
          <cell r="M493">
            <v>57.891687273199992</v>
          </cell>
          <cell r="N493">
            <v>43.873868896984661</v>
          </cell>
          <cell r="O493" t="str">
            <v>材料</v>
          </cell>
          <cell r="P493" t="str">
            <v>材料Ⅱ</v>
          </cell>
          <cell r="Q493" t="str">
            <v>化工</v>
          </cell>
          <cell r="BC493">
            <v>0</v>
          </cell>
          <cell r="BD493">
            <v>0</v>
          </cell>
          <cell r="BE493">
            <v>0.29078027110178106</v>
          </cell>
          <cell r="BF493">
            <v>0.87951599121093749</v>
          </cell>
          <cell r="BG493">
            <v>0.26724000930786135</v>
          </cell>
        </row>
        <row r="494">
          <cell r="D494" t="str">
            <v>调查和咨询服务</v>
          </cell>
          <cell r="M494">
            <v>104.346063444</v>
          </cell>
          <cell r="N494">
            <v>79.057490192036454</v>
          </cell>
          <cell r="O494" t="str">
            <v>工业</v>
          </cell>
          <cell r="P494" t="str">
            <v>商业和专业服务</v>
          </cell>
          <cell r="Q494" t="str">
            <v>专业服务</v>
          </cell>
          <cell r="BC494">
            <v>-4.5154743784880796E-2</v>
          </cell>
          <cell r="BD494">
            <v>5.8492688413948203E-2</v>
          </cell>
          <cell r="BE494">
            <v>0.10225129035617306</v>
          </cell>
          <cell r="BF494">
            <v>0.39714000701904295</v>
          </cell>
          <cell r="BG494">
            <v>0</v>
          </cell>
        </row>
        <row r="495">
          <cell r="D495" t="str">
            <v>建筑与工程</v>
          </cell>
          <cell r="M495">
            <v>57.680605502000006</v>
          </cell>
          <cell r="N495">
            <v>43.6613306562923</v>
          </cell>
          <cell r="O495" t="str">
            <v>工业</v>
          </cell>
          <cell r="P495" t="str">
            <v>资本货物</v>
          </cell>
          <cell r="Q495" t="str">
            <v>建筑与工程Ⅲ</v>
          </cell>
          <cell r="BC495">
            <v>6.6314996232102547E-2</v>
          </cell>
          <cell r="BD495">
            <v>-4.1327913279132752E-2</v>
          </cell>
          <cell r="BE495">
            <v>-2.6254860193138621E-2</v>
          </cell>
          <cell r="BF495">
            <v>0.32751598358154299</v>
          </cell>
          <cell r="BG495">
            <v>0.20319599151611328</v>
          </cell>
        </row>
        <row r="496">
          <cell r="D496" t="str">
            <v>鞋类</v>
          </cell>
          <cell r="M496">
            <v>95.168640000000011</v>
          </cell>
          <cell r="N496">
            <v>71.998751786466045</v>
          </cell>
          <cell r="O496" t="str">
            <v>可选消费</v>
          </cell>
          <cell r="P496" t="str">
            <v>耐用消费品与服装</v>
          </cell>
          <cell r="Q496" t="str">
            <v>纺织品、服装与奢侈品</v>
          </cell>
          <cell r="BC496">
            <v>1.5706806282722488E-2</v>
          </cell>
          <cell r="BD496">
            <v>-6.9916100679184981E-2</v>
          </cell>
          <cell r="BE496">
            <v>0</v>
          </cell>
          <cell r="BF496">
            <v>0</v>
          </cell>
          <cell r="BG496">
            <v>0</v>
          </cell>
        </row>
        <row r="497">
          <cell r="D497" t="str">
            <v>化肥与农用化工</v>
          </cell>
          <cell r="M497">
            <v>174.03530627999999</v>
          </cell>
          <cell r="N497">
            <v>131.66161270342158</v>
          </cell>
          <cell r="O497" t="str">
            <v>材料</v>
          </cell>
          <cell r="P497" t="str">
            <v>材料Ⅱ</v>
          </cell>
          <cell r="Q497" t="str">
            <v>化工</v>
          </cell>
          <cell r="BC497">
            <v>8.3299138284776267E-2</v>
          </cell>
          <cell r="BD497">
            <v>3.0395136778114855E-3</v>
          </cell>
          <cell r="BE497">
            <v>0.16710875331564976</v>
          </cell>
          <cell r="BF497">
            <v>0.5469240188598633</v>
          </cell>
          <cell r="BG497">
            <v>0.27877199172973632</v>
          </cell>
        </row>
        <row r="498">
          <cell r="D498" t="str">
            <v>消费电子产品</v>
          </cell>
          <cell r="M498">
            <v>102.5193438</v>
          </cell>
          <cell r="N498">
            <v>77.525330780519113</v>
          </cell>
          <cell r="O498" t="str">
            <v>可选消费</v>
          </cell>
          <cell r="P498" t="str">
            <v>耐用消费品与服装</v>
          </cell>
          <cell r="Q498" t="str">
            <v>家庭耐用消费品</v>
          </cell>
          <cell r="BC498">
            <v>-4.9751243781094448E-3</v>
          </cell>
          <cell r="BD498">
            <v>-5.9069524307370572E-2</v>
          </cell>
          <cell r="BE498">
            <v>0.1474197143520804</v>
          </cell>
          <cell r="BF498">
            <v>0.3509519958496094</v>
          </cell>
          <cell r="BG498">
            <v>0.29069999694824217</v>
          </cell>
        </row>
        <row r="499">
          <cell r="D499" t="str">
            <v>食品加工与肉类</v>
          </cell>
          <cell r="M499">
            <v>63.45245333279999</v>
          </cell>
          <cell r="N499">
            <v>47.970820152018398</v>
          </cell>
          <cell r="O499" t="str">
            <v>日常消费</v>
          </cell>
          <cell r="P499" t="str">
            <v>食品、饮料与烟草</v>
          </cell>
          <cell r="Q499" t="str">
            <v>食品</v>
          </cell>
          <cell r="BC499">
            <v>-1.2031139419674446E-2</v>
          </cell>
          <cell r="BD499">
            <v>-9.9290780141843109E-3</v>
          </cell>
          <cell r="BE499">
            <v>4.6748521630555706E-2</v>
          </cell>
          <cell r="BF499">
            <v>0.36810001373291018</v>
          </cell>
          <cell r="BG499">
            <v>0.11352000236511231</v>
          </cell>
        </row>
        <row r="500">
          <cell r="D500" t="str">
            <v>特种化工</v>
          </cell>
          <cell r="M500">
            <v>47.398463999999997</v>
          </cell>
          <cell r="N500">
            <v>35.808066753366667</v>
          </cell>
          <cell r="O500" t="str">
            <v>材料</v>
          </cell>
          <cell r="P500" t="str">
            <v>材料Ⅱ</v>
          </cell>
          <cell r="Q500" t="str">
            <v>化工</v>
          </cell>
          <cell r="BC500">
            <v>1.5330705212439835E-2</v>
          </cell>
          <cell r="BD500">
            <v>-1.9043588658484947E-2</v>
          </cell>
          <cell r="BE500">
            <v>0</v>
          </cell>
          <cell r="BF500">
            <v>0</v>
          </cell>
          <cell r="BG500">
            <v>0</v>
          </cell>
        </row>
        <row r="501">
          <cell r="D501" t="str">
            <v>化肥与农用化工</v>
          </cell>
          <cell r="M501">
            <v>56.565602856000005</v>
          </cell>
          <cell r="N501">
            <v>42.713879746249305</v>
          </cell>
          <cell r="O501" t="str">
            <v>材料</v>
          </cell>
          <cell r="P501" t="str">
            <v>材料Ⅱ</v>
          </cell>
          <cell r="Q501" t="str">
            <v>化工</v>
          </cell>
          <cell r="BC501">
            <v>-1.5847860538826921E-3</v>
          </cell>
          <cell r="BD501">
            <v>-7.8740157480314682E-3</v>
          </cell>
          <cell r="BE501">
            <v>-0.23538338268432818</v>
          </cell>
          <cell r="BF501">
            <v>7.509600162506104E-2</v>
          </cell>
          <cell r="BG501">
            <v>-0.12146400451660157</v>
          </cell>
        </row>
        <row r="502">
          <cell r="D502" t="str">
            <v>工业机械</v>
          </cell>
          <cell r="M502">
            <v>168.81388889999999</v>
          </cell>
          <cell r="N502">
            <v>127.45768392594758</v>
          </cell>
          <cell r="O502" t="str">
            <v>工业</v>
          </cell>
          <cell r="P502" t="str">
            <v>资本货物</v>
          </cell>
          <cell r="Q502" t="str">
            <v>机械</v>
          </cell>
          <cell r="BC502">
            <v>4.5969353764157193E-2</v>
          </cell>
          <cell r="BD502">
            <v>-5.5923030667468419E-2</v>
          </cell>
          <cell r="BE502">
            <v>-6.1834440014948262E-2</v>
          </cell>
          <cell r="BF502">
            <v>0.23121599197387696</v>
          </cell>
          <cell r="BG502">
            <v>0.18849599838256836</v>
          </cell>
        </row>
        <row r="503">
          <cell r="D503" t="str">
            <v>消费电子产品</v>
          </cell>
          <cell r="M503">
            <v>207.19446659999997</v>
          </cell>
          <cell r="N503">
            <v>156.41652978815443</v>
          </cell>
          <cell r="O503" t="str">
            <v>可选消费</v>
          </cell>
          <cell r="P503" t="str">
            <v>耐用消费品与服装</v>
          </cell>
          <cell r="Q503" t="str">
            <v>家庭耐用消费品</v>
          </cell>
          <cell r="BC503">
            <v>0.10434496379196834</v>
          </cell>
          <cell r="BD503">
            <v>1.2066365007541435E-2</v>
          </cell>
          <cell r="BE503">
            <v>0.12866446004782719</v>
          </cell>
          <cell r="BF503">
            <v>0.67221603393554685</v>
          </cell>
          <cell r="BG503">
            <v>0</v>
          </cell>
        </row>
        <row r="504">
          <cell r="D504" t="str">
            <v>房地产开发</v>
          </cell>
          <cell r="M504">
            <v>53.666032742400006</v>
          </cell>
          <cell r="N504">
            <v>40.50889094882389</v>
          </cell>
          <cell r="O504" t="str">
            <v>金融</v>
          </cell>
          <cell r="P504" t="str">
            <v>房地产</v>
          </cell>
          <cell r="Q504" t="str">
            <v>房地产管理与开发</v>
          </cell>
          <cell r="BC504">
            <v>-9.7560975609754016E-4</v>
          </cell>
          <cell r="BD504">
            <v>-9.8591549295774586E-2</v>
          </cell>
          <cell r="BE504">
            <v>-0.18868633783517816</v>
          </cell>
          <cell r="BF504">
            <v>0.47235599517822263</v>
          </cell>
          <cell r="BG504">
            <v>0.15867600440979004</v>
          </cell>
        </row>
        <row r="505">
          <cell r="D505" t="str">
            <v>电气部件与设备</v>
          </cell>
          <cell r="M505">
            <v>303.62707233399999</v>
          </cell>
          <cell r="N505">
            <v>229.18746677861094</v>
          </cell>
          <cell r="O505" t="str">
            <v>工业</v>
          </cell>
          <cell r="P505" t="str">
            <v>资本货物</v>
          </cell>
          <cell r="Q505" t="str">
            <v>电气设备</v>
          </cell>
          <cell r="BC505">
            <v>-4.432855280312952E-3</v>
          </cell>
          <cell r="BD505">
            <v>1.5739769150053063E-3</v>
          </cell>
          <cell r="BE505">
            <v>-8.1287795691764822E-2</v>
          </cell>
          <cell r="BF505">
            <v>8.2488002777099612E-2</v>
          </cell>
          <cell r="BG505">
            <v>0.21600000381469728</v>
          </cell>
        </row>
        <row r="506">
          <cell r="D506" t="str">
            <v>互联网软件与服务</v>
          </cell>
          <cell r="M506">
            <v>108.88</v>
          </cell>
          <cell r="N506">
            <v>82.160043059003755</v>
          </cell>
          <cell r="O506" t="str">
            <v>信息技术</v>
          </cell>
          <cell r="P506" t="str">
            <v>软件与服务</v>
          </cell>
          <cell r="Q506" t="str">
            <v>互联网软件与服务Ⅲ</v>
          </cell>
          <cell r="BC506">
            <v>5.0154320987654322E-2</v>
          </cell>
          <cell r="BD506">
            <v>-3.2831154064809583E-2</v>
          </cell>
          <cell r="BE506">
            <v>0</v>
          </cell>
          <cell r="BF506">
            <v>0</v>
          </cell>
          <cell r="BG506">
            <v>0</v>
          </cell>
        </row>
        <row r="507">
          <cell r="D507" t="str">
            <v>食品加工与肉类</v>
          </cell>
          <cell r="M507">
            <v>68.814779999999999</v>
          </cell>
          <cell r="N507">
            <v>51.917232853451992</v>
          </cell>
          <cell r="O507" t="str">
            <v>日常消费</v>
          </cell>
          <cell r="P507" t="str">
            <v>食品、饮料与烟草</v>
          </cell>
          <cell r="Q507" t="str">
            <v>食品</v>
          </cell>
          <cell r="BC507">
            <v>0.17726847521047723</v>
          </cell>
          <cell r="BD507">
            <v>0.13429472735466427</v>
          </cell>
          <cell r="BE507">
            <v>0</v>
          </cell>
          <cell r="BF507">
            <v>0</v>
          </cell>
          <cell r="BG507">
            <v>0</v>
          </cell>
        </row>
        <row r="508">
          <cell r="D508" t="str">
            <v>农产品</v>
          </cell>
          <cell r="M508">
            <v>130.04323209449998</v>
          </cell>
          <cell r="N508">
            <v>98.085622757524391</v>
          </cell>
          <cell r="O508" t="str">
            <v>日常消费</v>
          </cell>
          <cell r="P508" t="str">
            <v>食品、饮料与烟草</v>
          </cell>
          <cell r="Q508" t="str">
            <v>食品</v>
          </cell>
          <cell r="BC508">
            <v>8.768971332209119E-2</v>
          </cell>
          <cell r="BD508">
            <v>0.11015490533562833</v>
          </cell>
          <cell r="BE508">
            <v>0.58154554167117278</v>
          </cell>
          <cell r="BF508">
            <v>0.64863601684570316</v>
          </cell>
          <cell r="BG508">
            <v>0.24316799163818359</v>
          </cell>
        </row>
        <row r="509">
          <cell r="D509" t="str">
            <v>人寿与健康保险</v>
          </cell>
          <cell r="M509">
            <v>6735.4792014999994</v>
          </cell>
          <cell r="N509">
            <v>5080.2592694447912</v>
          </cell>
          <cell r="O509" t="str">
            <v>金融</v>
          </cell>
          <cell r="P509" t="str">
            <v>保险Ⅱ</v>
          </cell>
          <cell r="Q509" t="str">
            <v>保险Ⅲ</v>
          </cell>
          <cell r="BC509">
            <v>2.937365010799135E-2</v>
          </cell>
          <cell r="BD509">
            <v>7.6818798011748735E-2</v>
          </cell>
          <cell r="BE509">
            <v>-0.33922409844022905</v>
          </cell>
          <cell r="BF509">
            <v>0.31854000091552737</v>
          </cell>
          <cell r="BG509">
            <v>7.1016001701354983E-2</v>
          </cell>
        </row>
        <row r="510">
          <cell r="D510" t="str">
            <v>食品加工与肉类</v>
          </cell>
          <cell r="M510">
            <v>89.333400000000012</v>
          </cell>
          <cell r="N510">
            <v>67.37022170096111</v>
          </cell>
          <cell r="O510" t="str">
            <v>日常消费</v>
          </cell>
          <cell r="P510" t="str">
            <v>食品、饮料与烟草</v>
          </cell>
          <cell r="Q510" t="str">
            <v>食品</v>
          </cell>
          <cell r="BC510">
            <v>-2.8130170987313737E-2</v>
          </cell>
          <cell r="BD510">
            <v>-4.6536796536796508E-2</v>
          </cell>
          <cell r="BE510">
            <v>5.9368101933451649E-2</v>
          </cell>
          <cell r="BF510">
            <v>0.21578399658203126</v>
          </cell>
          <cell r="BG510">
            <v>0</v>
          </cell>
        </row>
        <row r="511">
          <cell r="D511" t="str">
            <v>中药</v>
          </cell>
          <cell r="M511">
            <v>173.31355600000001</v>
          </cell>
          <cell r="N511">
            <v>130.59866821372918</v>
          </cell>
          <cell r="O511" t="str">
            <v>医疗保健</v>
          </cell>
          <cell r="P511" t="str">
            <v>制药、生物科技与生命科学</v>
          </cell>
          <cell r="Q511" t="str">
            <v>制药</v>
          </cell>
          <cell r="BC511">
            <v>4.2390194075587431E-2</v>
          </cell>
          <cell r="BD511">
            <v>3.106845162919921E-2</v>
          </cell>
          <cell r="BE511">
            <v>0</v>
          </cell>
          <cell r="BF511">
            <v>0</v>
          </cell>
          <cell r="BG511">
            <v>0</v>
          </cell>
        </row>
        <row r="512">
          <cell r="D512" t="str">
            <v>西药</v>
          </cell>
          <cell r="M512">
            <v>166.08825000000002</v>
          </cell>
          <cell r="N512">
            <v>125.15063835600002</v>
          </cell>
          <cell r="O512" t="str">
            <v>医疗保健</v>
          </cell>
          <cell r="P512" t="str">
            <v>制药、生物科技与生命科学</v>
          </cell>
          <cell r="Q512" t="str">
            <v>制药</v>
          </cell>
          <cell r="BC512">
            <v>2.6237833262801567E-2</v>
          </cell>
          <cell r="BD512">
            <v>-5.8618012422360304E-2</v>
          </cell>
          <cell r="BE512">
            <v>-0.29279731590028396</v>
          </cell>
          <cell r="BF512">
            <v>-3.3468000888824463E-2</v>
          </cell>
          <cell r="BG512">
            <v>8.5620002746582033E-2</v>
          </cell>
        </row>
        <row r="513">
          <cell r="D513" t="str">
            <v>纸制品</v>
          </cell>
          <cell r="M513">
            <v>40.066598591999998</v>
          </cell>
          <cell r="N513">
            <v>30.184905301249536</v>
          </cell>
          <cell r="O513" t="str">
            <v>材料</v>
          </cell>
          <cell r="P513" t="str">
            <v>材料Ⅱ</v>
          </cell>
          <cell r="Q513" t="str">
            <v>纸与林木产品</v>
          </cell>
          <cell r="BC513">
            <v>1.0159651669085673E-2</v>
          </cell>
          <cell r="BD513">
            <v>4.5045045045045015E-2</v>
          </cell>
          <cell r="BE513">
            <v>6.0167555217060097E-2</v>
          </cell>
          <cell r="BF513">
            <v>0.47762401580810548</v>
          </cell>
          <cell r="BG513">
            <v>0.33073200225830079</v>
          </cell>
        </row>
        <row r="514">
          <cell r="D514" t="str">
            <v>基础化工</v>
          </cell>
          <cell r="M514">
            <v>64.538884478399993</v>
          </cell>
          <cell r="N514">
            <v>48.577215234321372</v>
          </cell>
          <cell r="O514" t="str">
            <v>材料</v>
          </cell>
          <cell r="P514" t="str">
            <v>材料Ⅱ</v>
          </cell>
          <cell r="Q514" t="str">
            <v>化工</v>
          </cell>
          <cell r="BC514">
            <v>5.6542810985460358E-2</v>
          </cell>
          <cell r="BD514">
            <v>2.9921259842519747E-2</v>
          </cell>
          <cell r="BE514">
            <v>-0.14732724902216426</v>
          </cell>
          <cell r="BF514">
            <v>0.31330799102783202</v>
          </cell>
          <cell r="BG514">
            <v>2.6400001049041749E-2</v>
          </cell>
        </row>
        <row r="515">
          <cell r="D515" t="str">
            <v>建材</v>
          </cell>
          <cell r="M515">
            <v>44.901199843800008</v>
          </cell>
          <cell r="N515">
            <v>33.762230487002377</v>
          </cell>
          <cell r="O515" t="str">
            <v>材料</v>
          </cell>
          <cell r="P515" t="str">
            <v>材料Ⅱ</v>
          </cell>
          <cell r="Q515" t="str">
            <v>建材Ⅲ</v>
          </cell>
          <cell r="BC515">
            <v>-1.0537407797681732E-2</v>
          </cell>
          <cell r="BD515">
            <v>-5.0556117290192111E-2</v>
          </cell>
          <cell r="BE515">
            <v>-0.26342739031242846</v>
          </cell>
          <cell r="BF515">
            <v>0.20258399963378906</v>
          </cell>
          <cell r="BG515">
            <v>-5.826000213623047E-2</v>
          </cell>
        </row>
        <row r="516">
          <cell r="D516" t="str">
            <v>机动车零配件与设备</v>
          </cell>
          <cell r="M516">
            <v>82.586489915300007</v>
          </cell>
          <cell r="N516">
            <v>62.094994131486395</v>
          </cell>
          <cell r="O516" t="str">
            <v>可选消费</v>
          </cell>
          <cell r="P516" t="str">
            <v>汽车与汽车零部件</v>
          </cell>
          <cell r="Q516" t="str">
            <v>汽车零配件</v>
          </cell>
          <cell r="BC516">
            <v>8.7346553352219136E-2</v>
          </cell>
          <cell r="BD516">
            <v>9.0435606060606064E-2</v>
          </cell>
          <cell r="BE516">
            <v>0.189731189228494</v>
          </cell>
          <cell r="BF516">
            <v>0.46621200561523435</v>
          </cell>
          <cell r="BG516">
            <v>0.26300399780273437</v>
          </cell>
        </row>
        <row r="517">
          <cell r="D517" t="str">
            <v>出版</v>
          </cell>
          <cell r="M517">
            <v>196.09746209480002</v>
          </cell>
          <cell r="N517">
            <v>147.31285362493767</v>
          </cell>
          <cell r="O517" t="str">
            <v>可选消费</v>
          </cell>
          <cell r="P517" t="str">
            <v>媒体Ⅱ</v>
          </cell>
          <cell r="Q517" t="str">
            <v>媒体Ⅲ</v>
          </cell>
          <cell r="BC517">
            <v>4.0261153427638849E-2</v>
          </cell>
          <cell r="BD517">
            <v>-3.5317860746720449E-2</v>
          </cell>
          <cell r="BE517">
            <v>-0.35337137126893919</v>
          </cell>
          <cell r="BF517">
            <v>-6.9840002059936524E-3</v>
          </cell>
          <cell r="BG517">
            <v>0.20493600845336915</v>
          </cell>
        </row>
        <row r="518">
          <cell r="D518" t="str">
            <v>酒店、度假村与豪华游轮</v>
          </cell>
          <cell r="M518">
            <v>436.57353163839997</v>
          </cell>
          <cell r="N518">
            <v>327.41598847086232</v>
          </cell>
          <cell r="O518" t="str">
            <v>可选消费</v>
          </cell>
          <cell r="P518" t="str">
            <v>消费者服务Ⅱ</v>
          </cell>
          <cell r="Q518" t="str">
            <v>酒店、餐馆与休闲Ⅲ</v>
          </cell>
          <cell r="BC518">
            <v>4.0413111809609274E-3</v>
          </cell>
          <cell r="BD518">
            <v>-6.1490031479538299E-2</v>
          </cell>
          <cell r="BE518">
            <v>-0.12305936061067337</v>
          </cell>
          <cell r="BF518">
            <v>0.11966400146484375</v>
          </cell>
          <cell r="BG518">
            <v>0.13392000198364257</v>
          </cell>
        </row>
        <row r="519">
          <cell r="D519" t="str">
            <v>通信设备</v>
          </cell>
          <cell r="M519">
            <v>107.03548224999999</v>
          </cell>
          <cell r="N519">
            <v>80.262824612693748</v>
          </cell>
          <cell r="O519" t="str">
            <v>信息技术</v>
          </cell>
          <cell r="P519" t="str">
            <v>技术硬件与设备</v>
          </cell>
          <cell r="Q519" t="str">
            <v>通信设备Ⅲ</v>
          </cell>
          <cell r="BC519">
            <v>3.8314176245209911E-3</v>
          </cell>
          <cell r="BD519">
            <v>2.8661170003926206E-2</v>
          </cell>
          <cell r="BE519">
            <v>0.16869250766660496</v>
          </cell>
          <cell r="BF519">
            <v>0.84080398559570313</v>
          </cell>
          <cell r="BG519">
            <v>0</v>
          </cell>
        </row>
        <row r="520">
          <cell r="D520" t="str">
            <v>西药</v>
          </cell>
          <cell r="M520">
            <v>926.9750482088001</v>
          </cell>
          <cell r="N520">
            <v>695.08628999863413</v>
          </cell>
          <cell r="O520" t="str">
            <v>医疗保健</v>
          </cell>
          <cell r="P520" t="str">
            <v>制药、生物科技与生命科学</v>
          </cell>
          <cell r="Q520" t="str">
            <v>制药</v>
          </cell>
          <cell r="BC520">
            <v>-5.6663168940188045E-3</v>
          </cell>
          <cell r="BD520">
            <v>9.1586794462193751E-3</v>
          </cell>
          <cell r="BE520">
            <v>0.36419279799370763</v>
          </cell>
          <cell r="BF520">
            <v>0.32990398406982424</v>
          </cell>
          <cell r="BG520">
            <v>0.20214000701904297</v>
          </cell>
        </row>
        <row r="521">
          <cell r="D521" t="str">
            <v>广告</v>
          </cell>
          <cell r="M521">
            <v>205.66954887450001</v>
          </cell>
          <cell r="N521">
            <v>154.21452956882231</v>
          </cell>
          <cell r="O521" t="str">
            <v>可选消费</v>
          </cell>
          <cell r="P521" t="str">
            <v>媒体Ⅱ</v>
          </cell>
          <cell r="Q521" t="str">
            <v>媒体Ⅲ</v>
          </cell>
          <cell r="BC521">
            <v>5.6547619047619076E-2</v>
          </cell>
          <cell r="BD521">
            <v>7.2507552870090697E-2</v>
          </cell>
          <cell r="BE521">
            <v>-0.38984075595386053</v>
          </cell>
          <cell r="BF521">
            <v>-0.10553999900817872</v>
          </cell>
          <cell r="BG521">
            <v>0.36234001159667967</v>
          </cell>
        </row>
        <row r="522">
          <cell r="D522" t="str">
            <v>中药</v>
          </cell>
          <cell r="M522">
            <v>625.1522507154001</v>
          </cell>
          <cell r="N522">
            <v>467.90543558161096</v>
          </cell>
          <cell r="O522" t="str">
            <v>医疗保健</v>
          </cell>
          <cell r="P522" t="str">
            <v>制药、生物科技与生命科学</v>
          </cell>
          <cell r="Q522" t="str">
            <v>制药</v>
          </cell>
          <cell r="BC522">
            <v>-1.2664473684210462E-2</v>
          </cell>
          <cell r="BD522">
            <v>-2.3267409007811297E-3</v>
          </cell>
          <cell r="BE522">
            <v>-8.9317553118262435E-2</v>
          </cell>
          <cell r="BF522">
            <v>2.3856000900268556E-2</v>
          </cell>
          <cell r="BG522">
            <v>0.11205599784851074</v>
          </cell>
        </row>
        <row r="523">
          <cell r="D523" t="str">
            <v>特种化工</v>
          </cell>
          <cell r="M523">
            <v>113.51699749999999</v>
          </cell>
          <cell r="N523">
            <v>84.959946164609065</v>
          </cell>
          <cell r="O523" t="str">
            <v>材料</v>
          </cell>
          <cell r="P523" t="str">
            <v>材料Ⅱ</v>
          </cell>
          <cell r="Q523" t="str">
            <v>化工</v>
          </cell>
          <cell r="BC523">
            <v>8.9722675367047311E-2</v>
          </cell>
          <cell r="BD523">
            <v>-0.11452810180275717</v>
          </cell>
          <cell r="BE523">
            <v>0.62600250875563979</v>
          </cell>
          <cell r="BF523">
            <v>0.52261199951171877</v>
          </cell>
          <cell r="BG523">
            <v>0</v>
          </cell>
        </row>
        <row r="524">
          <cell r="D524" t="str">
            <v>电子元件</v>
          </cell>
          <cell r="M524">
            <v>206.48185074680001</v>
          </cell>
          <cell r="N524">
            <v>154.37737935840894</v>
          </cell>
          <cell r="O524" t="str">
            <v>信息技术</v>
          </cell>
          <cell r="P524" t="str">
            <v>技术硬件与设备</v>
          </cell>
          <cell r="Q524" t="str">
            <v>电子设备、仪器和元件</v>
          </cell>
          <cell r="BC524">
            <v>3.8170251438958046E-2</v>
          </cell>
          <cell r="BD524">
            <v>1.812240047534185E-2</v>
          </cell>
          <cell r="BE524">
            <v>0.42877426463560436</v>
          </cell>
          <cell r="BF524">
            <v>0.58389598846435542</v>
          </cell>
          <cell r="BG524">
            <v>0.25519199371337892</v>
          </cell>
        </row>
        <row r="525">
          <cell r="D525" t="str">
            <v>纸制品</v>
          </cell>
          <cell r="M525">
            <v>52.773776138799988</v>
          </cell>
          <cell r="N525">
            <v>39.443673202890473</v>
          </cell>
          <cell r="O525" t="str">
            <v>材料</v>
          </cell>
          <cell r="P525" t="str">
            <v>材料Ⅱ</v>
          </cell>
          <cell r="Q525" t="str">
            <v>纸与林木产品</v>
          </cell>
          <cell r="BC525">
            <v>2.2172949002216822E-3</v>
          </cell>
          <cell r="BD525">
            <v>0</v>
          </cell>
          <cell r="BE525">
            <v>-0.14050747994464374</v>
          </cell>
          <cell r="BF525">
            <v>0.3018000030517578</v>
          </cell>
          <cell r="BG525">
            <v>9.120000153779984E-4</v>
          </cell>
        </row>
        <row r="526">
          <cell r="D526" t="str">
            <v>通信设备</v>
          </cell>
          <cell r="M526">
            <v>191.21287280059997</v>
          </cell>
          <cell r="N526">
            <v>142.91065872883274</v>
          </cell>
          <cell r="O526" t="str">
            <v>信息技术</v>
          </cell>
          <cell r="P526" t="str">
            <v>技术硬件与设备</v>
          </cell>
          <cell r="Q526" t="str">
            <v>通信设备Ⅲ</v>
          </cell>
          <cell r="BC526">
            <v>3.2876712328766423E-3</v>
          </cell>
          <cell r="BD526">
            <v>4.2117245304496211E-2</v>
          </cell>
          <cell r="BE526">
            <v>1.0087810506022714E-2</v>
          </cell>
          <cell r="BF526">
            <v>0.27404399871826174</v>
          </cell>
          <cell r="BG526">
            <v>9.441599845886231E-2</v>
          </cell>
        </row>
        <row r="527">
          <cell r="D527" t="str">
            <v>药品零售</v>
          </cell>
          <cell r="M527">
            <v>129.19670983999998</v>
          </cell>
          <cell r="N527">
            <v>96.480003457687999</v>
          </cell>
          <cell r="O527" t="str">
            <v>日常消费</v>
          </cell>
          <cell r="P527" t="str">
            <v>食品与主要用品零售Ⅱ</v>
          </cell>
          <cell r="Q527" t="str">
            <v>食品与主要用品零售Ⅲ</v>
          </cell>
          <cell r="BC527">
            <v>7.8431372549017935E-4</v>
          </cell>
          <cell r="BD527">
            <v>-5.3412462908011916E-2</v>
          </cell>
          <cell r="BE527">
            <v>-0.28496215299465422</v>
          </cell>
          <cell r="BF527">
            <v>0.10322400093078614</v>
          </cell>
          <cell r="BG527">
            <v>0.1545479965209961</v>
          </cell>
        </row>
        <row r="528">
          <cell r="D528" t="str">
            <v>轮胎与橡胶</v>
          </cell>
          <cell r="M528">
            <v>35.513009707999998</v>
          </cell>
          <cell r="N528">
            <v>26.506969948307546</v>
          </cell>
          <cell r="O528" t="str">
            <v>可选消费</v>
          </cell>
          <cell r="P528" t="str">
            <v>汽车与汽车零部件</v>
          </cell>
          <cell r="Q528" t="str">
            <v>汽车零配件</v>
          </cell>
          <cell r="BC528">
            <v>4.0871934604904632E-2</v>
          </cell>
          <cell r="BD528">
            <v>5.0605060506050702E-2</v>
          </cell>
          <cell r="BE528">
            <v>-0.20725048654763953</v>
          </cell>
          <cell r="BF528">
            <v>0.19852800369262696</v>
          </cell>
          <cell r="BG528">
            <v>0</v>
          </cell>
        </row>
        <row r="529">
          <cell r="D529" t="str">
            <v>信息科技咨询与其它服务</v>
          </cell>
          <cell r="M529">
            <v>104.59619853760002</v>
          </cell>
          <cell r="N529">
            <v>78.048681394046952</v>
          </cell>
          <cell r="O529" t="str">
            <v>信息技术</v>
          </cell>
          <cell r="P529" t="str">
            <v>软件与服务</v>
          </cell>
          <cell r="Q529" t="str">
            <v>信息技术服务</v>
          </cell>
          <cell r="BC529">
            <v>2.3255813953488434E-2</v>
          </cell>
          <cell r="BD529">
            <v>4.7619047619047748E-2</v>
          </cell>
          <cell r="BE529">
            <v>0.20906514194535358</v>
          </cell>
          <cell r="BF529">
            <v>0.63675598144531254</v>
          </cell>
          <cell r="BG529">
            <v>0.39573600769042971</v>
          </cell>
        </row>
        <row r="530">
          <cell r="D530" t="str">
            <v>工业机械</v>
          </cell>
          <cell r="M530">
            <v>128.35113638940001</v>
          </cell>
          <cell r="N530">
            <v>95.695369659508955</v>
          </cell>
          <cell r="O530" t="str">
            <v>工业</v>
          </cell>
          <cell r="P530" t="str">
            <v>资本货物</v>
          </cell>
          <cell r="Q530" t="str">
            <v>机械</v>
          </cell>
          <cell r="BC530">
            <v>2.121212121212112E-2</v>
          </cell>
          <cell r="BD530">
            <v>-2.6480500722195509E-2</v>
          </cell>
          <cell r="BE530">
            <v>-5.0530664496375589E-2</v>
          </cell>
          <cell r="BF530">
            <v>0.50805599212646479</v>
          </cell>
          <cell r="BG530">
            <v>0.24553199768066405</v>
          </cell>
        </row>
        <row r="531">
          <cell r="D531" t="str">
            <v>工业机械</v>
          </cell>
          <cell r="M531">
            <v>41.12256</v>
          </cell>
          <cell r="N531">
            <v>30.648302095165555</v>
          </cell>
          <cell r="O531" t="str">
            <v>工业</v>
          </cell>
          <cell r="P531" t="str">
            <v>资本货物</v>
          </cell>
          <cell r="Q531" t="str">
            <v>机械</v>
          </cell>
          <cell r="BC531">
            <v>4.7095761381476054E-3</v>
          </cell>
          <cell r="BD531">
            <v>-1.2345679012345689E-2</v>
          </cell>
          <cell r="BE531">
            <v>-6.3767125999974361E-2</v>
          </cell>
          <cell r="BF531">
            <v>8.5332002639770504E-2</v>
          </cell>
          <cell r="BG531">
            <v>0.10687199592590332</v>
          </cell>
        </row>
        <row r="532">
          <cell r="D532" t="str">
            <v>建筑机械与重型卡车</v>
          </cell>
          <cell r="M532">
            <v>197.56325628000002</v>
          </cell>
          <cell r="N532">
            <v>147.23341354488892</v>
          </cell>
          <cell r="O532" t="str">
            <v>工业</v>
          </cell>
          <cell r="P532" t="str">
            <v>资本货物</v>
          </cell>
          <cell r="Q532" t="str">
            <v>机械</v>
          </cell>
          <cell r="BC532">
            <v>6.7114093959732106E-3</v>
          </cell>
          <cell r="BD532">
            <v>-1.3157894736842021E-2</v>
          </cell>
          <cell r="BE532">
            <v>-0.42455242966751922</v>
          </cell>
          <cell r="BF532">
            <v>0.23645999908447266</v>
          </cell>
          <cell r="BG532">
            <v>-5.8776001930236819E-2</v>
          </cell>
        </row>
        <row r="533">
          <cell r="D533" t="str">
            <v>工业机械</v>
          </cell>
          <cell r="M533">
            <v>50.607497419200001</v>
          </cell>
          <cell r="N533">
            <v>37.702810318045145</v>
          </cell>
          <cell r="O533" t="str">
            <v>工业</v>
          </cell>
          <cell r="P533" t="str">
            <v>资本货物</v>
          </cell>
          <cell r="Q533" t="str">
            <v>机械</v>
          </cell>
          <cell r="BC533">
            <v>-4.4453034402783226E-2</v>
          </cell>
          <cell r="BD533">
            <v>-0.16486486486486493</v>
          </cell>
          <cell r="BE533">
            <v>0.66555964645953636</v>
          </cell>
          <cell r="BF533">
            <v>0.76325996398925777</v>
          </cell>
          <cell r="BG533">
            <v>0</v>
          </cell>
        </row>
        <row r="534">
          <cell r="D534" t="str">
            <v>建材</v>
          </cell>
          <cell r="M534">
            <v>65.212490279999997</v>
          </cell>
          <cell r="N534">
            <v>48.544021605666664</v>
          </cell>
          <cell r="O534" t="str">
            <v>材料</v>
          </cell>
          <cell r="P534" t="str">
            <v>材料Ⅱ</v>
          </cell>
          <cell r="Q534" t="str">
            <v>建材Ⅲ</v>
          </cell>
          <cell r="BC534">
            <v>2.2421524663676653E-3</v>
          </cell>
          <cell r="BD534">
            <v>-4.0772532188841283E-2</v>
          </cell>
          <cell r="BE534">
            <v>-0.12695312500000006</v>
          </cell>
          <cell r="BF534">
            <v>0.27643199920654299</v>
          </cell>
          <cell r="BG534">
            <v>-3.5016000270843506E-2</v>
          </cell>
        </row>
        <row r="535">
          <cell r="D535" t="str">
            <v>百货商店</v>
          </cell>
          <cell r="M535">
            <v>227.9528948231</v>
          </cell>
          <cell r="N535">
            <v>169.58604214322548</v>
          </cell>
          <cell r="O535" t="str">
            <v>可选消费</v>
          </cell>
          <cell r="P535" t="str">
            <v>零售业</v>
          </cell>
          <cell r="Q535" t="str">
            <v>多元化零售</v>
          </cell>
          <cell r="BC535">
            <v>9.9046221570065866E-3</v>
          </cell>
          <cell r="BD535">
            <v>-7.9264214046822656E-2</v>
          </cell>
          <cell r="BE535">
            <v>0.80870205664658379</v>
          </cell>
          <cell r="BF535">
            <v>0.93349197387695315</v>
          </cell>
          <cell r="BG535">
            <v>0.42339599609375</v>
          </cell>
        </row>
        <row r="536">
          <cell r="D536" t="str">
            <v>房地产开发</v>
          </cell>
          <cell r="M536">
            <v>142.088244</v>
          </cell>
          <cell r="N536">
            <v>105.67731542083952</v>
          </cell>
          <cell r="O536" t="str">
            <v>金融</v>
          </cell>
          <cell r="P536" t="str">
            <v>房地产</v>
          </cell>
          <cell r="Q536" t="str">
            <v>房地产管理与开发</v>
          </cell>
          <cell r="BC536">
            <v>-9.3896713615023563E-3</v>
          </cell>
          <cell r="BD536">
            <v>0</v>
          </cell>
          <cell r="BE536">
            <v>-0.24951175972325434</v>
          </cell>
          <cell r="BF536">
            <v>0.38607601165771482</v>
          </cell>
          <cell r="BG536">
            <v>0.10338000297546386</v>
          </cell>
        </row>
        <row r="537">
          <cell r="D537" t="str">
            <v>百货商店</v>
          </cell>
          <cell r="M537">
            <v>55.296479000000005</v>
          </cell>
          <cell r="N537">
            <v>41.124851616125</v>
          </cell>
          <cell r="O537" t="str">
            <v>可选消费</v>
          </cell>
          <cell r="P537" t="str">
            <v>零售业</v>
          </cell>
          <cell r="Q537" t="str">
            <v>多元化零售</v>
          </cell>
          <cell r="BC537">
            <v>4.8895899053627838E-2</v>
          </cell>
          <cell r="BD537">
            <v>-3.4132171387073265E-2</v>
          </cell>
          <cell r="BE537">
            <v>-6.6562486534687618E-2</v>
          </cell>
          <cell r="BF537">
            <v>0.18091199874877931</v>
          </cell>
          <cell r="BG537">
            <v>0</v>
          </cell>
        </row>
        <row r="538">
          <cell r="D538" t="str">
            <v>消费电子产品</v>
          </cell>
          <cell r="M538">
            <v>232.04624602769999</v>
          </cell>
          <cell r="N538">
            <v>172.46896164738109</v>
          </cell>
          <cell r="O538" t="str">
            <v>可选消费</v>
          </cell>
          <cell r="P538" t="str">
            <v>耐用消费品与服装</v>
          </cell>
          <cell r="Q538" t="str">
            <v>家庭耐用消费品</v>
          </cell>
          <cell r="BC538">
            <v>2.1571648690292846E-2</v>
          </cell>
          <cell r="BD538">
            <v>3.5937500000000067E-2</v>
          </cell>
          <cell r="BE538">
            <v>0.49702291430687151</v>
          </cell>
          <cell r="BF538">
            <v>0.53638801574707029</v>
          </cell>
          <cell r="BG538">
            <v>0.3267599868774414</v>
          </cell>
        </row>
        <row r="539">
          <cell r="D539" t="str">
            <v>电子元件</v>
          </cell>
          <cell r="M539">
            <v>115.45289999999999</v>
          </cell>
          <cell r="N539">
            <v>85.79609725539089</v>
          </cell>
          <cell r="O539" t="str">
            <v>信息技术</v>
          </cell>
          <cell r="P539" t="str">
            <v>技术硬件与设备</v>
          </cell>
          <cell r="Q539" t="str">
            <v>电子设备、仪器和元件</v>
          </cell>
          <cell r="BC539">
            <v>3.0554343081623712E-2</v>
          </cell>
          <cell r="BD539">
            <v>-2.1549937836717763E-2</v>
          </cell>
          <cell r="BE539">
            <v>-0.1314833457921796</v>
          </cell>
          <cell r="BF539">
            <v>0</v>
          </cell>
          <cell r="BG539">
            <v>0</v>
          </cell>
        </row>
        <row r="540">
          <cell r="D540" t="str">
            <v>海港与服务</v>
          </cell>
          <cell r="M540">
            <v>52.303499999999993</v>
          </cell>
          <cell r="N540">
            <v>38.859408722499992</v>
          </cell>
          <cell r="O540" t="str">
            <v>工业</v>
          </cell>
          <cell r="P540" t="str">
            <v>运输</v>
          </cell>
          <cell r="Q540" t="str">
            <v>交通基础设施</v>
          </cell>
          <cell r="BC540">
            <v>4.3432203389830525E-2</v>
          </cell>
          <cell r="BD540">
            <v>0.11173814898419868</v>
          </cell>
          <cell r="BE540">
            <v>-0.45929129663000917</v>
          </cell>
          <cell r="BF540">
            <v>0.32114398956298829</v>
          </cell>
          <cell r="BG540">
            <v>0.14287199974060058</v>
          </cell>
        </row>
        <row r="541">
          <cell r="D541" t="str">
            <v>金属非金属</v>
          </cell>
          <cell r="M541">
            <v>124.18510269589999</v>
          </cell>
          <cell r="N541">
            <v>92.249871634829603</v>
          </cell>
          <cell r="O541" t="str">
            <v>材料</v>
          </cell>
          <cell r="P541" t="str">
            <v>材料Ⅱ</v>
          </cell>
          <cell r="Q541" t="str">
            <v>金属、非金属与采矿</v>
          </cell>
          <cell r="BC541">
            <v>-1.4588859416445665E-2</v>
          </cell>
          <cell r="BD541">
            <v>-7.4719800747197973E-2</v>
          </cell>
          <cell r="BE541">
            <v>-0.27127029760607424</v>
          </cell>
          <cell r="BF541">
            <v>0.23406000137329103</v>
          </cell>
          <cell r="BG541">
            <v>0.18182399749755859</v>
          </cell>
        </row>
        <row r="542">
          <cell r="D542" t="str">
            <v>家用器具与特殊消费品</v>
          </cell>
          <cell r="M542">
            <v>192.5839197084</v>
          </cell>
          <cell r="N542">
            <v>143.05423517097836</v>
          </cell>
          <cell r="O542" t="str">
            <v>可选消费</v>
          </cell>
          <cell r="P542" t="str">
            <v>耐用消费品与服装</v>
          </cell>
          <cell r="Q542" t="str">
            <v>家庭耐用消费品</v>
          </cell>
          <cell r="BC542">
            <v>3.292600135777321E-2</v>
          </cell>
          <cell r="BD542">
            <v>0.12954714179658494</v>
          </cell>
          <cell r="BE542">
            <v>0.57338774815762505</v>
          </cell>
          <cell r="BF542">
            <v>0.43677600860595706</v>
          </cell>
          <cell r="BG542">
            <v>0.11406000137329102</v>
          </cell>
        </row>
        <row r="543">
          <cell r="D543" t="str">
            <v>鞋类</v>
          </cell>
          <cell r="M543">
            <v>87.453738000000001</v>
          </cell>
          <cell r="N543">
            <v>64.955385017666501</v>
          </cell>
          <cell r="O543" t="str">
            <v>可选消费</v>
          </cell>
          <cell r="P543" t="str">
            <v>耐用消费品与服装</v>
          </cell>
          <cell r="Q543" t="str">
            <v>纺织品、服装与奢侈品</v>
          </cell>
          <cell r="BC543">
            <v>2.7803958529688966E-2</v>
          </cell>
          <cell r="BD543">
            <v>-7.9358379062895834E-2</v>
          </cell>
          <cell r="BE543">
            <v>-1.3862659154583023E-2</v>
          </cell>
          <cell r="BF543">
            <v>0.29511600494384765</v>
          </cell>
          <cell r="BG543">
            <v>0</v>
          </cell>
        </row>
        <row r="544">
          <cell r="D544" t="str">
            <v>机动车零配件与设备</v>
          </cell>
          <cell r="M544">
            <v>37.584000000000003</v>
          </cell>
          <cell r="N544">
            <v>27.909097273034725</v>
          </cell>
          <cell r="O544" t="str">
            <v>可选消费</v>
          </cell>
          <cell r="P544" t="str">
            <v>汽车与汽车零部件</v>
          </cell>
          <cell r="Q544" t="str">
            <v>汽车零配件</v>
          </cell>
          <cell r="BC544">
            <v>1.7543859649122823E-2</v>
          </cell>
          <cell r="BD544">
            <v>2.1598272138228479E-3</v>
          </cell>
          <cell r="BE544">
            <v>-6.6492379761265222E-2</v>
          </cell>
          <cell r="BF544">
            <v>0.29124000549316409</v>
          </cell>
          <cell r="BG544">
            <v>0</v>
          </cell>
        </row>
        <row r="545">
          <cell r="D545" t="str">
            <v>电气部件与设备</v>
          </cell>
          <cell r="M545">
            <v>122.90963506199999</v>
          </cell>
          <cell r="N545">
            <v>91.268723403326149</v>
          </cell>
          <cell r="O545" t="str">
            <v>工业</v>
          </cell>
          <cell r="P545" t="str">
            <v>资本货物</v>
          </cell>
          <cell r="Q545" t="str">
            <v>电气设备</v>
          </cell>
          <cell r="BC545">
            <v>2.8909329829172149E-2</v>
          </cell>
          <cell r="BD545">
            <v>0.10593220338983052</v>
          </cell>
          <cell r="BE545">
            <v>5.3695799739834044E-2</v>
          </cell>
          <cell r="BF545">
            <v>0.72008399963378911</v>
          </cell>
          <cell r="BG545">
            <v>0.42088798522949217</v>
          </cell>
        </row>
        <row r="546">
          <cell r="D546" t="str">
            <v>电子设备和仪器</v>
          </cell>
          <cell r="M546">
            <v>34.231200000000001</v>
          </cell>
          <cell r="N546">
            <v>25.411719226060551</v>
          </cell>
          <cell r="O546" t="str">
            <v>信息技术</v>
          </cell>
          <cell r="P546" t="str">
            <v>技术硬件与设备</v>
          </cell>
          <cell r="Q546" t="str">
            <v>电子设备、仪器和元件</v>
          </cell>
          <cell r="BC546">
            <v>3.3251231527093632E-2</v>
          </cell>
          <cell r="BD546">
            <v>-5.9838637382339639E-2</v>
          </cell>
          <cell r="BE546">
            <v>0</v>
          </cell>
          <cell r="BF546">
            <v>0</v>
          </cell>
          <cell r="BG546">
            <v>0</v>
          </cell>
        </row>
        <row r="547">
          <cell r="D547" t="str">
            <v>石油与天然气的炼制和销售</v>
          </cell>
          <cell r="M547">
            <v>167.68624576480002</v>
          </cell>
          <cell r="N547">
            <v>124.43264652459494</v>
          </cell>
          <cell r="O547" t="str">
            <v>能源</v>
          </cell>
          <cell r="P547" t="str">
            <v>能源Ⅱ</v>
          </cell>
          <cell r="Q547" t="str">
            <v>石油、天然气与供消费用燃料</v>
          </cell>
          <cell r="BC547">
            <v>8.3263946711073806E-3</v>
          </cell>
          <cell r="BD547">
            <v>7.5011096316022971E-2</v>
          </cell>
          <cell r="BE547">
            <v>-0.11854232546833225</v>
          </cell>
          <cell r="BF547">
            <v>0.48139198303222658</v>
          </cell>
          <cell r="BG547">
            <v>0.38594398498535154</v>
          </cell>
        </row>
        <row r="548">
          <cell r="D548" t="str">
            <v>百货商店</v>
          </cell>
          <cell r="M548">
            <v>102.31802425679999</v>
          </cell>
          <cell r="N548">
            <v>75.88695943978837</v>
          </cell>
          <cell r="O548" t="str">
            <v>可选消费</v>
          </cell>
          <cell r="P548" t="str">
            <v>零售业</v>
          </cell>
          <cell r="Q548" t="str">
            <v>多元化零售</v>
          </cell>
          <cell r="BC548">
            <v>5.1355206847360828E-2</v>
          </cell>
          <cell r="BD548">
            <v>6.3492063492063502E-2</v>
          </cell>
          <cell r="BE548">
            <v>-5.9164222552948377E-2</v>
          </cell>
          <cell r="BF548">
            <v>0.10206000328063965</v>
          </cell>
          <cell r="BG548">
            <v>-6.7620000839233405E-2</v>
          </cell>
        </row>
        <row r="549">
          <cell r="D549" t="str">
            <v>铝</v>
          </cell>
          <cell r="M549">
            <v>92.301641359000001</v>
          </cell>
          <cell r="N549">
            <v>68.454201227083345</v>
          </cell>
          <cell r="O549" t="str">
            <v>材料</v>
          </cell>
          <cell r="P549" t="str">
            <v>材料Ⅱ</v>
          </cell>
          <cell r="Q549" t="str">
            <v>金属、非金属与采矿</v>
          </cell>
          <cell r="BC549">
            <v>-2.2140221402214041E-2</v>
          </cell>
          <cell r="BD549">
            <v>4.3307086614173179E-2</v>
          </cell>
          <cell r="BE549">
            <v>-0.26694329183955745</v>
          </cell>
          <cell r="BF549">
            <v>0.41757598876953123</v>
          </cell>
          <cell r="BG549">
            <v>-2.9375998973846434E-2</v>
          </cell>
        </row>
        <row r="550">
          <cell r="D550" t="str">
            <v>化纤</v>
          </cell>
          <cell r="M550">
            <v>32.197983999999998</v>
          </cell>
          <cell r="N550">
            <v>23.870554346521605</v>
          </cell>
          <cell r="O550" t="str">
            <v>材料</v>
          </cell>
          <cell r="P550" t="str">
            <v>材料Ⅱ</v>
          </cell>
          <cell r="Q550" t="str">
            <v>化工</v>
          </cell>
          <cell r="BC550">
            <v>1.3755158184320048E-3</v>
          </cell>
          <cell r="BD550">
            <v>-1.8867924528301844E-2</v>
          </cell>
          <cell r="BE550">
            <v>-0.24087591240875908</v>
          </cell>
          <cell r="BF550">
            <v>0.18596399307250977</v>
          </cell>
          <cell r="BG550">
            <v>-4.3680000305175784E-3</v>
          </cell>
        </row>
        <row r="551">
          <cell r="D551" t="str">
            <v>复合型公用事业</v>
          </cell>
          <cell r="M551">
            <v>263.44229572800003</v>
          </cell>
          <cell r="N551">
            <v>195.0476845984704</v>
          </cell>
          <cell r="O551" t="str">
            <v>公用事业</v>
          </cell>
          <cell r="P551" t="str">
            <v>公用事业Ⅱ</v>
          </cell>
          <cell r="Q551" t="str">
            <v>复合型公用事业Ⅲ</v>
          </cell>
          <cell r="BC551">
            <v>5.8177117000646318E-3</v>
          </cell>
          <cell r="BD551">
            <v>0</v>
          </cell>
          <cell r="BE551">
            <v>8.7068792750984544E-2</v>
          </cell>
          <cell r="BF551">
            <v>0.17304000854492188</v>
          </cell>
          <cell r="BG551">
            <v>0.16208400726318359</v>
          </cell>
        </row>
        <row r="552">
          <cell r="D552" t="str">
            <v>建筑与工程</v>
          </cell>
          <cell r="M552">
            <v>176.90174035180002</v>
          </cell>
          <cell r="N552">
            <v>130.89504440535731</v>
          </cell>
          <cell r="O552" t="str">
            <v>工业</v>
          </cell>
          <cell r="P552" t="str">
            <v>资本货物</v>
          </cell>
          <cell r="Q552" t="str">
            <v>建筑与工程Ⅲ</v>
          </cell>
          <cell r="BC552">
            <v>2.6397515527950298E-2</v>
          </cell>
          <cell r="BD552">
            <v>2.959501557632405E-2</v>
          </cell>
          <cell r="BE552">
            <v>-0.31877037587742668</v>
          </cell>
          <cell r="BF552">
            <v>7.9524002075195319E-2</v>
          </cell>
          <cell r="BG552">
            <v>9.1163997650146489E-2</v>
          </cell>
        </row>
        <row r="553">
          <cell r="D553" t="str">
            <v>电气部件与设备</v>
          </cell>
          <cell r="M553">
            <v>350.01217787909997</v>
          </cell>
          <cell r="N553">
            <v>258.92390477408452</v>
          </cell>
          <cell r="O553" t="str">
            <v>工业</v>
          </cell>
          <cell r="P553" t="str">
            <v>资本货物</v>
          </cell>
          <cell r="Q553" t="str">
            <v>电气设备</v>
          </cell>
          <cell r="BC553">
            <v>6.1901252763448773E-2</v>
          </cell>
          <cell r="BD553">
            <v>8.3974807557733386E-3</v>
          </cell>
          <cell r="BE553">
            <v>-0.19366532871223441</v>
          </cell>
          <cell r="BF553">
            <v>-7.219200134277344E-2</v>
          </cell>
          <cell r="BG553">
            <v>3.7019999027252198E-2</v>
          </cell>
        </row>
        <row r="554">
          <cell r="D554" t="str">
            <v>海港与服务</v>
          </cell>
          <cell r="M554">
            <v>1181.85740715</v>
          </cell>
          <cell r="N554">
            <v>873.77931271467401</v>
          </cell>
          <cell r="O554" t="str">
            <v>工业</v>
          </cell>
          <cell r="P554" t="str">
            <v>运输</v>
          </cell>
          <cell r="Q554" t="str">
            <v>交通基础设施</v>
          </cell>
          <cell r="BC554">
            <v>-7.7821011673151821E-3</v>
          </cell>
          <cell r="BD554">
            <v>1.5936254980079698E-2</v>
          </cell>
          <cell r="BE554">
            <v>-0.33033062411750247</v>
          </cell>
          <cell r="BF554">
            <v>8.8187999725341804E-2</v>
          </cell>
          <cell r="BG554">
            <v>0.13561200141906737</v>
          </cell>
        </row>
        <row r="555">
          <cell r="D555" t="str">
            <v>中药</v>
          </cell>
          <cell r="M555">
            <v>179.42199934960001</v>
          </cell>
          <cell r="N555">
            <v>132.60302101146391</v>
          </cell>
          <cell r="O555" t="str">
            <v>医疗保健</v>
          </cell>
          <cell r="P555" t="str">
            <v>制药、生物科技与生命科学</v>
          </cell>
          <cell r="Q555" t="str">
            <v>制药</v>
          </cell>
          <cell r="BC555">
            <v>-1.5437392795883338E-2</v>
          </cell>
          <cell r="BD555">
            <v>7.996237064910626E-2</v>
          </cell>
          <cell r="BE555">
            <v>-5.1730735186362314E-3</v>
          </cell>
          <cell r="BF555">
            <v>3.446399927139282E-2</v>
          </cell>
          <cell r="BG555">
            <v>0.25453199386596681</v>
          </cell>
        </row>
        <row r="556">
          <cell r="D556" t="str">
            <v>机动车零配件与设备</v>
          </cell>
          <cell r="M556">
            <v>47.999159999999996</v>
          </cell>
          <cell r="N556">
            <v>35.470754745677162</v>
          </cell>
          <cell r="O556" t="str">
            <v>可选消费</v>
          </cell>
          <cell r="P556" t="str">
            <v>汽车与汽车零部件</v>
          </cell>
          <cell r="Q556" t="str">
            <v>汽车零配件</v>
          </cell>
          <cell r="BC556">
            <v>3.856834310398026E-2</v>
          </cell>
          <cell r="BD556">
            <v>-7.9575596816977047E-3</v>
          </cell>
          <cell r="BE556">
            <v>0.11751868741721845</v>
          </cell>
          <cell r="BF556">
            <v>0</v>
          </cell>
          <cell r="BG556">
            <v>0</v>
          </cell>
        </row>
        <row r="557">
          <cell r="D557" t="str">
            <v>工业机械</v>
          </cell>
          <cell r="M557">
            <v>148.92349499999997</v>
          </cell>
          <cell r="N557">
            <v>110.03834942723395</v>
          </cell>
          <cell r="O557" t="str">
            <v>工业</v>
          </cell>
          <cell r="P557" t="str">
            <v>资本货物</v>
          </cell>
          <cell r="Q557" t="str">
            <v>机械</v>
          </cell>
          <cell r="BC557">
            <v>5.6971514242878406E-2</v>
          </cell>
          <cell r="BD557">
            <v>2.3696682464453629E-3</v>
          </cell>
          <cell r="BE557">
            <v>6.4151460724716641E-2</v>
          </cell>
          <cell r="BF557">
            <v>0.5262360000610351</v>
          </cell>
          <cell r="BG557">
            <v>0.21624000549316405</v>
          </cell>
        </row>
        <row r="558">
          <cell r="D558" t="str">
            <v>机动车零配件与设备</v>
          </cell>
          <cell r="M558">
            <v>71.295874999999995</v>
          </cell>
          <cell r="N558">
            <v>52.665496487886301</v>
          </cell>
          <cell r="O558" t="str">
            <v>可选消费</v>
          </cell>
          <cell r="P558" t="str">
            <v>汽车与汽车零部件</v>
          </cell>
          <cell r="Q558" t="str">
            <v>汽车零配件</v>
          </cell>
          <cell r="BC558">
            <v>3.730822873082288E-2</v>
          </cell>
          <cell r="BD558">
            <v>1.7094017094017096E-2</v>
          </cell>
          <cell r="BE558">
            <v>0.10736654347050172</v>
          </cell>
          <cell r="BF558">
            <v>0.42830398559570315</v>
          </cell>
          <cell r="BG558">
            <v>0.19097999572753907</v>
          </cell>
        </row>
        <row r="559">
          <cell r="D559" t="str">
            <v>基础化工</v>
          </cell>
          <cell r="M559">
            <v>53.221520000000005</v>
          </cell>
          <cell r="N559">
            <v>39.314005924962501</v>
          </cell>
          <cell r="O559" t="str">
            <v>材料</v>
          </cell>
          <cell r="P559" t="str">
            <v>材料Ⅱ</v>
          </cell>
          <cell r="Q559" t="str">
            <v>化工</v>
          </cell>
          <cell r="BC559">
            <v>5.7202097816807074E-2</v>
          </cell>
          <cell r="BD559">
            <v>-6.9882002520334444E-3</v>
          </cell>
          <cell r="BE559">
            <v>0</v>
          </cell>
          <cell r="BF559">
            <v>0</v>
          </cell>
          <cell r="BG559">
            <v>0</v>
          </cell>
        </row>
        <row r="560">
          <cell r="D560" t="str">
            <v>电力</v>
          </cell>
          <cell r="M560">
            <v>197.46332999999998</v>
          </cell>
          <cell r="N560">
            <v>145.81983171312501</v>
          </cell>
          <cell r="O560" t="str">
            <v>公用事业</v>
          </cell>
          <cell r="P560" t="str">
            <v>公用事业Ⅱ</v>
          </cell>
          <cell r="Q560" t="str">
            <v>电力Ⅲ</v>
          </cell>
          <cell r="BC560">
            <v>-8.7463556851312668E-3</v>
          </cell>
          <cell r="BD560">
            <v>-3.1339031339031306E-2</v>
          </cell>
          <cell r="BE560">
            <v>-0.23909485997971214</v>
          </cell>
          <cell r="BF560">
            <v>0.37095600128173828</v>
          </cell>
          <cell r="BG560">
            <v>3.9684000015258791E-2</v>
          </cell>
        </row>
        <row r="561">
          <cell r="D561" t="str">
            <v>煤炭与消费用燃料</v>
          </cell>
          <cell r="M561">
            <v>440.00000000000006</v>
          </cell>
          <cell r="N561">
            <v>324.79284661700376</v>
          </cell>
          <cell r="O561" t="str">
            <v>能源</v>
          </cell>
          <cell r="P561" t="str">
            <v>能源Ⅱ</v>
          </cell>
          <cell r="Q561" t="str">
            <v>石油、天然气与供消费用燃料</v>
          </cell>
          <cell r="BC561">
            <v>0</v>
          </cell>
          <cell r="BD561">
            <v>2.2779043280183771E-3</v>
          </cell>
          <cell r="BE561">
            <v>-0.41840569743142464</v>
          </cell>
          <cell r="BF561">
            <v>0.14530799865722657</v>
          </cell>
          <cell r="BG561">
            <v>0</v>
          </cell>
        </row>
        <row r="562">
          <cell r="D562" t="str">
            <v>西药</v>
          </cell>
          <cell r="M562">
            <v>175.02829022700001</v>
          </cell>
          <cell r="N562">
            <v>129.15456934169111</v>
          </cell>
          <cell r="O562" t="str">
            <v>医疗保健</v>
          </cell>
          <cell r="P562" t="str">
            <v>制药、生物科技与生命科学</v>
          </cell>
          <cell r="Q562" t="str">
            <v>制药</v>
          </cell>
          <cell r="BC562">
            <v>3.7647058823529443E-2</v>
          </cell>
          <cell r="BD562">
            <v>2.7285129604366657E-3</v>
          </cell>
          <cell r="BE562">
            <v>-6.6008527624783157E-3</v>
          </cell>
          <cell r="BF562">
            <v>0.13280400276184082</v>
          </cell>
          <cell r="BG562">
            <v>0.17137199401855469</v>
          </cell>
        </row>
        <row r="563">
          <cell r="D563" t="str">
            <v>房地产开发</v>
          </cell>
          <cell r="M563">
            <v>333.06935098660006</v>
          </cell>
          <cell r="N563">
            <v>245.59902621372561</v>
          </cell>
          <cell r="O563" t="str">
            <v>金融</v>
          </cell>
          <cell r="P563" t="str">
            <v>房地产</v>
          </cell>
          <cell r="Q563" t="str">
            <v>房地产管理与开发</v>
          </cell>
          <cell r="BC563">
            <v>5.2493438320210016E-3</v>
          </cell>
          <cell r="BD563">
            <v>3.5135135135135102E-2</v>
          </cell>
          <cell r="BE563">
            <v>-0.1613440958854423</v>
          </cell>
          <cell r="BF563">
            <v>0.42884399414062502</v>
          </cell>
          <cell r="BG563">
            <v>0.21397199630737304</v>
          </cell>
        </row>
        <row r="564">
          <cell r="D564" t="str">
            <v>电气部件与设备</v>
          </cell>
          <cell r="M564">
            <v>33.154387743199997</v>
          </cell>
          <cell r="N564">
            <v>24.429884838609638</v>
          </cell>
          <cell r="O564" t="str">
            <v>工业</v>
          </cell>
          <cell r="P564" t="str">
            <v>资本货物</v>
          </cell>
          <cell r="Q564" t="str">
            <v>电气设备</v>
          </cell>
          <cell r="BC564">
            <v>2.0234291799786953E-2</v>
          </cell>
          <cell r="BD564">
            <v>-6.2240663900415454E-3</v>
          </cell>
          <cell r="BE564">
            <v>-0.1431127012522361</v>
          </cell>
          <cell r="BF564">
            <v>0.21026399612426758</v>
          </cell>
          <cell r="BG564">
            <v>0.11030400276184082</v>
          </cell>
        </row>
        <row r="565">
          <cell r="D565" t="str">
            <v>特种化工</v>
          </cell>
          <cell r="M565">
            <v>93.834548666499998</v>
          </cell>
          <cell r="N565">
            <v>69.13591021526571</v>
          </cell>
          <cell r="O565" t="str">
            <v>材料</v>
          </cell>
          <cell r="P565" t="str">
            <v>材料Ⅱ</v>
          </cell>
          <cell r="Q565" t="str">
            <v>化工</v>
          </cell>
          <cell r="BC565">
            <v>6.3991874047739858E-2</v>
          </cell>
          <cell r="BD565">
            <v>-0.15044606650446071</v>
          </cell>
          <cell r="BE565">
            <v>-0.12141586741164065</v>
          </cell>
          <cell r="BF565">
            <v>0.52934398651123049</v>
          </cell>
          <cell r="BG565">
            <v>0.33825599670410156</v>
          </cell>
        </row>
        <row r="566">
          <cell r="D566" t="str">
            <v>医疗保健设备</v>
          </cell>
          <cell r="M566">
            <v>86.600799999999992</v>
          </cell>
          <cell r="N566">
            <v>63.663058497160485</v>
          </cell>
          <cell r="O566" t="str">
            <v>医疗保健</v>
          </cell>
          <cell r="P566" t="str">
            <v>医疗保健设备与服务</v>
          </cell>
          <cell r="Q566" t="str">
            <v>医疗保健设备与用品</v>
          </cell>
          <cell r="BC566">
            <v>5.1276573015703424E-2</v>
          </cell>
          <cell r="BD566">
            <v>-1.4914914914915004E-2</v>
          </cell>
          <cell r="BE566">
            <v>0</v>
          </cell>
          <cell r="BF566">
            <v>0</v>
          </cell>
          <cell r="BG566">
            <v>0</v>
          </cell>
        </row>
        <row r="567">
          <cell r="D567" t="str">
            <v>房地产经营公司</v>
          </cell>
          <cell r="M567">
            <v>116.03199999999998</v>
          </cell>
          <cell r="N567">
            <v>85.285258839686108</v>
          </cell>
          <cell r="O567" t="str">
            <v>金融</v>
          </cell>
          <cell r="P567" t="str">
            <v>房地产</v>
          </cell>
          <cell r="Q567" t="str">
            <v>房地产管理与开发</v>
          </cell>
          <cell r="BC567">
            <v>7.7821011673151821E-3</v>
          </cell>
          <cell r="BD567">
            <v>-5.5606198723792265E-2</v>
          </cell>
          <cell r="BE567">
            <v>-0.54637105492308613</v>
          </cell>
          <cell r="BF567">
            <v>-8.4972000122070318E-2</v>
          </cell>
          <cell r="BG567">
            <v>4.2732000350952148E-2</v>
          </cell>
        </row>
        <row r="568">
          <cell r="D568" t="str">
            <v>电影与娱乐</v>
          </cell>
          <cell r="M568">
            <v>103.96800000000002</v>
          </cell>
          <cell r="N568">
            <v>76.401651511397958</v>
          </cell>
          <cell r="O568" t="str">
            <v>可选消费</v>
          </cell>
          <cell r="P568" t="str">
            <v>媒体Ⅱ</v>
          </cell>
          <cell r="Q568" t="str">
            <v>媒体Ⅲ</v>
          </cell>
          <cell r="BC568">
            <v>1.8016606611311384E-2</v>
          </cell>
          <cell r="BD568">
            <v>2.9793977812995285E-2</v>
          </cell>
          <cell r="BE568">
            <v>0.3853101981252664</v>
          </cell>
          <cell r="BF568">
            <v>0</v>
          </cell>
          <cell r="BG568">
            <v>0</v>
          </cell>
        </row>
        <row r="569">
          <cell r="D569" t="str">
            <v>钢铁</v>
          </cell>
          <cell r="M569">
            <v>33.632630000000006</v>
          </cell>
          <cell r="N569">
            <v>24.714711050640741</v>
          </cell>
          <cell r="O569" t="str">
            <v>材料</v>
          </cell>
          <cell r="P569" t="str">
            <v>材料Ⅱ</v>
          </cell>
          <cell r="Q569" t="str">
            <v>金属、非金属与采矿</v>
          </cell>
          <cell r="BC569">
            <v>3.4539473684210523E-2</v>
          </cell>
          <cell r="BD569">
            <v>3.1897926634769477E-3</v>
          </cell>
          <cell r="BE569">
            <v>-0.22646842529802397</v>
          </cell>
          <cell r="BF569">
            <v>0.29475599288940429</v>
          </cell>
          <cell r="BG569">
            <v>-5.807999968528748E-3</v>
          </cell>
        </row>
        <row r="570">
          <cell r="D570" t="str">
            <v>煤炭与消费用燃料</v>
          </cell>
          <cell r="M570">
            <v>48.483842287200005</v>
          </cell>
          <cell r="N570">
            <v>35.602861709704939</v>
          </cell>
          <cell r="O570" t="str">
            <v>能源</v>
          </cell>
          <cell r="P570" t="str">
            <v>能源Ⅱ</v>
          </cell>
          <cell r="Q570" t="str">
            <v>石油、天然气与供消费用燃料</v>
          </cell>
          <cell r="BC570">
            <v>-2.2494887525562259E-2</v>
          </cell>
          <cell r="BD570">
            <v>-4.0160642570281159E-2</v>
          </cell>
          <cell r="BE570">
            <v>-0.29939464812087491</v>
          </cell>
          <cell r="BF570">
            <v>0.20932800292968751</v>
          </cell>
          <cell r="BG570">
            <v>-0.1285319995880127</v>
          </cell>
        </row>
        <row r="571">
          <cell r="D571" t="str">
            <v>摄影用品</v>
          </cell>
          <cell r="M571">
            <v>253.32442959999997</v>
          </cell>
          <cell r="N571">
            <v>185.9180326150672</v>
          </cell>
          <cell r="O571" t="str">
            <v>可选消费</v>
          </cell>
          <cell r="P571" t="str">
            <v>耐用消费品与服装</v>
          </cell>
          <cell r="Q571" t="str">
            <v>休闲设备与用品</v>
          </cell>
          <cell r="BC571">
            <v>3.0607966457022927E-2</v>
          </cell>
          <cell r="BD571">
            <v>-1.2190166598943981E-3</v>
          </cell>
          <cell r="BE571">
            <v>-7.7085703877088227E-2</v>
          </cell>
          <cell r="BF571">
            <v>9.4667997360229489E-2</v>
          </cell>
          <cell r="BG571">
            <v>0.34636798858642576</v>
          </cell>
        </row>
        <row r="572">
          <cell r="D572" t="str">
            <v>机场服务</v>
          </cell>
          <cell r="M572">
            <v>153.39755927319999</v>
          </cell>
          <cell r="N572">
            <v>112.42055595896612</v>
          </cell>
          <cell r="O572" t="str">
            <v>工业</v>
          </cell>
          <cell r="P572" t="str">
            <v>运输</v>
          </cell>
          <cell r="Q572" t="str">
            <v>交通基础设施</v>
          </cell>
          <cell r="BC572">
            <v>1.081081081081082E-2</v>
          </cell>
          <cell r="BD572">
            <v>1.7687074829932078E-2</v>
          </cell>
          <cell r="BE572">
            <v>-3.6565238047541609E-2</v>
          </cell>
          <cell r="BF572">
            <v>0.38708400726318359</v>
          </cell>
          <cell r="BG572">
            <v>9.5724000930786132E-2</v>
          </cell>
        </row>
        <row r="573">
          <cell r="D573" t="str">
            <v>机动车零配件与设备</v>
          </cell>
          <cell r="M573">
            <v>52.242246000000002</v>
          </cell>
          <cell r="N573">
            <v>38.277770193840588</v>
          </cell>
          <cell r="O573" t="str">
            <v>可选消费</v>
          </cell>
          <cell r="P573" t="str">
            <v>汽车与汽车零部件</v>
          </cell>
          <cell r="Q573" t="str">
            <v>汽车零配件</v>
          </cell>
          <cell r="BC573">
            <v>4.696531791907517E-2</v>
          </cell>
          <cell r="BD573">
            <v>4.0948275862068985E-2</v>
          </cell>
          <cell r="BE573">
            <v>-0.16768344844769068</v>
          </cell>
          <cell r="BF573">
            <v>0.15639599800109863</v>
          </cell>
          <cell r="BG573">
            <v>0.10719599723815917</v>
          </cell>
        </row>
        <row r="574">
          <cell r="D574" t="str">
            <v>家用电器</v>
          </cell>
          <cell r="M574">
            <v>63.04</v>
          </cell>
          <cell r="N574">
            <v>46.163874517228869</v>
          </cell>
          <cell r="O574" t="str">
            <v>可选消费</v>
          </cell>
          <cell r="P574" t="str">
            <v>耐用消费品与服装</v>
          </cell>
          <cell r="Q574" t="str">
            <v>家庭耐用消费品</v>
          </cell>
          <cell r="BC574">
            <v>4.4614404079031415E-3</v>
          </cell>
          <cell r="BD574">
            <v>-2.4752475247524774E-2</v>
          </cell>
          <cell r="BE574">
            <v>-8.5726208409731205E-2</v>
          </cell>
          <cell r="BF574">
            <v>0.61570800781250001</v>
          </cell>
          <cell r="BG574">
            <v>0</v>
          </cell>
        </row>
        <row r="575">
          <cell r="D575" t="str">
            <v>电子元件</v>
          </cell>
          <cell r="M575">
            <v>505.72469107199998</v>
          </cell>
          <cell r="N575">
            <v>370.33644868840986</v>
          </cell>
          <cell r="O575" t="str">
            <v>信息技术</v>
          </cell>
          <cell r="P575" t="str">
            <v>技术硬件与设备</v>
          </cell>
          <cell r="Q575" t="str">
            <v>电子设备、仪器和元件</v>
          </cell>
          <cell r="BC575">
            <v>1.1213047910295558E-2</v>
          </cell>
          <cell r="BD575">
            <v>4.8071843634442689E-2</v>
          </cell>
          <cell r="BE575">
            <v>6.9042577491169946E-2</v>
          </cell>
          <cell r="BF575">
            <v>0.19351200103759766</v>
          </cell>
          <cell r="BG575">
            <v>0.13545599937438965</v>
          </cell>
        </row>
        <row r="576">
          <cell r="D576" t="str">
            <v>生物科技</v>
          </cell>
          <cell r="M576">
            <v>158.1</v>
          </cell>
          <cell r="N576">
            <v>115.72672071486458</v>
          </cell>
          <cell r="O576" t="str">
            <v>医疗保健</v>
          </cell>
          <cell r="P576" t="str">
            <v>制药、生物科技与生命科学</v>
          </cell>
          <cell r="Q576" t="str">
            <v>生物科技Ⅲ</v>
          </cell>
          <cell r="BC576">
            <v>4.5639069996309428E-2</v>
          </cell>
          <cell r="BD576">
            <v>-2.3213054470236683E-2</v>
          </cell>
          <cell r="BE576">
            <v>0</v>
          </cell>
          <cell r="BF576">
            <v>0</v>
          </cell>
          <cell r="BG576">
            <v>0</v>
          </cell>
        </row>
        <row r="577">
          <cell r="D577" t="str">
            <v>生物科技</v>
          </cell>
          <cell r="M577">
            <v>56.977761468599994</v>
          </cell>
          <cell r="N577">
            <v>41.691461848742243</v>
          </cell>
          <cell r="O577" t="str">
            <v>医疗保健</v>
          </cell>
          <cell r="P577" t="str">
            <v>制药、生物科技与生命科学</v>
          </cell>
          <cell r="Q577" t="str">
            <v>生物科技Ⅲ</v>
          </cell>
          <cell r="BC577">
            <v>8.492922564529555E-2</v>
          </cell>
          <cell r="BD577">
            <v>2.3076923076922585E-3</v>
          </cell>
          <cell r="BE577">
            <v>0.42464162134396305</v>
          </cell>
          <cell r="BF577">
            <v>0.49177200317382813</v>
          </cell>
          <cell r="BG577">
            <v>0.18092399597167969</v>
          </cell>
        </row>
        <row r="578">
          <cell r="D578" t="str">
            <v>基础化工</v>
          </cell>
          <cell r="M578">
            <v>64.598704175199998</v>
          </cell>
          <cell r="N578">
            <v>47.267535715607934</v>
          </cell>
          <cell r="O578" t="str">
            <v>材料</v>
          </cell>
          <cell r="P578" t="str">
            <v>材料Ⅱ</v>
          </cell>
          <cell r="Q578" t="str">
            <v>化工</v>
          </cell>
          <cell r="BC578">
            <v>0.11949685534591188</v>
          </cell>
          <cell r="BD578">
            <v>-0.10448916408668728</v>
          </cell>
          <cell r="BE578">
            <v>0.13262449599532922</v>
          </cell>
          <cell r="BF578">
            <v>0.81347999572753904</v>
          </cell>
          <cell r="BG578">
            <v>0.25088399887084961</v>
          </cell>
        </row>
        <row r="579">
          <cell r="D579" t="str">
            <v>房地产开发</v>
          </cell>
          <cell r="M579">
            <v>174.0629592128</v>
          </cell>
          <cell r="N579">
            <v>127.3601842571065</v>
          </cell>
          <cell r="O579" t="str">
            <v>金融</v>
          </cell>
          <cell r="P579" t="str">
            <v>房地产</v>
          </cell>
          <cell r="Q579" t="str">
            <v>房地产管理与开发</v>
          </cell>
          <cell r="BC579">
            <v>2.7700831024930775E-2</v>
          </cell>
          <cell r="BD579">
            <v>-0.10386473429951684</v>
          </cell>
          <cell r="BE579">
            <v>-8.2759952529803005E-2</v>
          </cell>
          <cell r="BF579">
            <v>0.52993198394775387</v>
          </cell>
          <cell r="BG579">
            <v>0.14541600227355958</v>
          </cell>
        </row>
        <row r="580">
          <cell r="D580" t="str">
            <v>房地产开发</v>
          </cell>
          <cell r="M580">
            <v>272.28581753599997</v>
          </cell>
          <cell r="N580">
            <v>199.12938011906081</v>
          </cell>
          <cell r="O580" t="str">
            <v>金融</v>
          </cell>
          <cell r="P580" t="str">
            <v>房地产</v>
          </cell>
          <cell r="Q580" t="str">
            <v>房地产管理与开发</v>
          </cell>
          <cell r="BC580">
            <v>-1.6187050359712206E-2</v>
          </cell>
          <cell r="BD580">
            <v>2.2429906542056097E-2</v>
          </cell>
          <cell r="BE580">
            <v>-2.7828355757458782E-2</v>
          </cell>
          <cell r="BF580">
            <v>0.59824798583984373</v>
          </cell>
          <cell r="BG580">
            <v>0.31526399612426759</v>
          </cell>
        </row>
        <row r="581">
          <cell r="D581" t="str">
            <v>投资银行业与经纪业</v>
          </cell>
          <cell r="M581">
            <v>317.1859217274</v>
          </cell>
          <cell r="N581">
            <v>231.94506131249869</v>
          </cell>
          <cell r="O581" t="str">
            <v>金融</v>
          </cell>
          <cell r="P581" t="str">
            <v>多元金融</v>
          </cell>
          <cell r="Q581" t="str">
            <v>资本市场</v>
          </cell>
          <cell r="BC581">
            <v>4.1791044776119439E-2</v>
          </cell>
          <cell r="BD581">
            <v>4.4910179640718674E-2</v>
          </cell>
          <cell r="BE581">
            <v>-0.41984870968615234</v>
          </cell>
          <cell r="BF581">
            <v>0.36667198181152344</v>
          </cell>
          <cell r="BG581">
            <v>0.10331999778747558</v>
          </cell>
        </row>
        <row r="582">
          <cell r="D582" t="str">
            <v>电子元件</v>
          </cell>
          <cell r="M582">
            <v>158.98780099799998</v>
          </cell>
          <cell r="N582">
            <v>116.23581067077035</v>
          </cell>
          <cell r="O582" t="str">
            <v>信息技术</v>
          </cell>
          <cell r="P582" t="str">
            <v>技术硬件与设备</v>
          </cell>
          <cell r="Q582" t="str">
            <v>电子设备、仪器和元件</v>
          </cell>
          <cell r="BC582">
            <v>0.10031347962382441</v>
          </cell>
          <cell r="BD582">
            <v>-7.509881422924905E-2</v>
          </cell>
          <cell r="BE582">
            <v>-0.33079122974261205</v>
          </cell>
          <cell r="BF582">
            <v>0.18580799102783202</v>
          </cell>
          <cell r="BG582">
            <v>-2.8319999575614927E-3</v>
          </cell>
        </row>
        <row r="583">
          <cell r="D583" t="str">
            <v>电力</v>
          </cell>
          <cell r="M583">
            <v>51.703993476599997</v>
          </cell>
          <cell r="N583">
            <v>37.792513384673995</v>
          </cell>
          <cell r="O583" t="str">
            <v>公用事业</v>
          </cell>
          <cell r="P583" t="str">
            <v>公用事业Ⅱ</v>
          </cell>
          <cell r="Q583" t="str">
            <v>电力Ⅲ</v>
          </cell>
          <cell r="BC583">
            <v>9.5408467501490839E-3</v>
          </cell>
          <cell r="BD583">
            <v>-1.2827988338192355E-2</v>
          </cell>
          <cell r="BE583">
            <v>4.9483264075784017E-2</v>
          </cell>
          <cell r="BF583">
            <v>0.44745601654052736</v>
          </cell>
          <cell r="BG583">
            <v>9.0972003936767576E-2</v>
          </cell>
        </row>
        <row r="584">
          <cell r="D584" t="str">
            <v>家用电器</v>
          </cell>
          <cell r="M584">
            <v>133.35904350000001</v>
          </cell>
          <cell r="N584">
            <v>97.436768440235767</v>
          </cell>
          <cell r="O584" t="str">
            <v>可选消费</v>
          </cell>
          <cell r="P584" t="str">
            <v>耐用消费品与服装</v>
          </cell>
          <cell r="Q584" t="str">
            <v>家庭耐用消费品</v>
          </cell>
          <cell r="BC584">
            <v>2.1764705882352998E-2</v>
          </cell>
          <cell r="BD584">
            <v>-5.7537399309539759E-4</v>
          </cell>
          <cell r="BE584">
            <v>0.28633868211490626</v>
          </cell>
          <cell r="BF584">
            <v>0.1975320053100586</v>
          </cell>
          <cell r="BG584">
            <v>0.10351200103759765</v>
          </cell>
        </row>
        <row r="585">
          <cell r="D585" t="str">
            <v>重型电气设备</v>
          </cell>
          <cell r="M585">
            <v>74.698515131299999</v>
          </cell>
          <cell r="N585">
            <v>54.527784631510215</v>
          </cell>
          <cell r="O585" t="str">
            <v>工业</v>
          </cell>
          <cell r="P585" t="str">
            <v>资本货物</v>
          </cell>
          <cell r="Q585" t="str">
            <v>电气设备</v>
          </cell>
          <cell r="BC585">
            <v>2.7168234064785766E-2</v>
          </cell>
          <cell r="BD585">
            <v>-1.1066398390341996E-2</v>
          </cell>
          <cell r="BE585">
            <v>-0.17394470198484563</v>
          </cell>
          <cell r="BF585">
            <v>9.9060001373291018E-2</v>
          </cell>
          <cell r="BG585">
            <v>5.296800136566162E-2</v>
          </cell>
        </row>
        <row r="586">
          <cell r="D586" t="str">
            <v>出版</v>
          </cell>
          <cell r="M586">
            <v>298.51677000000001</v>
          </cell>
          <cell r="N586">
            <v>217.89511013619176</v>
          </cell>
          <cell r="O586" t="str">
            <v>可选消费</v>
          </cell>
          <cell r="P586" t="str">
            <v>媒体Ⅱ</v>
          </cell>
          <cell r="Q586" t="str">
            <v>媒体Ⅲ</v>
          </cell>
          <cell r="BC586">
            <v>1.5584415584415558E-2</v>
          </cell>
          <cell r="BD586">
            <v>-2.7363184079601994E-2</v>
          </cell>
          <cell r="BE586">
            <v>-0.16997556333898076</v>
          </cell>
          <cell r="BF586">
            <v>0.13008000373840331</v>
          </cell>
          <cell r="BG586">
            <v>0</v>
          </cell>
        </row>
        <row r="587">
          <cell r="D587" t="str">
            <v>建材</v>
          </cell>
          <cell r="M587">
            <v>44.383793999999995</v>
          </cell>
          <cell r="N587">
            <v>32.391762633507405</v>
          </cell>
          <cell r="O587" t="str">
            <v>材料</v>
          </cell>
          <cell r="P587" t="str">
            <v>材料Ⅱ</v>
          </cell>
          <cell r="Q587" t="str">
            <v>建材Ⅲ</v>
          </cell>
          <cell r="BC587">
            <v>2.4525316455696101E-2</v>
          </cell>
          <cell r="BD587">
            <v>6.2160062160062221E-3</v>
          </cell>
          <cell r="BE587">
            <v>-0.15022759188822757</v>
          </cell>
          <cell r="BF587">
            <v>0.25974000930786134</v>
          </cell>
          <cell r="BG587">
            <v>0.14643600463867187</v>
          </cell>
        </row>
        <row r="588">
          <cell r="D588" t="str">
            <v>建筑机械与重型卡车</v>
          </cell>
          <cell r="M588">
            <v>2816.1998599655999</v>
          </cell>
          <cell r="N588">
            <v>2054.2138778195049</v>
          </cell>
          <cell r="O588" t="str">
            <v>工业</v>
          </cell>
          <cell r="P588" t="str">
            <v>资本货物</v>
          </cell>
          <cell r="Q588" t="str">
            <v>机械</v>
          </cell>
          <cell r="BC588">
            <v>-1.0546500479386331E-2</v>
          </cell>
          <cell r="BD588">
            <v>5.8479532163743173E-3</v>
          </cell>
          <cell r="BE588">
            <v>-0.39760939236378923</v>
          </cell>
          <cell r="BF588">
            <v>0.80997596740722655</v>
          </cell>
          <cell r="BG588">
            <v>0.24583200454711915</v>
          </cell>
        </row>
        <row r="589">
          <cell r="D589" t="str">
            <v>中药</v>
          </cell>
          <cell r="M589">
            <v>78.03</v>
          </cell>
          <cell r="N589">
            <v>56.893319312858146</v>
          </cell>
          <cell r="O589" t="str">
            <v>医疗保健</v>
          </cell>
          <cell r="P589" t="str">
            <v>制药、生物科技与生命科学</v>
          </cell>
          <cell r="Q589" t="str">
            <v>制药</v>
          </cell>
          <cell r="BC589">
            <v>9.3131548311991465E-3</v>
          </cell>
          <cell r="BD589">
            <v>-1.626323751891073E-2</v>
          </cell>
          <cell r="BE589">
            <v>-0.126146836491664</v>
          </cell>
          <cell r="BF589">
            <v>0.28039199829101563</v>
          </cell>
          <cell r="BG589">
            <v>4.9632000923156741E-2</v>
          </cell>
        </row>
        <row r="590">
          <cell r="D590" t="str">
            <v>建筑机械与重型卡车</v>
          </cell>
          <cell r="M590">
            <v>253.61749973160002</v>
          </cell>
          <cell r="N590">
            <v>184.84920027622238</v>
          </cell>
          <cell r="O590" t="str">
            <v>工业</v>
          </cell>
          <cell r="P590" t="str">
            <v>资本货物</v>
          </cell>
          <cell r="Q590" t="str">
            <v>机械</v>
          </cell>
          <cell r="BC590">
            <v>4.6783625730994198E-2</v>
          </cell>
          <cell r="BD590">
            <v>8.1570996978851965E-2</v>
          </cell>
          <cell r="BE590">
            <v>-0.2701553551508491</v>
          </cell>
          <cell r="BF590">
            <v>0.26034000396728518</v>
          </cell>
          <cell r="BG590">
            <v>-0.13264800071716309</v>
          </cell>
        </row>
        <row r="591">
          <cell r="D591" t="str">
            <v>工业机械</v>
          </cell>
          <cell r="M591">
            <v>121.9083744</v>
          </cell>
          <cell r="N591">
            <v>88.773732418711873</v>
          </cell>
          <cell r="O591" t="str">
            <v>工业</v>
          </cell>
          <cell r="P591" t="str">
            <v>资本货物</v>
          </cell>
          <cell r="Q591" t="str">
            <v>机械</v>
          </cell>
          <cell r="BC591">
            <v>0</v>
          </cell>
          <cell r="BD591">
            <v>0</v>
          </cell>
          <cell r="BE591">
            <v>-0.21113547929279147</v>
          </cell>
          <cell r="BF591">
            <v>0.24650400161743163</v>
          </cell>
          <cell r="BG591">
            <v>-0.12700799942016602</v>
          </cell>
        </row>
        <row r="592">
          <cell r="D592" t="str">
            <v>化纤</v>
          </cell>
          <cell r="M592">
            <v>60.908999999999999</v>
          </cell>
          <cell r="N592">
            <v>44.318223291686962</v>
          </cell>
          <cell r="O592" t="str">
            <v>材料</v>
          </cell>
          <cell r="P592" t="str">
            <v>材料Ⅱ</v>
          </cell>
          <cell r="Q592" t="str">
            <v>化工</v>
          </cell>
          <cell r="BC592">
            <v>-1.0269576379974336E-2</v>
          </cell>
          <cell r="BD592">
            <v>0.14646840148698889</v>
          </cell>
          <cell r="BE592">
            <v>0.19721947086071528</v>
          </cell>
          <cell r="BF592">
            <v>0.59755199432373052</v>
          </cell>
          <cell r="BG592">
            <v>0.21035999298095703</v>
          </cell>
        </row>
        <row r="593">
          <cell r="D593" t="str">
            <v>煤炭与消费用燃料</v>
          </cell>
          <cell r="M593">
            <v>99.168929244000012</v>
          </cell>
          <cell r="N593">
            <v>72.117665941928237</v>
          </cell>
          <cell r="O593" t="str">
            <v>能源</v>
          </cell>
          <cell r="P593" t="str">
            <v>能源Ⅱ</v>
          </cell>
          <cell r="Q593" t="str">
            <v>石油、天然气与供消费用燃料</v>
          </cell>
          <cell r="BC593">
            <v>-2.3255813953488292E-2</v>
          </cell>
          <cell r="BD593">
            <v>-2.3255813953488292E-2</v>
          </cell>
          <cell r="BE593">
            <v>-0.32084949450076</v>
          </cell>
          <cell r="BF593">
            <v>9.3732004165649419E-2</v>
          </cell>
          <cell r="BG593">
            <v>-0.18553199768066406</v>
          </cell>
        </row>
        <row r="594">
          <cell r="D594" t="str">
            <v>电子元件</v>
          </cell>
          <cell r="M594">
            <v>137.88390000000001</v>
          </cell>
          <cell r="N594">
            <v>100.22154019529238</v>
          </cell>
          <cell r="O594" t="str">
            <v>信息技术</v>
          </cell>
          <cell r="P594" t="str">
            <v>技术硬件与设备</v>
          </cell>
          <cell r="Q594" t="str">
            <v>电子设备、仪器和元件</v>
          </cell>
          <cell r="BC594">
            <v>1.0094431781178727E-2</v>
          </cell>
          <cell r="BD594">
            <v>2.7833001988071565E-2</v>
          </cell>
          <cell r="BE594">
            <v>-0.23862250219619321</v>
          </cell>
          <cell r="BF594">
            <v>0</v>
          </cell>
          <cell r="BG594">
            <v>0</v>
          </cell>
        </row>
        <row r="595">
          <cell r="D595" t="str">
            <v>房地产开发</v>
          </cell>
          <cell r="M595">
            <v>150.573075856</v>
          </cell>
          <cell r="N595">
            <v>109.14071274034737</v>
          </cell>
          <cell r="O595" t="str">
            <v>金融</v>
          </cell>
          <cell r="P595" t="str">
            <v>房地产</v>
          </cell>
          <cell r="Q595" t="str">
            <v>房地产管理与开发</v>
          </cell>
          <cell r="BC595">
            <v>-5.2941176470588151E-2</v>
          </cell>
          <cell r="BD595">
            <v>9.9914602903501265E-2</v>
          </cell>
          <cell r="BE595">
            <v>-0.10770185595778779</v>
          </cell>
          <cell r="BF595">
            <v>0.55201198577880861</v>
          </cell>
          <cell r="BG595">
            <v>0.1672920036315918</v>
          </cell>
        </row>
        <row r="596">
          <cell r="D596" t="str">
            <v>建筑机械与重型卡车</v>
          </cell>
          <cell r="M596">
            <v>65.265428338600003</v>
          </cell>
          <cell r="N596">
            <v>47.29983544665555</v>
          </cell>
          <cell r="O596" t="str">
            <v>工业</v>
          </cell>
          <cell r="P596" t="str">
            <v>资本货物</v>
          </cell>
          <cell r="Q596" t="str">
            <v>机械</v>
          </cell>
          <cell r="BC596">
            <v>-1.8656716417910547E-2</v>
          </cell>
          <cell r="BD596">
            <v>-0.1099830795262268</v>
          </cell>
          <cell r="BE596">
            <v>-0.44573234984193894</v>
          </cell>
          <cell r="BF596">
            <v>0.47842800140380859</v>
          </cell>
          <cell r="BG596">
            <v>-7.8804001808166504E-2</v>
          </cell>
        </row>
        <row r="597">
          <cell r="D597" t="str">
            <v>通信设备</v>
          </cell>
          <cell r="M597">
            <v>60.966234</v>
          </cell>
          <cell r="N597">
            <v>44.180910458373326</v>
          </cell>
          <cell r="O597" t="str">
            <v>信息技术</v>
          </cell>
          <cell r="P597" t="str">
            <v>技术硬件与设备</v>
          </cell>
          <cell r="Q597" t="str">
            <v>通信设备Ⅲ</v>
          </cell>
          <cell r="BC597">
            <v>7.3007981159230642E-2</v>
          </cell>
          <cell r="BD597">
            <v>-5.8188871378347653E-3</v>
          </cell>
          <cell r="BE597">
            <v>0.26775452383881898</v>
          </cell>
          <cell r="BF597">
            <v>0</v>
          </cell>
          <cell r="BG597">
            <v>0</v>
          </cell>
        </row>
        <row r="598">
          <cell r="D598" t="str">
            <v>信息科技咨询与其它服务</v>
          </cell>
          <cell r="M598">
            <v>165.30766129020003</v>
          </cell>
          <cell r="N598">
            <v>119.74333503051318</v>
          </cell>
          <cell r="O598" t="str">
            <v>信息技术</v>
          </cell>
          <cell r="P598" t="str">
            <v>软件与服务</v>
          </cell>
          <cell r="Q598" t="str">
            <v>信息技术服务</v>
          </cell>
          <cell r="BC598">
            <v>4.8645320197044505E-2</v>
          </cell>
          <cell r="BD598">
            <v>-2.7412906910336973E-2</v>
          </cell>
          <cell r="BE598">
            <v>0.37758558061072833</v>
          </cell>
          <cell r="BF598">
            <v>0.98209197998046871</v>
          </cell>
          <cell r="BG598">
            <v>0</v>
          </cell>
        </row>
        <row r="599">
          <cell r="D599" t="str">
            <v>生命科学工具和服务</v>
          </cell>
          <cell r="M599">
            <v>133.21971969700002</v>
          </cell>
          <cell r="N599">
            <v>96.462401337158525</v>
          </cell>
          <cell r="O599" t="str">
            <v>医疗保健</v>
          </cell>
          <cell r="P599" t="str">
            <v>制药、生物科技与生命科学</v>
          </cell>
          <cell r="Q599" t="str">
            <v>生命科学工具和服务Ⅲ</v>
          </cell>
          <cell r="BC599">
            <v>-1.0489510489510514E-2</v>
          </cell>
          <cell r="BD599">
            <v>-1.0489510489510514E-2</v>
          </cell>
          <cell r="BE599">
            <v>0.11690788662676704</v>
          </cell>
          <cell r="BF599">
            <v>0.44084400177001953</v>
          </cell>
          <cell r="BG599">
            <v>0</v>
          </cell>
        </row>
        <row r="600">
          <cell r="D600" t="str">
            <v>酒店、度假村与豪华游轮</v>
          </cell>
          <cell r="M600">
            <v>195.32286832200003</v>
          </cell>
          <cell r="N600">
            <v>141.41389029623014</v>
          </cell>
          <cell r="O600" t="str">
            <v>可选消费</v>
          </cell>
          <cell r="P600" t="str">
            <v>消费者服务Ⅱ</v>
          </cell>
          <cell r="Q600" t="str">
            <v>酒店、餐馆与休闲Ⅲ</v>
          </cell>
          <cell r="BC600">
            <v>9.5806980557507693E-2</v>
          </cell>
          <cell r="BD600">
            <v>-0.11098441657164569</v>
          </cell>
          <cell r="BE600">
            <v>0.56067692682880843</v>
          </cell>
          <cell r="BF600">
            <v>0.99170402526855472</v>
          </cell>
          <cell r="BG600">
            <v>0</v>
          </cell>
        </row>
        <row r="601">
          <cell r="D601" t="str">
            <v>基础化工</v>
          </cell>
          <cell r="M601">
            <v>68.606999999999999</v>
          </cell>
          <cell r="N601">
            <v>49.645379869975308</v>
          </cell>
          <cell r="O601" t="str">
            <v>材料</v>
          </cell>
          <cell r="P601" t="str">
            <v>材料Ⅱ</v>
          </cell>
          <cell r="Q601" t="str">
            <v>化工</v>
          </cell>
          <cell r="BC601">
            <v>-1.7021276595744695E-2</v>
          </cell>
          <cell r="BD601">
            <v>4.8411497730710948E-2</v>
          </cell>
          <cell r="BE601">
            <v>-0.17240156332628159</v>
          </cell>
          <cell r="BF601">
            <v>0.21590400695800782</v>
          </cell>
          <cell r="BG601">
            <v>-5.8392000198364255E-2</v>
          </cell>
        </row>
        <row r="602">
          <cell r="D602" t="str">
            <v>半导体产品</v>
          </cell>
          <cell r="M602">
            <v>166.14659999999998</v>
          </cell>
          <cell r="N602">
            <v>120.14815759297218</v>
          </cell>
          <cell r="O602" t="str">
            <v>信息技术</v>
          </cell>
          <cell r="P602" t="str">
            <v>半导体与半导体生产设备</v>
          </cell>
          <cell r="Q602" t="str">
            <v>半导体产品与半导体设备</v>
          </cell>
          <cell r="BC602">
            <v>8.763157894736838E-2</v>
          </cell>
          <cell r="BD602">
            <v>5.0317662007623803E-2</v>
          </cell>
          <cell r="BE602">
            <v>-5.3217995909091043E-2</v>
          </cell>
          <cell r="BF602">
            <v>0</v>
          </cell>
          <cell r="BG602">
            <v>0</v>
          </cell>
        </row>
        <row r="603">
          <cell r="D603" t="str">
            <v>公路与铁路</v>
          </cell>
          <cell r="M603">
            <v>47.800080000000001</v>
          </cell>
          <cell r="N603">
            <v>34.565246015548148</v>
          </cell>
          <cell r="O603" t="str">
            <v>工业</v>
          </cell>
          <cell r="P603" t="str">
            <v>运输</v>
          </cell>
          <cell r="Q603" t="str">
            <v>交通基础设施</v>
          </cell>
          <cell r="BC603">
            <v>5.1020408163265354E-3</v>
          </cell>
          <cell r="BD603">
            <v>-1.0050251256281416E-2</v>
          </cell>
          <cell r="BE603">
            <v>-0.10667010683518764</v>
          </cell>
          <cell r="BF603">
            <v>0.36284400939941408</v>
          </cell>
          <cell r="BG603">
            <v>6.0780000686645505E-2</v>
          </cell>
        </row>
        <row r="604">
          <cell r="D604" t="str">
            <v>海港与服务</v>
          </cell>
          <cell r="M604">
            <v>110.64145606800001</v>
          </cell>
          <cell r="N604">
            <v>79.996799686400294</v>
          </cell>
          <cell r="O604" t="str">
            <v>工业</v>
          </cell>
          <cell r="P604" t="str">
            <v>运输</v>
          </cell>
          <cell r="Q604" t="str">
            <v>交通基础设施</v>
          </cell>
          <cell r="BC604">
            <v>-2.5553662691652431E-2</v>
          </cell>
          <cell r="BD604">
            <v>-6.075533661740555E-2</v>
          </cell>
          <cell r="BE604">
            <v>-0.23183376467907468</v>
          </cell>
          <cell r="BF604">
            <v>0.14765999794006349</v>
          </cell>
          <cell r="BG604">
            <v>8.701199531555176E-2</v>
          </cell>
        </row>
        <row r="605">
          <cell r="D605" t="str">
            <v>纺织品</v>
          </cell>
          <cell r="M605">
            <v>55.0156700247</v>
          </cell>
          <cell r="N605">
            <v>39.777205104766871</v>
          </cell>
          <cell r="O605" t="str">
            <v>可选消费</v>
          </cell>
          <cell r="P605" t="str">
            <v>耐用消费品与服装</v>
          </cell>
          <cell r="Q605" t="str">
            <v>纺织品、服装与奢侈品</v>
          </cell>
          <cell r="BC605">
            <v>1.2152777777777828E-2</v>
          </cell>
          <cell r="BD605">
            <v>-3.636363636363632E-2</v>
          </cell>
          <cell r="BE605">
            <v>-0.34046513590933336</v>
          </cell>
          <cell r="BF605">
            <v>0.18072000503540039</v>
          </cell>
          <cell r="BG605">
            <v>-1.0523999929428101E-2</v>
          </cell>
        </row>
        <row r="606">
          <cell r="D606" t="str">
            <v>金属非金属</v>
          </cell>
          <cell r="M606">
            <v>133.5238571472</v>
          </cell>
          <cell r="N606">
            <v>96.460611162019561</v>
          </cell>
          <cell r="O606" t="str">
            <v>材料</v>
          </cell>
          <cell r="P606" t="str">
            <v>材料Ⅱ</v>
          </cell>
          <cell r="Q606" t="str">
            <v>金属、非金属与采矿</v>
          </cell>
          <cell r="BC606">
            <v>-9.4959824689553694E-3</v>
          </cell>
          <cell r="BD606">
            <v>-3.3499643620812466E-2</v>
          </cell>
          <cell r="BE606">
            <v>-0.31811206889520738</v>
          </cell>
          <cell r="BF606">
            <v>0.18445199966430664</v>
          </cell>
          <cell r="BG606">
            <v>-2.0759999752044678E-2</v>
          </cell>
        </row>
        <row r="607">
          <cell r="D607" t="str">
            <v>农产品</v>
          </cell>
          <cell r="M607">
            <v>77.055243720000007</v>
          </cell>
          <cell r="N607">
            <v>55.655239504045419</v>
          </cell>
          <cell r="O607" t="str">
            <v>日常消费</v>
          </cell>
          <cell r="P607" t="str">
            <v>食品、饮料与烟草</v>
          </cell>
          <cell r="Q607" t="str">
            <v>食品</v>
          </cell>
          <cell r="BC607">
            <v>0.39235737351991407</v>
          </cell>
          <cell r="BD607">
            <v>0.36157894736842111</v>
          </cell>
          <cell r="BE607">
            <v>0</v>
          </cell>
          <cell r="BF607">
            <v>0</v>
          </cell>
          <cell r="BG607">
            <v>0</v>
          </cell>
        </row>
        <row r="608">
          <cell r="D608" t="str">
            <v>煤炭与消费用燃料</v>
          </cell>
          <cell r="M608">
            <v>2784.5468636999999</v>
          </cell>
          <cell r="N608">
            <v>2011.10047243037</v>
          </cell>
          <cell r="O608" t="str">
            <v>能源</v>
          </cell>
          <cell r="P608" t="str">
            <v>能源Ⅱ</v>
          </cell>
          <cell r="Q608" t="str">
            <v>石油、天然气与供消费用燃料</v>
          </cell>
          <cell r="BC608">
            <v>-2.3709902370990226E-2</v>
          </cell>
          <cell r="BD608">
            <v>1.0830324909747318E-2</v>
          </cell>
          <cell r="BE608">
            <v>-0.26497745573417569</v>
          </cell>
          <cell r="BF608">
            <v>8.7096004486083983E-2</v>
          </cell>
          <cell r="BG608">
            <v>-4.8731999397277834E-2</v>
          </cell>
        </row>
        <row r="609">
          <cell r="D609" t="str">
            <v>信息科技咨询与其它服务</v>
          </cell>
          <cell r="M609">
            <v>117.88732659680001</v>
          </cell>
          <cell r="N609">
            <v>85.134588475619637</v>
          </cell>
          <cell r="O609" t="str">
            <v>信息技术</v>
          </cell>
          <cell r="P609" t="str">
            <v>软件与服务</v>
          </cell>
          <cell r="Q609" t="str">
            <v>信息技术服务</v>
          </cell>
          <cell r="BC609">
            <v>2.032859927596781E-2</v>
          </cell>
          <cell r="BD609">
            <v>-5.371900826446277E-2</v>
          </cell>
          <cell r="BE609">
            <v>-0.3724319015889202</v>
          </cell>
          <cell r="BF609">
            <v>0.47748001098632814</v>
          </cell>
          <cell r="BG609">
            <v>0.19755599975585938</v>
          </cell>
        </row>
        <row r="610">
          <cell r="D610" t="str">
            <v>贸易公司与工业品经销商</v>
          </cell>
          <cell r="M610">
            <v>100.3870279644</v>
          </cell>
          <cell r="N610">
            <v>72.485910395565611</v>
          </cell>
          <cell r="O610" t="str">
            <v>工业</v>
          </cell>
          <cell r="P610" t="str">
            <v>资本货物</v>
          </cell>
          <cell r="Q610" t="str">
            <v>贸易公司与工业品经销商Ⅲ</v>
          </cell>
          <cell r="BC610">
            <v>0</v>
          </cell>
          <cell r="BD610">
            <v>0</v>
          </cell>
          <cell r="BE610">
            <v>-0.3439665659732023</v>
          </cell>
          <cell r="BF610">
            <v>0.37735198974609374</v>
          </cell>
          <cell r="BG610">
            <v>0.28733999252319337</v>
          </cell>
        </row>
        <row r="611">
          <cell r="D611" t="str">
            <v>建筑与工程</v>
          </cell>
          <cell r="M611">
            <v>903.67941989879989</v>
          </cell>
          <cell r="N611">
            <v>652.43264603496266</v>
          </cell>
          <cell r="O611" t="str">
            <v>工业</v>
          </cell>
          <cell r="P611" t="str">
            <v>资本货物</v>
          </cell>
          <cell r="Q611" t="str">
            <v>建筑与工程Ⅲ</v>
          </cell>
          <cell r="BC611">
            <v>-3.03490136570555E-3</v>
          </cell>
          <cell r="BD611">
            <v>-2.2321428571428492E-2</v>
          </cell>
          <cell r="BE611">
            <v>-0.24652660638817978</v>
          </cell>
          <cell r="BF611">
            <v>0.80501998901367189</v>
          </cell>
          <cell r="BG611">
            <v>0</v>
          </cell>
        </row>
        <row r="612">
          <cell r="D612" t="str">
            <v>应用软件</v>
          </cell>
          <cell r="M612">
            <v>94.596375655900005</v>
          </cell>
          <cell r="N612">
            <v>68.253640392639454</v>
          </cell>
          <cell r="O612" t="str">
            <v>信息技术</v>
          </cell>
          <cell r="P612" t="str">
            <v>软件与服务</v>
          </cell>
          <cell r="Q612" t="str">
            <v>软件</v>
          </cell>
          <cell r="BC612">
            <v>1.1143410852713198E-2</v>
          </cell>
          <cell r="BD612">
            <v>2.4545900834560628E-2</v>
          </cell>
          <cell r="BE612">
            <v>-0.40921143395155257</v>
          </cell>
          <cell r="BF612">
            <v>0.11352000236511231</v>
          </cell>
          <cell r="BG612">
            <v>0.26656799316406249</v>
          </cell>
        </row>
        <row r="613">
          <cell r="D613" t="str">
            <v>轮胎与橡胶</v>
          </cell>
          <cell r="M613">
            <v>62.946649999999998</v>
          </cell>
          <cell r="N613">
            <v>45.401256311162889</v>
          </cell>
          <cell r="O613" t="str">
            <v>可选消费</v>
          </cell>
          <cell r="P613" t="str">
            <v>汽车与汽车零部件</v>
          </cell>
          <cell r="Q613" t="str">
            <v>汽车零配件</v>
          </cell>
          <cell r="BC613">
            <v>4.6296296296296321E-2</v>
          </cell>
          <cell r="BD613">
            <v>3.5966149506346953E-2</v>
          </cell>
          <cell r="BE613">
            <v>0.22658846116791839</v>
          </cell>
          <cell r="BF613">
            <v>0.36699600219726564</v>
          </cell>
          <cell r="BG613">
            <v>0.23893199920654296</v>
          </cell>
        </row>
        <row r="614">
          <cell r="D614" t="str">
            <v>西药</v>
          </cell>
          <cell r="M614">
            <v>102.21378374699999</v>
          </cell>
          <cell r="N614">
            <v>73.703145141866244</v>
          </cell>
          <cell r="O614" t="str">
            <v>医疗保健</v>
          </cell>
          <cell r="P614" t="str">
            <v>制药、生物科技与生命科学</v>
          </cell>
          <cell r="Q614" t="str">
            <v>制药</v>
          </cell>
          <cell r="BC614">
            <v>-1.1600928074245967E-2</v>
          </cell>
          <cell r="BD614">
            <v>-6.2362435803375006E-2</v>
          </cell>
          <cell r="BE614">
            <v>-0.35060975609756101</v>
          </cell>
          <cell r="BF614">
            <v>0.13605600357055664</v>
          </cell>
          <cell r="BG614">
            <v>0.15823200225830078</v>
          </cell>
        </row>
        <row r="615">
          <cell r="D615" t="str">
            <v>电力</v>
          </cell>
          <cell r="M615">
            <v>61.3378849805</v>
          </cell>
          <cell r="N615">
            <v>44.189359013449931</v>
          </cell>
          <cell r="O615" t="str">
            <v>公用事业</v>
          </cell>
          <cell r="P615" t="str">
            <v>公用事业Ⅱ</v>
          </cell>
          <cell r="Q615" t="str">
            <v>电力Ⅲ</v>
          </cell>
          <cell r="BC615">
            <v>2.099236641221363E-2</v>
          </cell>
          <cell r="BD615">
            <v>-7.4211502782931425E-3</v>
          </cell>
          <cell r="BE615">
            <v>-0.42766751788585022</v>
          </cell>
          <cell r="BF615">
            <v>0.10354800224304199</v>
          </cell>
          <cell r="BG615">
            <v>5.8692002296447755E-2</v>
          </cell>
        </row>
        <row r="616">
          <cell r="D616" t="str">
            <v>机动车零配件与设备</v>
          </cell>
          <cell r="M616">
            <v>43.244017999999997</v>
          </cell>
          <cell r="N616">
            <v>31.095337983328331</v>
          </cell>
          <cell r="O616" t="str">
            <v>可选消费</v>
          </cell>
          <cell r="P616" t="str">
            <v>汽车与汽车零部件</v>
          </cell>
          <cell r="Q616" t="str">
            <v>汽车零配件</v>
          </cell>
          <cell r="BC616">
            <v>3.5769034236075588E-2</v>
          </cell>
          <cell r="BD616">
            <v>-2.1245774987928599E-2</v>
          </cell>
          <cell r="BE616">
            <v>0.32397126061397774</v>
          </cell>
          <cell r="BF616">
            <v>0</v>
          </cell>
          <cell r="BG616">
            <v>0</v>
          </cell>
        </row>
        <row r="617">
          <cell r="D617" t="str">
            <v>贸易公司与工业品经销商</v>
          </cell>
          <cell r="M617">
            <v>43.094246260000006</v>
          </cell>
          <cell r="N617">
            <v>30.967668044945484</v>
          </cell>
          <cell r="O617" t="str">
            <v>工业</v>
          </cell>
          <cell r="P617" t="str">
            <v>资本货物</v>
          </cell>
          <cell r="Q617" t="str">
            <v>贸易公司与工业品经销商Ⅲ</v>
          </cell>
          <cell r="BC617">
            <v>5.2587646076794572E-2</v>
          </cell>
          <cell r="BD617">
            <v>5.7885906040268414E-2</v>
          </cell>
          <cell r="BE617">
            <v>-0.24690452373255631</v>
          </cell>
          <cell r="BF617">
            <v>0.25633199691772462</v>
          </cell>
          <cell r="BG617">
            <v>8.6724004745483405E-2</v>
          </cell>
        </row>
        <row r="618">
          <cell r="D618" t="str">
            <v>建筑与工程</v>
          </cell>
          <cell r="M618">
            <v>60.164999999999999</v>
          </cell>
          <cell r="N618">
            <v>43.226876660285797</v>
          </cell>
          <cell r="O618" t="str">
            <v>工业</v>
          </cell>
          <cell r="P618" t="str">
            <v>资本货物</v>
          </cell>
          <cell r="Q618" t="str">
            <v>建筑与工程Ⅲ</v>
          </cell>
          <cell r="BC618">
            <v>2.4128686327077709E-2</v>
          </cell>
          <cell r="BD618">
            <v>-1.9255455712451908E-2</v>
          </cell>
          <cell r="BE618">
            <v>0.10148786384927309</v>
          </cell>
          <cell r="BF618">
            <v>0.51103199005126954</v>
          </cell>
          <cell r="BG618">
            <v>5.9916000366210941E-2</v>
          </cell>
        </row>
        <row r="619">
          <cell r="D619" t="str">
            <v>家用器具与特殊消费品</v>
          </cell>
          <cell r="M619">
            <v>39.062399999999997</v>
          </cell>
          <cell r="N619">
            <v>28.052862307277774</v>
          </cell>
          <cell r="O619" t="str">
            <v>可选消费</v>
          </cell>
          <cell r="P619" t="str">
            <v>耐用消费品与服装</v>
          </cell>
          <cell r="Q619" t="str">
            <v>家庭耐用消费品</v>
          </cell>
          <cell r="BC619">
            <v>2.960526315789469E-2</v>
          </cell>
          <cell r="BD619">
            <v>7.1917808219178078E-2</v>
          </cell>
          <cell r="BE619">
            <v>-4.703900641241561E-2</v>
          </cell>
          <cell r="BF619">
            <v>0.32029201507568361</v>
          </cell>
          <cell r="BG619">
            <v>5.9855999946594241E-2</v>
          </cell>
        </row>
        <row r="620">
          <cell r="D620" t="str">
            <v>基础化工</v>
          </cell>
          <cell r="M620">
            <v>34.400442826999999</v>
          </cell>
          <cell r="N620">
            <v>24.697563375716616</v>
          </cell>
          <cell r="O620" t="str">
            <v>材料</v>
          </cell>
          <cell r="P620" t="str">
            <v>材料Ⅱ</v>
          </cell>
          <cell r="Q620" t="str">
            <v>化工</v>
          </cell>
          <cell r="BC620">
            <v>1.5205724508050083E-2</v>
          </cell>
          <cell r="BD620">
            <v>-9.5986038394416402E-3</v>
          </cell>
          <cell r="BE620">
            <v>-0.14505210763347468</v>
          </cell>
          <cell r="BF620">
            <v>0.16545600891113282</v>
          </cell>
          <cell r="BG620">
            <v>-3.6047999858856199E-2</v>
          </cell>
        </row>
        <row r="621">
          <cell r="D621" t="str">
            <v>出版</v>
          </cell>
          <cell r="M621">
            <v>221.85799999999998</v>
          </cell>
          <cell r="N621">
            <v>159.27593101925123</v>
          </cell>
          <cell r="O621" t="str">
            <v>可选消费</v>
          </cell>
          <cell r="P621" t="str">
            <v>媒体Ⅱ</v>
          </cell>
          <cell r="Q621" t="str">
            <v>媒体Ⅲ</v>
          </cell>
          <cell r="BC621">
            <v>5.4954565123323217E-2</v>
          </cell>
          <cell r="BD621">
            <v>-2.7910685805422622E-2</v>
          </cell>
          <cell r="BE621">
            <v>-8.0869763518220991E-2</v>
          </cell>
          <cell r="BF621">
            <v>0.35044799804687499</v>
          </cell>
          <cell r="BG621">
            <v>0.16141199111938476</v>
          </cell>
        </row>
        <row r="622">
          <cell r="D622" t="str">
            <v>出版</v>
          </cell>
          <cell r="M622">
            <v>95.561880699000014</v>
          </cell>
          <cell r="N622">
            <v>68.58200899009519</v>
          </cell>
          <cell r="O622" t="str">
            <v>可选消费</v>
          </cell>
          <cell r="P622" t="str">
            <v>媒体Ⅱ</v>
          </cell>
          <cell r="Q622" t="str">
            <v>媒体Ⅲ</v>
          </cell>
          <cell r="BC622">
            <v>3.9867109634551631E-2</v>
          </cell>
          <cell r="BD622">
            <v>2.3991275899672915E-2</v>
          </cell>
          <cell r="BE622">
            <v>-7.7603143418467496E-2</v>
          </cell>
          <cell r="BF622">
            <v>0.60525600433349613</v>
          </cell>
          <cell r="BG622">
            <v>0.19329599380493165</v>
          </cell>
        </row>
        <row r="623">
          <cell r="D623" t="str">
            <v>药品零售</v>
          </cell>
          <cell r="M623">
            <v>131.76576</v>
          </cell>
          <cell r="N623">
            <v>94.544490906520068</v>
          </cell>
          <cell r="O623" t="str">
            <v>日常消费</v>
          </cell>
          <cell r="P623" t="str">
            <v>食品与主要用品零售Ⅱ</v>
          </cell>
          <cell r="Q623" t="str">
            <v>食品与主要用品零售Ⅲ</v>
          </cell>
          <cell r="BC623">
            <v>0</v>
          </cell>
          <cell r="BD623">
            <v>0</v>
          </cell>
          <cell r="BE623">
            <v>-0.22687826551827278</v>
          </cell>
          <cell r="BF623">
            <v>0.2172719955444336</v>
          </cell>
          <cell r="BG623">
            <v>0.12417599678039551</v>
          </cell>
        </row>
        <row r="624">
          <cell r="D624" t="str">
            <v>酒店、度假村与豪华游轮</v>
          </cell>
          <cell r="M624">
            <v>28.372800000000002</v>
          </cell>
          <cell r="N624">
            <v>20.355593673733335</v>
          </cell>
          <cell r="O624" t="str">
            <v>可选消费</v>
          </cell>
          <cell r="P624" t="str">
            <v>消费者服务Ⅱ</v>
          </cell>
          <cell r="Q624" t="str">
            <v>酒店、餐馆与休闲Ⅲ</v>
          </cell>
          <cell r="BC624">
            <v>1.3473545842918178E-2</v>
          </cell>
          <cell r="BD624">
            <v>-1.6895122728721745E-2</v>
          </cell>
          <cell r="BE624">
            <v>0.29895991597195071</v>
          </cell>
          <cell r="BF624">
            <v>0.50097599029541018</v>
          </cell>
          <cell r="BG624">
            <v>0.17705999374389647</v>
          </cell>
        </row>
        <row r="625">
          <cell r="D625" t="str">
            <v>电气部件与设备</v>
          </cell>
          <cell r="M625">
            <v>90.724536000000015</v>
          </cell>
          <cell r="N625">
            <v>65.022473987763959</v>
          </cell>
          <cell r="O625" t="str">
            <v>工业</v>
          </cell>
          <cell r="P625" t="str">
            <v>资本货物</v>
          </cell>
          <cell r="Q625" t="str">
            <v>电气设备</v>
          </cell>
          <cell r="BC625">
            <v>1.3857845328564985E-2</v>
          </cell>
          <cell r="BD625">
            <v>-0.28611898016997167</v>
          </cell>
          <cell r="BE625">
            <v>9.1406103152880003E-2</v>
          </cell>
          <cell r="BF625">
            <v>0.54013198852539057</v>
          </cell>
          <cell r="BG625">
            <v>0</v>
          </cell>
        </row>
        <row r="626">
          <cell r="D626" t="str">
            <v>白酒与葡萄酒</v>
          </cell>
          <cell r="M626">
            <v>173.64127999999997</v>
          </cell>
          <cell r="N626">
            <v>124.39885167741582</v>
          </cell>
          <cell r="O626" t="str">
            <v>日常消费</v>
          </cell>
          <cell r="P626" t="str">
            <v>食品、饮料与烟草</v>
          </cell>
          <cell r="Q626" t="str">
            <v>饮料</v>
          </cell>
          <cell r="BC626">
            <v>3.605769230769218E-2</v>
          </cell>
          <cell r="BD626">
            <v>0.20013922728854844</v>
          </cell>
          <cell r="BE626">
            <v>-5.7664783215047713E-2</v>
          </cell>
          <cell r="BF626">
            <v>0.30411600112915038</v>
          </cell>
          <cell r="BG626">
            <v>4.2480001449584963E-2</v>
          </cell>
        </row>
        <row r="627">
          <cell r="D627" t="str">
            <v>西药</v>
          </cell>
          <cell r="M627">
            <v>205.89856535160004</v>
          </cell>
          <cell r="N627">
            <v>147.49665817790378</v>
          </cell>
          <cell r="O627" t="str">
            <v>医疗保健</v>
          </cell>
          <cell r="P627" t="str">
            <v>制药、生物科技与生命科学</v>
          </cell>
          <cell r="Q627" t="str">
            <v>制药</v>
          </cell>
          <cell r="BC627">
            <v>-6.5059318790661371E-3</v>
          </cell>
          <cell r="BD627">
            <v>-3.9940828402366804E-2</v>
          </cell>
          <cell r="BE627">
            <v>0.50336722801760381</v>
          </cell>
          <cell r="BF627">
            <v>0.42104400634765626</v>
          </cell>
          <cell r="BG627">
            <v>0.293484001159668</v>
          </cell>
        </row>
        <row r="628">
          <cell r="D628" t="str">
            <v>汽车制造</v>
          </cell>
          <cell r="M628">
            <v>181.42757108800004</v>
          </cell>
          <cell r="N628">
            <v>129.95139331023151</v>
          </cell>
          <cell r="O628" t="str">
            <v>可选消费</v>
          </cell>
          <cell r="P628" t="str">
            <v>汽车与汽车零部件</v>
          </cell>
          <cell r="Q628" t="str">
            <v>汽车</v>
          </cell>
          <cell r="BC628">
            <v>-3.6630036630035849E-3</v>
          </cell>
          <cell r="BD628">
            <v>5.2224371373307633E-2</v>
          </cell>
          <cell r="BE628">
            <v>-0.27975770078898016</v>
          </cell>
          <cell r="BF628">
            <v>-3.072000026702881E-2</v>
          </cell>
          <cell r="BG628">
            <v>-9.8640003204345697E-2</v>
          </cell>
        </row>
        <row r="629">
          <cell r="D629" t="str">
            <v>铝</v>
          </cell>
          <cell r="M629">
            <v>61.964901671700005</v>
          </cell>
          <cell r="N629">
            <v>44.373134646842644</v>
          </cell>
          <cell r="O629" t="str">
            <v>材料</v>
          </cell>
          <cell r="P629" t="str">
            <v>材料Ⅱ</v>
          </cell>
          <cell r="Q629" t="str">
            <v>金属、非金属与采矿</v>
          </cell>
          <cell r="BC629">
            <v>1.1458333333333459E-2</v>
          </cell>
          <cell r="BD629">
            <v>-5.1229508196720223E-3</v>
          </cell>
          <cell r="BE629">
            <v>-6.0019361084220638E-2</v>
          </cell>
          <cell r="BF629">
            <v>0.45228000640869143</v>
          </cell>
          <cell r="BG629">
            <v>0.10170000076293945</v>
          </cell>
        </row>
        <row r="630">
          <cell r="D630" t="str">
            <v>房地产开发</v>
          </cell>
          <cell r="M630">
            <v>99.244290927600005</v>
          </cell>
          <cell r="N630">
            <v>71.060157612990153</v>
          </cell>
          <cell r="O630" t="str">
            <v>金融</v>
          </cell>
          <cell r="P630" t="str">
            <v>房地产</v>
          </cell>
          <cell r="Q630" t="str">
            <v>房地产管理与开发</v>
          </cell>
          <cell r="BC630">
            <v>1.865671641791038E-2</v>
          </cell>
          <cell r="BD630">
            <v>-1.4440433212996403E-2</v>
          </cell>
          <cell r="BE630">
            <v>-4.0397971103836869E-3</v>
          </cell>
          <cell r="BF630">
            <v>0.48414001464843748</v>
          </cell>
          <cell r="BG630">
            <v>0.15769200325012206</v>
          </cell>
        </row>
        <row r="631">
          <cell r="D631" t="str">
            <v>煤炭与消费用燃料</v>
          </cell>
          <cell r="M631">
            <v>53.158897320000001</v>
          </cell>
          <cell r="N631">
            <v>38.058294137296301</v>
          </cell>
          <cell r="O631" t="str">
            <v>能源</v>
          </cell>
          <cell r="P631" t="str">
            <v>能源Ⅱ</v>
          </cell>
          <cell r="Q631" t="str">
            <v>石油、天然气与供消费用燃料</v>
          </cell>
          <cell r="BC631">
            <v>9.3984962406014703E-3</v>
          </cell>
          <cell r="BD631">
            <v>-4.2780748663101636E-2</v>
          </cell>
          <cell r="BE631">
            <v>-0.31766200762388819</v>
          </cell>
          <cell r="BF631">
            <v>0.22387199401855468</v>
          </cell>
          <cell r="BG631">
            <v>6.6672000885009769E-2</v>
          </cell>
        </row>
        <row r="632">
          <cell r="D632" t="str">
            <v>特种化工</v>
          </cell>
          <cell r="M632">
            <v>312.24113356800001</v>
          </cell>
          <cell r="N632">
            <v>223.42496772061972</v>
          </cell>
          <cell r="O632" t="str">
            <v>材料</v>
          </cell>
          <cell r="P632" t="str">
            <v>材料Ⅱ</v>
          </cell>
          <cell r="Q632" t="str">
            <v>化工</v>
          </cell>
          <cell r="BC632">
            <v>-3.6048064085447321E-2</v>
          </cell>
          <cell r="BD632">
            <v>1.4757554462403307E-2</v>
          </cell>
          <cell r="BE632">
            <v>-0.36084334368277127</v>
          </cell>
          <cell r="BF632">
            <v>-6.1139998435974119E-2</v>
          </cell>
          <cell r="BG632">
            <v>-5.2679997682571408E-3</v>
          </cell>
        </row>
        <row r="633">
          <cell r="D633" t="str">
            <v>燃气</v>
          </cell>
          <cell r="M633">
            <v>74.310360823600007</v>
          </cell>
          <cell r="N633">
            <v>53.162877811709102</v>
          </cell>
          <cell r="O633" t="str">
            <v>公用事业</v>
          </cell>
          <cell r="P633" t="str">
            <v>公用事业Ⅱ</v>
          </cell>
          <cell r="Q633" t="str">
            <v>燃气Ⅲ</v>
          </cell>
          <cell r="BC633">
            <v>0</v>
          </cell>
          <cell r="BD633">
            <v>0</v>
          </cell>
          <cell r="BE633">
            <v>-0.52440991292069905</v>
          </cell>
          <cell r="BF633">
            <v>-3.5364000797271727E-2</v>
          </cell>
          <cell r="BG633">
            <v>6.3084001541137691E-2</v>
          </cell>
        </row>
        <row r="634">
          <cell r="D634" t="str">
            <v>电子设备和仪器</v>
          </cell>
          <cell r="M634">
            <v>87.118164717399992</v>
          </cell>
          <cell r="N634">
            <v>62.318132668455405</v>
          </cell>
          <cell r="O634" t="str">
            <v>信息技术</v>
          </cell>
          <cell r="P634" t="str">
            <v>技术硬件与设备</v>
          </cell>
          <cell r="Q634" t="str">
            <v>电子设备、仪器和元件</v>
          </cell>
          <cell r="BC634">
            <v>0.11005568293481818</v>
          </cell>
          <cell r="BD634">
            <v>5.7140804015909055E-2</v>
          </cell>
          <cell r="BE634">
            <v>0.10822018401371909</v>
          </cell>
          <cell r="BF634">
            <v>0.58034400939941411</v>
          </cell>
          <cell r="BG634">
            <v>0.27619199752807616</v>
          </cell>
        </row>
        <row r="635">
          <cell r="D635" t="str">
            <v>工业机械</v>
          </cell>
          <cell r="M635">
            <v>124.64390395439999</v>
          </cell>
          <cell r="N635">
            <v>89.146536725204072</v>
          </cell>
          <cell r="O635" t="str">
            <v>工业</v>
          </cell>
          <cell r="P635" t="str">
            <v>资本货物</v>
          </cell>
          <cell r="Q635" t="str">
            <v>机械</v>
          </cell>
          <cell r="BC635">
            <v>2.8029678483099642E-2</v>
          </cell>
          <cell r="BD635">
            <v>-4.150653343581872E-2</v>
          </cell>
          <cell r="BE635">
            <v>0.3358351296911089</v>
          </cell>
          <cell r="BF635">
            <v>0.34131599426269532</v>
          </cell>
          <cell r="BG635">
            <v>0.29869199752807618</v>
          </cell>
        </row>
        <row r="636">
          <cell r="D636" t="str">
            <v>中药</v>
          </cell>
          <cell r="M636">
            <v>86.119639840000005</v>
          </cell>
          <cell r="N636">
            <v>61.585918791892311</v>
          </cell>
          <cell r="O636" t="str">
            <v>医疗保健</v>
          </cell>
          <cell r="P636" t="str">
            <v>制药、生物科技与生命科学</v>
          </cell>
          <cell r="Q636" t="str">
            <v>制药</v>
          </cell>
          <cell r="BC636">
            <v>1.2745098039215764E-2</v>
          </cell>
          <cell r="BD636">
            <v>-2.8222013170272876E-2</v>
          </cell>
          <cell r="BE636">
            <v>-0.15626319315644019</v>
          </cell>
          <cell r="BF636">
            <v>1.1363999843597412E-2</v>
          </cell>
          <cell r="BG636">
            <v>0.10157999992370606</v>
          </cell>
        </row>
        <row r="637">
          <cell r="D637" t="str">
            <v>中药</v>
          </cell>
          <cell r="M637">
            <v>132.32305637960002</v>
          </cell>
          <cell r="N637">
            <v>94.587653768718397</v>
          </cell>
          <cell r="O637" t="str">
            <v>医疗保健</v>
          </cell>
          <cell r="P637" t="str">
            <v>制药、生物科技与生命科学</v>
          </cell>
          <cell r="Q637" t="str">
            <v>制药</v>
          </cell>
          <cell r="BC637">
            <v>8.7924970691677685E-3</v>
          </cell>
          <cell r="BD637">
            <v>-2.3823028927963594E-2</v>
          </cell>
          <cell r="BE637">
            <v>-0.17640000690772956</v>
          </cell>
          <cell r="BF637">
            <v>0.20529600143432616</v>
          </cell>
          <cell r="BG637">
            <v>0.1088640022277832</v>
          </cell>
        </row>
        <row r="638">
          <cell r="D638" t="str">
            <v>出版</v>
          </cell>
          <cell r="M638">
            <v>263.46213277999999</v>
          </cell>
          <cell r="N638">
            <v>188.23810546454428</v>
          </cell>
          <cell r="O638" t="str">
            <v>可选消费</v>
          </cell>
          <cell r="P638" t="str">
            <v>媒体Ⅱ</v>
          </cell>
          <cell r="Q638" t="str">
            <v>媒体Ⅲ</v>
          </cell>
          <cell r="BC638">
            <v>3.1283710895361479E-2</v>
          </cell>
          <cell r="BD638">
            <v>-6.0442260442260462E-2</v>
          </cell>
          <cell r="BE638">
            <v>1.323295172484548E-2</v>
          </cell>
          <cell r="BF638">
            <v>0.31342800140380861</v>
          </cell>
          <cell r="BG638">
            <v>0.23968799591064452</v>
          </cell>
        </row>
        <row r="639">
          <cell r="D639" t="str">
            <v>汽车制造</v>
          </cell>
          <cell r="M639">
            <v>161.54092551839997</v>
          </cell>
          <cell r="N639">
            <v>115.35311840110366</v>
          </cell>
          <cell r="O639" t="str">
            <v>可选消费</v>
          </cell>
          <cell r="P639" t="str">
            <v>汽车与汽车零部件</v>
          </cell>
          <cell r="Q639" t="str">
            <v>汽车</v>
          </cell>
          <cell r="BC639">
            <v>3.0812324929971827E-2</v>
          </cell>
          <cell r="BD639">
            <v>2.4118738404452673E-2</v>
          </cell>
          <cell r="BE639">
            <v>-0.24502859721308426</v>
          </cell>
          <cell r="BF639">
            <v>0.14575200080871581</v>
          </cell>
          <cell r="BG639">
            <v>7.1723999977111819E-2</v>
          </cell>
        </row>
        <row r="640">
          <cell r="D640" t="str">
            <v>白酒与葡萄酒</v>
          </cell>
          <cell r="M640">
            <v>151.09052241700002</v>
          </cell>
          <cell r="N640">
            <v>107.88934321685261</v>
          </cell>
          <cell r="O640" t="str">
            <v>日常消费</v>
          </cell>
          <cell r="P640" t="str">
            <v>食品、饮料与烟草</v>
          </cell>
          <cell r="Q640" t="str">
            <v>饮料</v>
          </cell>
          <cell r="BC640">
            <v>3.9928486293206084E-2</v>
          </cell>
          <cell r="BD640">
            <v>4.6163069544364485E-2</v>
          </cell>
          <cell r="BE640">
            <v>-0.22028596961572833</v>
          </cell>
          <cell r="BF640">
            <v>8.0052003860473633E-2</v>
          </cell>
          <cell r="BG640">
            <v>-2.8487999439239502E-2</v>
          </cell>
        </row>
        <row r="641">
          <cell r="D641" t="str">
            <v>煤炭与消费用燃料</v>
          </cell>
          <cell r="M641">
            <v>80.685964898000009</v>
          </cell>
          <cell r="N641">
            <v>57.586677091083338</v>
          </cell>
          <cell r="O641" t="str">
            <v>能源</v>
          </cell>
          <cell r="P641" t="str">
            <v>能源Ⅱ</v>
          </cell>
          <cell r="Q641" t="str">
            <v>石油、天然气与供消费用燃料</v>
          </cell>
          <cell r="BC641">
            <v>-3.3254156769596123E-2</v>
          </cell>
          <cell r="BD641">
            <v>-8.1264108352144343E-2</v>
          </cell>
          <cell r="BE641">
            <v>-0.31249999999999994</v>
          </cell>
          <cell r="BF641">
            <v>0.17423999786376954</v>
          </cell>
          <cell r="BG641">
            <v>-0.16841999053955078</v>
          </cell>
        </row>
        <row r="642">
          <cell r="D642" t="str">
            <v>房地产经营公司</v>
          </cell>
          <cell r="M642">
            <v>151.49529311359998</v>
          </cell>
          <cell r="N642">
            <v>108.07991443851945</v>
          </cell>
          <cell r="O642" t="str">
            <v>金融</v>
          </cell>
          <cell r="P642" t="str">
            <v>房地产</v>
          </cell>
          <cell r="Q642" t="str">
            <v>房地产管理与开发</v>
          </cell>
          <cell r="BC642">
            <v>-3.9735099337748674E-3</v>
          </cell>
          <cell r="BD642">
            <v>-1.0526315789473694E-2</v>
          </cell>
          <cell r="BE642">
            <v>-0.12396793421269516</v>
          </cell>
          <cell r="BF642">
            <v>0.24717599868774415</v>
          </cell>
          <cell r="BG642">
            <v>9.9888000488281253E-2</v>
          </cell>
        </row>
        <row r="643">
          <cell r="D643" t="str">
            <v>海运</v>
          </cell>
          <cell r="M643">
            <v>273.77503126190004</v>
          </cell>
          <cell r="N643">
            <v>195.29124669451042</v>
          </cell>
          <cell r="O643" t="str">
            <v>工业</v>
          </cell>
          <cell r="P643" t="str">
            <v>运输</v>
          </cell>
          <cell r="Q643" t="str">
            <v>海运Ⅲ</v>
          </cell>
          <cell r="BC643">
            <v>-1.8786127167630041E-2</v>
          </cell>
          <cell r="BD643">
            <v>-2.8612303290414903E-2</v>
          </cell>
          <cell r="BE643">
            <v>-0.25439404162102963</v>
          </cell>
          <cell r="BF643">
            <v>0.34234798431396485</v>
          </cell>
          <cell r="BG643">
            <v>-3.7799999117851257E-3</v>
          </cell>
        </row>
        <row r="644">
          <cell r="D644" t="str">
            <v>基础化工</v>
          </cell>
          <cell r="M644">
            <v>186.53432363140001</v>
          </cell>
          <cell r="N644">
            <v>133.00893175552741</v>
          </cell>
          <cell r="O644" t="str">
            <v>材料</v>
          </cell>
          <cell r="P644" t="str">
            <v>材料Ⅱ</v>
          </cell>
          <cell r="Q644" t="str">
            <v>化工</v>
          </cell>
          <cell r="BC644">
            <v>9.1581342434584934E-2</v>
          </cell>
          <cell r="BD644">
            <v>0.14567164179104486</v>
          </cell>
          <cell r="BE644">
            <v>0.12464473858610836</v>
          </cell>
          <cell r="BF644">
            <v>0.54287998199462895</v>
          </cell>
          <cell r="BG644">
            <v>0.32911201477050783</v>
          </cell>
        </row>
        <row r="645">
          <cell r="D645" t="str">
            <v>电子元件</v>
          </cell>
          <cell r="M645">
            <v>101.0640542296</v>
          </cell>
          <cell r="N645">
            <v>72.059277119646495</v>
          </cell>
          <cell r="O645" t="str">
            <v>信息技术</v>
          </cell>
          <cell r="P645" t="str">
            <v>技术硬件与设备</v>
          </cell>
          <cell r="Q645" t="str">
            <v>电子设备、仪器和元件</v>
          </cell>
          <cell r="BC645">
            <v>-1.3024602026049183E-2</v>
          </cell>
          <cell r="BD645">
            <v>8.1681205392545697E-2</v>
          </cell>
          <cell r="BE645">
            <v>-4.1364914120168648E-2</v>
          </cell>
          <cell r="BF645">
            <v>0.24357599258422852</v>
          </cell>
          <cell r="BG645">
            <v>0.13077599525451661</v>
          </cell>
        </row>
        <row r="646">
          <cell r="D646" t="str">
            <v>西药</v>
          </cell>
          <cell r="M646">
            <v>54.672000000000004</v>
          </cell>
          <cell r="N646">
            <v>38.974487692730555</v>
          </cell>
          <cell r="O646" t="str">
            <v>医疗保健</v>
          </cell>
          <cell r="P646" t="str">
            <v>制药、生物科技与生命科学</v>
          </cell>
          <cell r="Q646" t="str">
            <v>制药</v>
          </cell>
          <cell r="BC646">
            <v>6.0546102097348682E-2</v>
          </cell>
          <cell r="BD646">
            <v>-9.1525423728813532E-2</v>
          </cell>
          <cell r="BE646">
            <v>0.35564807095199324</v>
          </cell>
          <cell r="BF646">
            <v>0.20777999877929687</v>
          </cell>
          <cell r="BG646">
            <v>0.24627599716186524</v>
          </cell>
        </row>
        <row r="647">
          <cell r="D647" t="str">
            <v>房地产开发</v>
          </cell>
          <cell r="M647">
            <v>110.155572468</v>
          </cell>
          <cell r="N647">
            <v>78.359657512718968</v>
          </cell>
          <cell r="O647" t="str">
            <v>金融</v>
          </cell>
          <cell r="P647" t="str">
            <v>房地产</v>
          </cell>
          <cell r="Q647" t="str">
            <v>房地产管理与开发</v>
          </cell>
          <cell r="BC647">
            <v>1.7699115044247801E-2</v>
          </cell>
          <cell r="BD647">
            <v>-1.9886363636363591E-2</v>
          </cell>
          <cell r="BE647">
            <v>-0.14846328159433761</v>
          </cell>
          <cell r="BF647">
            <v>0.27566400527954099</v>
          </cell>
          <cell r="BG647">
            <v>0.23227199554443359</v>
          </cell>
        </row>
        <row r="648">
          <cell r="D648" t="str">
            <v>钢铁</v>
          </cell>
          <cell r="M648">
            <v>195.64560528570001</v>
          </cell>
          <cell r="N648">
            <v>139.15507321534278</v>
          </cell>
          <cell r="O648" t="str">
            <v>材料</v>
          </cell>
          <cell r="P648" t="str">
            <v>材料Ⅱ</v>
          </cell>
          <cell r="Q648" t="str">
            <v>金属、非金属与采矿</v>
          </cell>
          <cell r="BC648">
            <v>-3.2432432432432386E-2</v>
          </cell>
          <cell r="BD648">
            <v>-8.8285229202037283E-2</v>
          </cell>
          <cell r="BE648">
            <v>-0.13398307830753042</v>
          </cell>
          <cell r="BF648">
            <v>0.41308799743652341</v>
          </cell>
          <cell r="BG648">
            <v>9.4152002334594725E-2</v>
          </cell>
        </row>
        <row r="649">
          <cell r="D649" t="str">
            <v>西药</v>
          </cell>
          <cell r="M649">
            <v>64.909599670800006</v>
          </cell>
          <cell r="N649">
            <v>46.161668403561869</v>
          </cell>
          <cell r="O649" t="str">
            <v>医疗保健</v>
          </cell>
          <cell r="P649" t="str">
            <v>制药、生物科技与生命科学</v>
          </cell>
          <cell r="Q649" t="str">
            <v>制药</v>
          </cell>
          <cell r="BC649">
            <v>-4.1791044776119573E-3</v>
          </cell>
          <cell r="BD649">
            <v>4.6424090338770402E-2</v>
          </cell>
          <cell r="BE649">
            <v>0.26114944731526663</v>
          </cell>
          <cell r="BF649">
            <v>0.25691999435424806</v>
          </cell>
          <cell r="BG649">
            <v>0.13665599822998048</v>
          </cell>
        </row>
        <row r="650">
          <cell r="D650" t="str">
            <v>电气部件与设备</v>
          </cell>
          <cell r="M650">
            <v>100.749936924</v>
          </cell>
          <cell r="N650">
            <v>71.635433961922502</v>
          </cell>
          <cell r="O650" t="str">
            <v>工业</v>
          </cell>
          <cell r="P650" t="str">
            <v>资本货物</v>
          </cell>
          <cell r="Q650" t="str">
            <v>电气设备</v>
          </cell>
          <cell r="BC650">
            <v>8.610755441741362E-2</v>
          </cell>
          <cell r="BD650">
            <v>9.9837925445704967E-2</v>
          </cell>
          <cell r="BE650">
            <v>0.43711517305158065</v>
          </cell>
          <cell r="BF650">
            <v>0.3159600067138672</v>
          </cell>
          <cell r="BG650">
            <v>0.28895999908447267</v>
          </cell>
        </row>
        <row r="651">
          <cell r="D651" t="str">
            <v>西药</v>
          </cell>
          <cell r="M651">
            <v>72.823827550000004</v>
          </cell>
          <cell r="N651">
            <v>51.761824455714674</v>
          </cell>
          <cell r="O651" t="str">
            <v>医疗保健</v>
          </cell>
          <cell r="P651" t="str">
            <v>制药、生物科技与生命科学</v>
          </cell>
          <cell r="Q651" t="str">
            <v>制药</v>
          </cell>
          <cell r="BC651">
            <v>3.6193029490616681E-2</v>
          </cell>
          <cell r="BD651">
            <v>-5.1480051480050385E-3</v>
          </cell>
          <cell r="BE651">
            <v>-9.0295601886326113E-2</v>
          </cell>
          <cell r="BF651">
            <v>0.40453201293945312</v>
          </cell>
          <cell r="BG651">
            <v>0</v>
          </cell>
        </row>
        <row r="652">
          <cell r="D652" t="str">
            <v>金属非金属</v>
          </cell>
          <cell r="M652">
            <v>97.109320664100011</v>
          </cell>
          <cell r="N652">
            <v>69.00975123618899</v>
          </cell>
          <cell r="O652" t="str">
            <v>材料</v>
          </cell>
          <cell r="P652" t="str">
            <v>材料Ⅱ</v>
          </cell>
          <cell r="Q652" t="str">
            <v>金属、非金属与采矿</v>
          </cell>
          <cell r="BC652">
            <v>-2.1871820956256345E-2</v>
          </cell>
          <cell r="BD652">
            <v>0.10137457044673537</v>
          </cell>
          <cell r="BE652">
            <v>0.18047882136279936</v>
          </cell>
          <cell r="BF652">
            <v>0.33404399871826174</v>
          </cell>
          <cell r="BG652">
            <v>8.8680000305175782E-2</v>
          </cell>
        </row>
        <row r="653">
          <cell r="D653" t="str">
            <v>化肥与农用化工</v>
          </cell>
          <cell r="M653">
            <v>53.407393105500006</v>
          </cell>
          <cell r="N653">
            <v>37.937286056799699</v>
          </cell>
          <cell r="O653" t="str">
            <v>材料</v>
          </cell>
          <cell r="P653" t="str">
            <v>材料Ⅱ</v>
          </cell>
          <cell r="Q653" t="str">
            <v>化工</v>
          </cell>
          <cell r="BC653">
            <v>8.9887640449438186E-2</v>
          </cell>
          <cell r="BD653">
            <v>0.14954853273137711</v>
          </cell>
          <cell r="BE653">
            <v>0.22405115397682104</v>
          </cell>
          <cell r="BF653">
            <v>0.33970798492431642</v>
          </cell>
          <cell r="BG653">
            <v>0.10935600280761719</v>
          </cell>
        </row>
        <row r="654">
          <cell r="D654" t="str">
            <v>工业机械</v>
          </cell>
          <cell r="M654">
            <v>49</v>
          </cell>
          <cell r="N654">
            <v>34.788716761248068</v>
          </cell>
          <cell r="O654" t="str">
            <v>工业</v>
          </cell>
          <cell r="P654" t="str">
            <v>资本货物</v>
          </cell>
          <cell r="Q654" t="str">
            <v>机械</v>
          </cell>
          <cell r="BC654">
            <v>5.8315334773218208E-2</v>
          </cell>
          <cell r="BD654">
            <v>-3.3530571992110507E-2</v>
          </cell>
          <cell r="BE654">
            <v>0</v>
          </cell>
          <cell r="BF654">
            <v>0</v>
          </cell>
          <cell r="BG654">
            <v>0</v>
          </cell>
        </row>
        <row r="655">
          <cell r="D655" t="str">
            <v>西药</v>
          </cell>
          <cell r="M655">
            <v>155.68757354520002</v>
          </cell>
          <cell r="N655">
            <v>110.50743711808465</v>
          </cell>
          <cell r="O655" t="str">
            <v>医疗保健</v>
          </cell>
          <cell r="P655" t="str">
            <v>制药、生物科技与生命科学</v>
          </cell>
          <cell r="Q655" t="str">
            <v>制药</v>
          </cell>
          <cell r="BC655">
            <v>2.0429009193055517E-3</v>
          </cell>
          <cell r="BD655">
            <v>-4.5719844357976547E-2</v>
          </cell>
          <cell r="BE655">
            <v>-0.14000924889120642</v>
          </cell>
          <cell r="BF655">
            <v>0.52168800354003908</v>
          </cell>
          <cell r="BG655">
            <v>0.11372400283813476</v>
          </cell>
        </row>
        <row r="656">
          <cell r="D656" t="str">
            <v>广告</v>
          </cell>
          <cell r="M656">
            <v>122.496</v>
          </cell>
          <cell r="N656">
            <v>86.894447302586102</v>
          </cell>
          <cell r="O656" t="str">
            <v>可选消费</v>
          </cell>
          <cell r="P656" t="str">
            <v>媒体Ⅱ</v>
          </cell>
          <cell r="Q656" t="str">
            <v>媒体Ⅲ</v>
          </cell>
          <cell r="BC656">
            <v>0</v>
          </cell>
          <cell r="BD656">
            <v>0</v>
          </cell>
          <cell r="BE656">
            <v>3.6559428571428354E-2</v>
          </cell>
          <cell r="BF656">
            <v>0</v>
          </cell>
          <cell r="BG656">
            <v>0</v>
          </cell>
        </row>
        <row r="657">
          <cell r="D657" t="str">
            <v>房地产开发</v>
          </cell>
          <cell r="M657">
            <v>82.608664027200007</v>
          </cell>
          <cell r="N657">
            <v>58.597946706792769</v>
          </cell>
          <cell r="O657" t="str">
            <v>金融</v>
          </cell>
          <cell r="P657" t="str">
            <v>房地产</v>
          </cell>
          <cell r="Q657" t="str">
            <v>房地产管理与开发</v>
          </cell>
          <cell r="BC657">
            <v>0.10021551724137948</v>
          </cell>
          <cell r="BD657">
            <v>6.2434963579604728E-2</v>
          </cell>
          <cell r="BE657">
            <v>-0.17073946707049215</v>
          </cell>
          <cell r="BF657">
            <v>0.39675598144531249</v>
          </cell>
          <cell r="BG657">
            <v>0.22899599075317384</v>
          </cell>
        </row>
        <row r="658">
          <cell r="D658" t="str">
            <v>化肥与农用化工</v>
          </cell>
          <cell r="M658">
            <v>111.1923780864</v>
          </cell>
          <cell r="N658">
            <v>78.824655182962744</v>
          </cell>
          <cell r="O658" t="str">
            <v>材料</v>
          </cell>
          <cell r="P658" t="str">
            <v>材料Ⅱ</v>
          </cell>
          <cell r="Q658" t="str">
            <v>化工</v>
          </cell>
          <cell r="BC658">
            <v>6.760316066725193E-2</v>
          </cell>
          <cell r="BD658">
            <v>-8.7087087087087095E-2</v>
          </cell>
          <cell r="BE658">
            <v>-7.5899686763269025E-2</v>
          </cell>
          <cell r="BF658">
            <v>0.67856399536132816</v>
          </cell>
          <cell r="BG658">
            <v>0.26356800079345705</v>
          </cell>
        </row>
        <row r="659">
          <cell r="D659" t="str">
            <v>家用电器</v>
          </cell>
          <cell r="M659">
            <v>43.991378207999993</v>
          </cell>
          <cell r="N659">
            <v>31.17022546923949</v>
          </cell>
          <cell r="O659" t="str">
            <v>可选消费</v>
          </cell>
          <cell r="P659" t="str">
            <v>耐用消费品与服装</v>
          </cell>
          <cell r="Q659" t="str">
            <v>家庭耐用消费品</v>
          </cell>
          <cell r="BC659">
            <v>8.7565674255691457E-3</v>
          </cell>
          <cell r="BD659">
            <v>2.4911032028469695E-2</v>
          </cell>
          <cell r="BE659">
            <v>-0.22883157605813662</v>
          </cell>
          <cell r="BF659">
            <v>-5.7132000923156741E-2</v>
          </cell>
          <cell r="BG659">
            <v>-3.0959999561309813E-2</v>
          </cell>
        </row>
        <row r="660">
          <cell r="D660" t="str">
            <v>钢铁</v>
          </cell>
          <cell r="M660">
            <v>967.05390689820001</v>
          </cell>
          <cell r="N660">
            <v>685.08305217582597</v>
          </cell>
          <cell r="O660" t="str">
            <v>材料</v>
          </cell>
          <cell r="P660" t="str">
            <v>材料Ⅱ</v>
          </cell>
          <cell r="Q660" t="str">
            <v>金属、非金属与采矿</v>
          </cell>
          <cell r="BC660">
            <v>-1.3289036544850363E-2</v>
          </cell>
          <cell r="BD660">
            <v>-1.9801980198019674E-2</v>
          </cell>
          <cell r="BE660">
            <v>-0.5209677419354839</v>
          </cell>
          <cell r="BF660">
            <v>0.21891599655151367</v>
          </cell>
          <cell r="BG660">
            <v>0.13333200454711913</v>
          </cell>
        </row>
        <row r="661">
          <cell r="D661" t="str">
            <v>工业机械</v>
          </cell>
          <cell r="M661">
            <v>59.794899999999991</v>
          </cell>
          <cell r="N661">
            <v>42.355523092509991</v>
          </cell>
          <cell r="O661" t="str">
            <v>工业</v>
          </cell>
          <cell r="P661" t="str">
            <v>资本货物</v>
          </cell>
          <cell r="Q661" t="str">
            <v>机械</v>
          </cell>
          <cell r="BC661">
            <v>2.1785714285714266E-2</v>
          </cell>
          <cell r="BD661">
            <v>1.4539007092198587E-2</v>
          </cell>
          <cell r="BE661">
            <v>-0.14834603652837591</v>
          </cell>
          <cell r="BF661">
            <v>0.33232799530029294</v>
          </cell>
          <cell r="BG661">
            <v>0.15300000190734864</v>
          </cell>
        </row>
        <row r="662">
          <cell r="D662" t="str">
            <v>重型电气设备</v>
          </cell>
          <cell r="M662">
            <v>82.360799999999998</v>
          </cell>
          <cell r="N662">
            <v>58.320028161914074</v>
          </cell>
          <cell r="O662" t="str">
            <v>工业</v>
          </cell>
          <cell r="P662" t="str">
            <v>资本货物</v>
          </cell>
          <cell r="Q662" t="str">
            <v>电气设备</v>
          </cell>
          <cell r="BC662">
            <v>4.2990654205607562E-2</v>
          </cell>
          <cell r="BD662">
            <v>-4.7781569965870345E-2</v>
          </cell>
          <cell r="BE662">
            <v>-5.8591569834470364E-2</v>
          </cell>
          <cell r="BF662">
            <v>0.20515199661254882</v>
          </cell>
          <cell r="BG662">
            <v>0</v>
          </cell>
        </row>
        <row r="663">
          <cell r="D663" t="str">
            <v>电子元件</v>
          </cell>
          <cell r="M663">
            <v>83.609999999999985</v>
          </cell>
          <cell r="N663">
            <v>59.160049593681258</v>
          </cell>
          <cell r="O663" t="str">
            <v>信息技术</v>
          </cell>
          <cell r="P663" t="str">
            <v>技术硬件与设备</v>
          </cell>
          <cell r="Q663" t="str">
            <v>电子设备、仪器和元件</v>
          </cell>
          <cell r="BC663">
            <v>4.1771797028314968E-2</v>
          </cell>
          <cell r="BD663">
            <v>0.21398235870630505</v>
          </cell>
          <cell r="BE663">
            <v>6.5403732319693542E-2</v>
          </cell>
          <cell r="BF663">
            <v>0.12170399665832519</v>
          </cell>
          <cell r="BG663">
            <v>9.3131999969482418E-2</v>
          </cell>
        </row>
        <row r="664">
          <cell r="D664" t="str">
            <v>金属与玻璃容器</v>
          </cell>
          <cell r="M664">
            <v>51.078924960000002</v>
          </cell>
          <cell r="N664">
            <v>36.138741238562226</v>
          </cell>
          <cell r="O664" t="str">
            <v>材料</v>
          </cell>
          <cell r="P664" t="str">
            <v>材料Ⅱ</v>
          </cell>
          <cell r="Q664" t="str">
            <v>容器与包装</v>
          </cell>
          <cell r="BC664">
            <v>2.6178010471204213E-2</v>
          </cell>
          <cell r="BD664">
            <v>-4.4915356150979413E-2</v>
          </cell>
          <cell r="BE664">
            <v>0.37319067935576244</v>
          </cell>
          <cell r="BF664">
            <v>0.51328800201416014</v>
          </cell>
          <cell r="BG664">
            <v>0.18912000656127931</v>
          </cell>
        </row>
        <row r="665">
          <cell r="D665" t="str">
            <v>基础化工</v>
          </cell>
          <cell r="M665">
            <v>328.23887647099997</v>
          </cell>
          <cell r="N665">
            <v>232.20514037066843</v>
          </cell>
          <cell r="O665" t="str">
            <v>材料</v>
          </cell>
          <cell r="P665" t="str">
            <v>材料Ⅱ</v>
          </cell>
          <cell r="Q665" t="str">
            <v>化工</v>
          </cell>
          <cell r="BC665">
            <v>5.1679586563307539E-3</v>
          </cell>
          <cell r="BD665">
            <v>5.1679586563307539E-3</v>
          </cell>
          <cell r="BE665">
            <v>-0.29365682697256179</v>
          </cell>
          <cell r="BF665">
            <v>0.3974399948120117</v>
          </cell>
          <cell r="BG665">
            <v>0.20031600952148437</v>
          </cell>
        </row>
        <row r="666">
          <cell r="D666" t="str">
            <v>铝</v>
          </cell>
          <cell r="M666">
            <v>649.80560308960003</v>
          </cell>
          <cell r="N666">
            <v>459.62552913739268</v>
          </cell>
          <cell r="O666" t="str">
            <v>材料</v>
          </cell>
          <cell r="P666" t="str">
            <v>材料Ⅱ</v>
          </cell>
          <cell r="Q666" t="str">
            <v>金属、非金属与采矿</v>
          </cell>
          <cell r="BC666">
            <v>-3.7527593818984531E-2</v>
          </cell>
          <cell r="BD666">
            <v>-4.1758241758241652E-2</v>
          </cell>
          <cell r="BE666">
            <v>-0.31446540880503143</v>
          </cell>
          <cell r="BF666">
            <v>0.3591120147705078</v>
          </cell>
          <cell r="BG666">
            <v>-5.7024002075195312E-2</v>
          </cell>
        </row>
        <row r="667">
          <cell r="D667" t="str">
            <v>燃气</v>
          </cell>
          <cell r="M667">
            <v>125.4955891644</v>
          </cell>
          <cell r="N667">
            <v>88.744416715312596</v>
          </cell>
          <cell r="O667" t="str">
            <v>公用事业</v>
          </cell>
          <cell r="P667" t="str">
            <v>公用事业Ⅱ</v>
          </cell>
          <cell r="Q667" t="str">
            <v>燃气Ⅲ</v>
          </cell>
          <cell r="BC667">
            <v>5.2128583840139447E-3</v>
          </cell>
          <cell r="BD667">
            <v>-2.8547439126784202E-2</v>
          </cell>
          <cell r="BE667">
            <v>-0.42015117987607287</v>
          </cell>
          <cell r="BF667">
            <v>7.9559999704360961E-3</v>
          </cell>
          <cell r="BG667">
            <v>0.16600799560546875</v>
          </cell>
        </row>
        <row r="668">
          <cell r="D668" t="str">
            <v>建筑与工程</v>
          </cell>
          <cell r="M668">
            <v>293.00046188409999</v>
          </cell>
          <cell r="N668">
            <v>207.17976755718104</v>
          </cell>
          <cell r="O668" t="str">
            <v>工业</v>
          </cell>
          <cell r="P668" t="str">
            <v>资本货物</v>
          </cell>
          <cell r="Q668" t="str">
            <v>建筑与工程Ⅲ</v>
          </cell>
          <cell r="BC668">
            <v>0</v>
          </cell>
          <cell r="BD668">
            <v>-6.8052930056710842E-2</v>
          </cell>
          <cell r="BE668">
            <v>-0.38874510491905678</v>
          </cell>
          <cell r="BF668">
            <v>0.33616798400878906</v>
          </cell>
          <cell r="BG668">
            <v>0.1711079978942871</v>
          </cell>
        </row>
        <row r="669">
          <cell r="D669" t="str">
            <v>百货商店</v>
          </cell>
          <cell r="M669">
            <v>46.4667424776</v>
          </cell>
          <cell r="N669">
            <v>32.831872709192595</v>
          </cell>
          <cell r="O669" t="str">
            <v>可选消费</v>
          </cell>
          <cell r="P669" t="str">
            <v>零售业</v>
          </cell>
          <cell r="Q669" t="str">
            <v>多元化零售</v>
          </cell>
          <cell r="BC669">
            <v>4.2242703533026171E-2</v>
          </cell>
          <cell r="BD669">
            <v>-1.6666666666666698E-2</v>
          </cell>
          <cell r="BE669">
            <v>-0.13340011389735346</v>
          </cell>
          <cell r="BF669">
            <v>0.23757600784301758</v>
          </cell>
          <cell r="BG669">
            <v>2.216399908065796E-2</v>
          </cell>
        </row>
        <row r="670">
          <cell r="D670" t="str">
            <v>建筑机械与重型卡车</v>
          </cell>
          <cell r="M670">
            <v>62.545277769000002</v>
          </cell>
          <cell r="N670">
            <v>44.176585121297258</v>
          </cell>
          <cell r="O670" t="str">
            <v>工业</v>
          </cell>
          <cell r="P670" t="str">
            <v>资本货物</v>
          </cell>
          <cell r="Q670" t="str">
            <v>机械</v>
          </cell>
          <cell r="BC670">
            <v>-2.028985507246368E-2</v>
          </cell>
          <cell r="BD670">
            <v>-1.6488845780795337E-2</v>
          </cell>
          <cell r="BE670">
            <v>-0.37257981064805856</v>
          </cell>
          <cell r="BF670">
            <v>0.10497599601745605</v>
          </cell>
          <cell r="BG670">
            <v>4.1220002174377442E-2</v>
          </cell>
        </row>
        <row r="671">
          <cell r="D671" t="str">
            <v>化肥与农用化工</v>
          </cell>
          <cell r="M671">
            <v>79.395454167600008</v>
          </cell>
          <cell r="N671">
            <v>56.050776313026333</v>
          </cell>
          <cell r="O671" t="str">
            <v>材料</v>
          </cell>
          <cell r="P671" t="str">
            <v>材料Ⅱ</v>
          </cell>
          <cell r="Q671" t="str">
            <v>化工</v>
          </cell>
          <cell r="BC671">
            <v>-5.5045871559633482E-3</v>
          </cell>
          <cell r="BD671">
            <v>-1.9891500904159188E-2</v>
          </cell>
          <cell r="BE671">
            <v>-0.11929039531389724</v>
          </cell>
          <cell r="BF671">
            <v>0.2432040023803711</v>
          </cell>
          <cell r="BG671">
            <v>1.2588000297546387E-2</v>
          </cell>
        </row>
        <row r="672">
          <cell r="D672" t="str">
            <v>休闲用品</v>
          </cell>
          <cell r="M672">
            <v>196.58334735800003</v>
          </cell>
          <cell r="N672">
            <v>138.77509999136532</v>
          </cell>
          <cell r="O672" t="str">
            <v>可选消费</v>
          </cell>
          <cell r="P672" t="str">
            <v>耐用消费品与服装</v>
          </cell>
          <cell r="Q672" t="str">
            <v>休闲设备与用品</v>
          </cell>
          <cell r="BC672">
            <v>0</v>
          </cell>
          <cell r="BD672">
            <v>0</v>
          </cell>
          <cell r="BE672">
            <v>0.22499976696050925</v>
          </cell>
          <cell r="BF672">
            <v>0.53549999237060542</v>
          </cell>
          <cell r="BG672">
            <v>0.51933601379394534</v>
          </cell>
        </row>
        <row r="673">
          <cell r="D673" t="str">
            <v>数据处理与外包服务</v>
          </cell>
          <cell r="M673">
            <v>69.014582799999999</v>
          </cell>
          <cell r="N673">
            <v>48.715853578357809</v>
          </cell>
          <cell r="O673" t="str">
            <v>信息技术</v>
          </cell>
          <cell r="P673" t="str">
            <v>软件与服务</v>
          </cell>
          <cell r="Q673" t="str">
            <v>信息技术服务</v>
          </cell>
          <cell r="BC673">
            <v>-5.1440329218115034E-4</v>
          </cell>
          <cell r="BD673">
            <v>-9.4172494172494153E-2</v>
          </cell>
          <cell r="BE673">
            <v>-0.3708644333005322</v>
          </cell>
          <cell r="BF673">
            <v>0.32678398132324221</v>
          </cell>
          <cell r="BG673">
            <v>0</v>
          </cell>
        </row>
        <row r="674">
          <cell r="D674" t="str">
            <v>投资银行业与经纪业</v>
          </cell>
          <cell r="M674">
            <v>335.48680314580008</v>
          </cell>
          <cell r="N674">
            <v>236.66461149141909</v>
          </cell>
          <cell r="O674" t="str">
            <v>金融</v>
          </cell>
          <cell r="P674" t="str">
            <v>多元金融</v>
          </cell>
          <cell r="Q674" t="str">
            <v>资本市场</v>
          </cell>
          <cell r="BC674">
            <v>7.524932003626475E-2</v>
          </cell>
          <cell r="BD674">
            <v>7.4275362318840618E-2</v>
          </cell>
          <cell r="BE674">
            <v>-0.27469978818826218</v>
          </cell>
          <cell r="BF674">
            <v>0.35636398315429685</v>
          </cell>
          <cell r="BG674">
            <v>0.10677599906921387</v>
          </cell>
        </row>
        <row r="675">
          <cell r="D675" t="str">
            <v>生物科技</v>
          </cell>
          <cell r="M675">
            <v>247.63584480000003</v>
          </cell>
          <cell r="N675">
            <v>174.6804683342904</v>
          </cell>
          <cell r="O675" t="str">
            <v>医疗保健</v>
          </cell>
          <cell r="P675" t="str">
            <v>制药、生物科技与生命科学</v>
          </cell>
          <cell r="Q675" t="str">
            <v>生物科技Ⅲ</v>
          </cell>
          <cell r="BC675">
            <v>-2.2263025017213653E-2</v>
          </cell>
          <cell r="BD675">
            <v>-6.7833698030634604E-2</v>
          </cell>
          <cell r="BE675">
            <v>2.9585549616948606E-2</v>
          </cell>
          <cell r="BF675">
            <v>0.29680799484252929</v>
          </cell>
          <cell r="BG675">
            <v>5.115600109100342E-2</v>
          </cell>
        </row>
        <row r="676">
          <cell r="D676" t="str">
            <v>纺织品</v>
          </cell>
          <cell r="M676">
            <v>81.133476610199992</v>
          </cell>
          <cell r="N676">
            <v>57.221644865789735</v>
          </cell>
          <cell r="O676" t="str">
            <v>可选消费</v>
          </cell>
          <cell r="P676" t="str">
            <v>耐用消费品与服装</v>
          </cell>
          <cell r="Q676" t="str">
            <v>纺织品、服装与奢侈品</v>
          </cell>
          <cell r="BC676">
            <v>-4.0899795501021623E-3</v>
          </cell>
          <cell r="BD676">
            <v>9.438202247191009E-2</v>
          </cell>
          <cell r="BE676">
            <v>0.24870964715437768</v>
          </cell>
          <cell r="BF676">
            <v>0.48641998291015626</v>
          </cell>
          <cell r="BG676">
            <v>8.4600000381469725E-2</v>
          </cell>
        </row>
        <row r="677">
          <cell r="D677" t="str">
            <v>建筑与工程</v>
          </cell>
          <cell r="M677">
            <v>43.716766149799994</v>
          </cell>
          <cell r="N677">
            <v>30.829715180151361</v>
          </cell>
          <cell r="O677" t="str">
            <v>工业</v>
          </cell>
          <cell r="P677" t="str">
            <v>资本货物</v>
          </cell>
          <cell r="Q677" t="str">
            <v>建筑与工程Ⅲ</v>
          </cell>
          <cell r="BC677">
            <v>1.3219284603421456E-2</v>
          </cell>
          <cell r="BD677">
            <v>6.9551777434312106E-3</v>
          </cell>
          <cell r="BE677">
            <v>-0.3437165424644798</v>
          </cell>
          <cell r="BF677">
            <v>6.8424000740051269E-2</v>
          </cell>
          <cell r="BG677">
            <v>6.427199840545654E-2</v>
          </cell>
        </row>
        <row r="678">
          <cell r="D678" t="str">
            <v>白酒与葡萄酒</v>
          </cell>
          <cell r="M678">
            <v>55.125</v>
          </cell>
          <cell r="N678">
            <v>38.87279746435</v>
          </cell>
          <cell r="O678" t="str">
            <v>日常消费</v>
          </cell>
          <cell r="P678" t="str">
            <v>食品、饮料与烟草</v>
          </cell>
          <cell r="Q678" t="str">
            <v>饮料</v>
          </cell>
          <cell r="BC678">
            <v>1.2145748987854281E-2</v>
          </cell>
          <cell r="BD678">
            <v>7.6658053402239495E-2</v>
          </cell>
          <cell r="BE678">
            <v>-5.8966247460123973E-2</v>
          </cell>
          <cell r="BF678">
            <v>0.14675999641418458</v>
          </cell>
          <cell r="BG678">
            <v>3.788399934768677E-2</v>
          </cell>
        </row>
        <row r="679">
          <cell r="D679" t="str">
            <v>电子设备和仪器</v>
          </cell>
          <cell r="M679">
            <v>516.27293999999995</v>
          </cell>
          <cell r="N679">
            <v>363.81139063158884</v>
          </cell>
          <cell r="O679" t="str">
            <v>信息技术</v>
          </cell>
          <cell r="P679" t="str">
            <v>技术硬件与设备</v>
          </cell>
          <cell r="Q679" t="str">
            <v>电子设备、仪器和元件</v>
          </cell>
          <cell r="BC679">
            <v>0</v>
          </cell>
          <cell r="BD679">
            <v>0</v>
          </cell>
          <cell r="BE679">
            <v>0.13700097430621697</v>
          </cell>
          <cell r="BF679">
            <v>0.64483200073242186</v>
          </cell>
          <cell r="BG679">
            <v>0.27685199737548827</v>
          </cell>
        </row>
        <row r="680">
          <cell r="D680" t="str">
            <v>农产品</v>
          </cell>
          <cell r="M680">
            <v>104.98770900000001</v>
          </cell>
          <cell r="N680">
            <v>73.980496403516341</v>
          </cell>
          <cell r="O680" t="str">
            <v>日常消费</v>
          </cell>
          <cell r="P680" t="str">
            <v>食品、饮料与烟草</v>
          </cell>
          <cell r="Q680" t="str">
            <v>食品</v>
          </cell>
          <cell r="BC680">
            <v>7.2258064516129095E-2</v>
          </cell>
          <cell r="BD680">
            <v>-7.1508379888268025E-2</v>
          </cell>
          <cell r="BE680">
            <v>-0.16133273151424785</v>
          </cell>
          <cell r="BF680">
            <v>0.24176399230957032</v>
          </cell>
          <cell r="BG680">
            <v>0.26169599533081056</v>
          </cell>
        </row>
        <row r="681">
          <cell r="D681" t="str">
            <v>化纤</v>
          </cell>
          <cell r="M681">
            <v>62.877915899999998</v>
          </cell>
          <cell r="N681">
            <v>44.278737540607402</v>
          </cell>
          <cell r="O681" t="str">
            <v>材料</v>
          </cell>
          <cell r="P681" t="str">
            <v>材料Ⅱ</v>
          </cell>
          <cell r="Q681" t="str">
            <v>化工</v>
          </cell>
          <cell r="BC681">
            <v>2.0437956204379645E-2</v>
          </cell>
          <cell r="BD681">
            <v>3.8632986627043057E-2</v>
          </cell>
          <cell r="BE681">
            <v>0.26975476839237061</v>
          </cell>
          <cell r="BF681">
            <v>0.44333999633789062</v>
          </cell>
          <cell r="BG681">
            <v>5.909999847412109E-2</v>
          </cell>
        </row>
        <row r="682">
          <cell r="D682" t="str">
            <v>电子元件</v>
          </cell>
          <cell r="M682">
            <v>76.475870827500003</v>
          </cell>
          <cell r="N682">
            <v>53.84106740708382</v>
          </cell>
          <cell r="O682" t="str">
            <v>信息技术</v>
          </cell>
          <cell r="P682" t="str">
            <v>技术硬件与设备</v>
          </cell>
          <cell r="Q682" t="str">
            <v>电子设备、仪器和元件</v>
          </cell>
          <cell r="BC682">
            <v>8.9269195189639203E-2</v>
          </cell>
          <cell r="BD682">
            <v>-8.2943925233644827E-2</v>
          </cell>
          <cell r="BE682">
            <v>0.11823361823361833</v>
          </cell>
          <cell r="BF682">
            <v>0.30893999099731445</v>
          </cell>
          <cell r="BG682">
            <v>0</v>
          </cell>
        </row>
        <row r="683">
          <cell r="D683" t="str">
            <v>电子制造服务</v>
          </cell>
          <cell r="M683">
            <v>216.93958092599999</v>
          </cell>
          <cell r="N683">
            <v>152.68741835514041</v>
          </cell>
          <cell r="O683" t="str">
            <v>信息技术</v>
          </cell>
          <cell r="P683" t="str">
            <v>技术硬件与设备</v>
          </cell>
          <cell r="Q683" t="str">
            <v>电子设备、仪器和元件</v>
          </cell>
          <cell r="BC683">
            <v>2.5720164609053495E-2</v>
          </cell>
          <cell r="BD683">
            <v>-5.5871212121212106E-2</v>
          </cell>
          <cell r="BE683">
            <v>-0.47518885717215104</v>
          </cell>
          <cell r="BF683">
            <v>1.2431999444961548E-2</v>
          </cell>
          <cell r="BG683">
            <v>0</v>
          </cell>
        </row>
        <row r="684">
          <cell r="D684" t="str">
            <v>医疗保健技术</v>
          </cell>
          <cell r="M684">
            <v>120.23400745249999</v>
          </cell>
          <cell r="N684">
            <v>84.615093084741829</v>
          </cell>
          <cell r="O684" t="str">
            <v>医疗保健</v>
          </cell>
          <cell r="P684" t="str">
            <v>医疗保健设备与服务</v>
          </cell>
          <cell r="Q684" t="str">
            <v>医疗保健技术Ⅲ</v>
          </cell>
          <cell r="BC684">
            <v>2.1433355659745499E-2</v>
          </cell>
          <cell r="BD684">
            <v>-5.0435865504358579E-2</v>
          </cell>
          <cell r="BE684">
            <v>-0.20614263404476837</v>
          </cell>
          <cell r="BF684">
            <v>0.55060798645019526</v>
          </cell>
          <cell r="BG684">
            <v>0.30271200180053709</v>
          </cell>
        </row>
        <row r="685">
          <cell r="D685" t="str">
            <v>多元化工</v>
          </cell>
          <cell r="M685">
            <v>76.45993239180001</v>
          </cell>
          <cell r="N685">
            <v>53.805759840405607</v>
          </cell>
          <cell r="O685" t="str">
            <v>材料</v>
          </cell>
          <cell r="P685" t="str">
            <v>材料Ⅱ</v>
          </cell>
          <cell r="Q685" t="str">
            <v>化工</v>
          </cell>
          <cell r="BC685">
            <v>6.7144473783477834E-2</v>
          </cell>
          <cell r="BD685">
            <v>0.1599015990159901</v>
          </cell>
          <cell r="BE685">
            <v>0.56122734718536949</v>
          </cell>
          <cell r="BF685">
            <v>0.6939720153808594</v>
          </cell>
          <cell r="BG685">
            <v>0</v>
          </cell>
        </row>
        <row r="686">
          <cell r="D686" t="str">
            <v>钢铁</v>
          </cell>
          <cell r="M686">
            <v>57.886773750000003</v>
          </cell>
          <cell r="N686">
            <v>40.734082246603705</v>
          </cell>
          <cell r="O686" t="str">
            <v>材料</v>
          </cell>
          <cell r="P686" t="str">
            <v>材料Ⅱ</v>
          </cell>
          <cell r="Q686" t="str">
            <v>金属、非金属与采矿</v>
          </cell>
          <cell r="BC686">
            <v>6.153846153846159E-2</v>
          </cell>
          <cell r="BD686">
            <v>4.8632218844984844E-2</v>
          </cell>
          <cell r="BE686">
            <v>0.12929623567921439</v>
          </cell>
          <cell r="BF686">
            <v>0.47179199218750001</v>
          </cell>
          <cell r="BG686">
            <v>0.12762000083923339</v>
          </cell>
        </row>
        <row r="687">
          <cell r="D687" t="str">
            <v>家用电器</v>
          </cell>
          <cell r="M687">
            <v>111.95713590300001</v>
          </cell>
          <cell r="N687">
            <v>78.755443446997219</v>
          </cell>
          <cell r="O687" t="str">
            <v>可选消费</v>
          </cell>
          <cell r="P687" t="str">
            <v>耐用消费品与服装</v>
          </cell>
          <cell r="Q687" t="str">
            <v>家庭耐用消费品</v>
          </cell>
          <cell r="BC687">
            <v>5.2151238591916609E-3</v>
          </cell>
          <cell r="BD687">
            <v>-7.6646706586826319E-2</v>
          </cell>
          <cell r="BE687">
            <v>6.26169464216524E-2</v>
          </cell>
          <cell r="BF687">
            <v>8.0388002395629876E-2</v>
          </cell>
          <cell r="BG687">
            <v>8.6700000762939447E-2</v>
          </cell>
        </row>
        <row r="688">
          <cell r="D688" t="str">
            <v>电子元件</v>
          </cell>
          <cell r="M688">
            <v>74.630439999999993</v>
          </cell>
          <cell r="N688">
            <v>52.476775649238441</v>
          </cell>
          <cell r="O688" t="str">
            <v>信息技术</v>
          </cell>
          <cell r="P688" t="str">
            <v>技术硬件与设备</v>
          </cell>
          <cell r="Q688" t="str">
            <v>电子设备、仪器和元件</v>
          </cell>
          <cell r="BC688">
            <v>0.18866126727012869</v>
          </cell>
          <cell r="BD688">
            <v>0.12286228622862289</v>
          </cell>
          <cell r="BE688">
            <v>0</v>
          </cell>
          <cell r="BF688">
            <v>0</v>
          </cell>
          <cell r="BG688">
            <v>0</v>
          </cell>
        </row>
        <row r="689">
          <cell r="D689" t="str">
            <v>汽车零售</v>
          </cell>
          <cell r="M689">
            <v>204.77158350320002</v>
          </cell>
          <cell r="N689">
            <v>143.97160306582322</v>
          </cell>
          <cell r="O689" t="str">
            <v>可选消费</v>
          </cell>
          <cell r="P689" t="str">
            <v>零售业</v>
          </cell>
          <cell r="Q689" t="str">
            <v>专营零售</v>
          </cell>
          <cell r="BC689">
            <v>7.4829931972789185E-2</v>
          </cell>
          <cell r="BD689">
            <v>2.9315960912052217E-2</v>
          </cell>
          <cell r="BE689">
            <v>-0.23579201934703742</v>
          </cell>
          <cell r="BF689">
            <v>0.16267200469970702</v>
          </cell>
          <cell r="BG689">
            <v>0</v>
          </cell>
        </row>
        <row r="690">
          <cell r="D690" t="str">
            <v>环境与设施服务</v>
          </cell>
          <cell r="M690">
            <v>66.283953002399997</v>
          </cell>
          <cell r="N690">
            <v>46.599410327851544</v>
          </cell>
          <cell r="O690" t="str">
            <v>工业</v>
          </cell>
          <cell r="P690" t="str">
            <v>商业和专业服务</v>
          </cell>
          <cell r="Q690" t="str">
            <v>商业服务与用品</v>
          </cell>
          <cell r="BC690">
            <v>-9.1100210231253691E-3</v>
          </cell>
          <cell r="BD690">
            <v>-0.13304721030042907</v>
          </cell>
          <cell r="BE690">
            <v>-0.26554450222850434</v>
          </cell>
          <cell r="BF690">
            <v>0.18609600067138671</v>
          </cell>
          <cell r="BG690">
            <v>0</v>
          </cell>
        </row>
        <row r="691">
          <cell r="D691" t="str">
            <v>电子设备和仪器</v>
          </cell>
          <cell r="M691">
            <v>163.52440000000001</v>
          </cell>
          <cell r="N691">
            <v>114.92572300993308</v>
          </cell>
          <cell r="O691" t="str">
            <v>信息技术</v>
          </cell>
          <cell r="P691" t="str">
            <v>技术硬件与设备</v>
          </cell>
          <cell r="Q691" t="str">
            <v>电子设备、仪器和元件</v>
          </cell>
          <cell r="BC691">
            <v>1.2981574539363579E-2</v>
          </cell>
          <cell r="BD691">
            <v>-9.5362752430815156E-2</v>
          </cell>
          <cell r="BE691">
            <v>-0.13296725336046789</v>
          </cell>
          <cell r="BF691">
            <v>0.43603199005126952</v>
          </cell>
          <cell r="BG691">
            <v>0</v>
          </cell>
        </row>
        <row r="692">
          <cell r="D692" t="str">
            <v>化肥与农用化工</v>
          </cell>
          <cell r="M692">
            <v>59.871990745200002</v>
          </cell>
          <cell r="N692">
            <v>42.041541859699997</v>
          </cell>
          <cell r="O692" t="str">
            <v>材料</v>
          </cell>
          <cell r="P692" t="str">
            <v>材料Ⅱ</v>
          </cell>
          <cell r="Q692" t="str">
            <v>化工</v>
          </cell>
          <cell r="BC692">
            <v>8.7658592848904246E-2</v>
          </cell>
          <cell r="BD692">
            <v>6.433408577878108E-2</v>
          </cell>
          <cell r="BE692">
            <v>4.2598509052182267E-3</v>
          </cell>
          <cell r="BF692">
            <v>0.46577999114990232</v>
          </cell>
          <cell r="BG692">
            <v>0.10062000274658203</v>
          </cell>
        </row>
        <row r="693">
          <cell r="D693" t="str">
            <v>中药</v>
          </cell>
          <cell r="M693">
            <v>166.05684975119999</v>
          </cell>
          <cell r="N693">
            <v>116.47241603973139</v>
          </cell>
          <cell r="O693" t="str">
            <v>医疗保健</v>
          </cell>
          <cell r="P693" t="str">
            <v>制药、生物科技与生命科学</v>
          </cell>
          <cell r="Q693" t="str">
            <v>制药</v>
          </cell>
          <cell r="BC693">
            <v>1.0373443983402453E-2</v>
          </cell>
          <cell r="BD693">
            <v>-6.6155321188878194E-2</v>
          </cell>
          <cell r="BE693">
            <v>-1.9261932671037311E-2</v>
          </cell>
          <cell r="BF693">
            <v>0.23830799102783204</v>
          </cell>
          <cell r="BG693">
            <v>0.30063600540161134</v>
          </cell>
        </row>
        <row r="694">
          <cell r="D694" t="str">
            <v>电子设备和仪器</v>
          </cell>
          <cell r="M694">
            <v>101.60582162400001</v>
          </cell>
          <cell r="N694">
            <v>71.260401618176616</v>
          </cell>
          <cell r="O694" t="str">
            <v>信息技术</v>
          </cell>
          <cell r="P694" t="str">
            <v>技术硬件与设备</v>
          </cell>
          <cell r="Q694" t="str">
            <v>电子设备、仪器和元件</v>
          </cell>
          <cell r="BC694">
            <v>8.3432657926102837E-3</v>
          </cell>
          <cell r="BD694">
            <v>7.4285714285714399E-2</v>
          </cell>
          <cell r="BE694">
            <v>-8.4467186303987238E-2</v>
          </cell>
          <cell r="BF694">
            <v>0.62405998229980464</v>
          </cell>
          <cell r="BG694">
            <v>0</v>
          </cell>
        </row>
        <row r="695">
          <cell r="D695" t="str">
            <v>半导体设备</v>
          </cell>
          <cell r="M695">
            <v>75.762499999999989</v>
          </cell>
          <cell r="N695">
            <v>53.131912467537369</v>
          </cell>
          <cell r="O695" t="str">
            <v>信息技术</v>
          </cell>
          <cell r="P695" t="str">
            <v>半导体与半导体生产设备</v>
          </cell>
          <cell r="Q695" t="str">
            <v>半导体产品与半导体设备</v>
          </cell>
          <cell r="BC695">
            <v>2.9556650246305313E-2</v>
          </cell>
          <cell r="BD695">
            <v>-2.7906976744186112E-2</v>
          </cell>
          <cell r="BE695">
            <v>-0.19509812055090511</v>
          </cell>
          <cell r="BF695">
            <v>0.42109199523925783</v>
          </cell>
          <cell r="BG695">
            <v>0</v>
          </cell>
        </row>
        <row r="696">
          <cell r="D696" t="str">
            <v>消费电子产品</v>
          </cell>
          <cell r="M696">
            <v>185.11139330220001</v>
          </cell>
          <cell r="N696">
            <v>129.79495114018039</v>
          </cell>
          <cell r="O696" t="str">
            <v>可选消费</v>
          </cell>
          <cell r="P696" t="str">
            <v>耐用消费品与服装</v>
          </cell>
          <cell r="Q696" t="str">
            <v>家庭耐用消费品</v>
          </cell>
          <cell r="BC696">
            <v>3.8860103626942984E-2</v>
          </cell>
          <cell r="BD696">
            <v>-9.8765432098765517E-3</v>
          </cell>
          <cell r="BE696">
            <v>-0.34902597402597407</v>
          </cell>
          <cell r="BF696">
            <v>0.14108400344848632</v>
          </cell>
          <cell r="BG696">
            <v>0.11381999969482422</v>
          </cell>
        </row>
        <row r="697">
          <cell r="D697" t="str">
            <v>西药</v>
          </cell>
          <cell r="M697">
            <v>72.591999999999999</v>
          </cell>
          <cell r="N697">
            <v>50.895378476831297</v>
          </cell>
          <cell r="O697" t="str">
            <v>医疗保健</v>
          </cell>
          <cell r="P697" t="str">
            <v>制药、生物科技与生命科学</v>
          </cell>
          <cell r="Q697" t="str">
            <v>制药</v>
          </cell>
          <cell r="BC697">
            <v>7.9467047347132905E-2</v>
          </cell>
          <cell r="BD697">
            <v>3.537197626654489E-2</v>
          </cell>
          <cell r="BE697">
            <v>0</v>
          </cell>
          <cell r="BF697">
            <v>0</v>
          </cell>
          <cell r="BG697">
            <v>0</v>
          </cell>
        </row>
        <row r="698">
          <cell r="D698" t="str">
            <v>海运</v>
          </cell>
          <cell r="M698">
            <v>273.45203857920001</v>
          </cell>
          <cell r="N698">
            <v>191.67523751251659</v>
          </cell>
          <cell r="O698" t="str">
            <v>工业</v>
          </cell>
          <cell r="P698" t="str">
            <v>运输</v>
          </cell>
          <cell r="Q698" t="str">
            <v>海运Ⅲ</v>
          </cell>
          <cell r="BC698">
            <v>1.9417475728154925E-3</v>
          </cell>
          <cell r="BD698">
            <v>-7.6923076923076988E-3</v>
          </cell>
          <cell r="BE698">
            <v>-0.24481485742766801</v>
          </cell>
          <cell r="BF698">
            <v>0.59815200805664059</v>
          </cell>
          <cell r="BG698">
            <v>0.14816399574279784</v>
          </cell>
        </row>
        <row r="699">
          <cell r="D699" t="str">
            <v>房地产开发</v>
          </cell>
          <cell r="M699">
            <v>207.47609600000001</v>
          </cell>
          <cell r="N699">
            <v>145.40971235905474</v>
          </cell>
          <cell r="O699" t="str">
            <v>金融</v>
          </cell>
          <cell r="P699" t="str">
            <v>房地产</v>
          </cell>
          <cell r="Q699" t="str">
            <v>房地产管理与开发</v>
          </cell>
          <cell r="BC699">
            <v>9.4214876033057907E-2</v>
          </cell>
          <cell r="BD699">
            <v>9.331131296449223E-2</v>
          </cell>
          <cell r="BE699">
            <v>-0.40577051466179631</v>
          </cell>
          <cell r="BF699">
            <v>0.52107601165771489</v>
          </cell>
          <cell r="BG699">
            <v>0.18996000289916992</v>
          </cell>
        </row>
        <row r="700">
          <cell r="D700" t="str">
            <v>电脑硬件</v>
          </cell>
          <cell r="M700">
            <v>228.63588496319997</v>
          </cell>
          <cell r="N700">
            <v>160.103475198502</v>
          </cell>
          <cell r="O700" t="str">
            <v>信息技术</v>
          </cell>
          <cell r="P700" t="str">
            <v>技术硬件与设备</v>
          </cell>
          <cell r="Q700" t="str">
            <v>电脑与外围设备</v>
          </cell>
          <cell r="BC700">
            <v>1.8699910952804905E-2</v>
          </cell>
          <cell r="BD700">
            <v>-8.7336244541482864E-4</v>
          </cell>
          <cell r="BE700">
            <v>-0.19640497726043232</v>
          </cell>
          <cell r="BF700">
            <v>0.38798400878906247</v>
          </cell>
          <cell r="BG700">
            <v>0.39164398193359373</v>
          </cell>
        </row>
        <row r="701">
          <cell r="D701" t="str">
            <v>特种化工</v>
          </cell>
          <cell r="M701">
            <v>75.357493873199999</v>
          </cell>
          <cell r="N701">
            <v>52.759477089012442</v>
          </cell>
          <cell r="O701" t="str">
            <v>材料</v>
          </cell>
          <cell r="P701" t="str">
            <v>材料Ⅱ</v>
          </cell>
          <cell r="Q701" t="str">
            <v>化工</v>
          </cell>
          <cell r="BC701">
            <v>0.14827586206896565</v>
          </cell>
          <cell r="BD701">
            <v>9.7802197802197871E-2</v>
          </cell>
          <cell r="BE701">
            <v>-0.26361613016027119</v>
          </cell>
          <cell r="BF701">
            <v>0.43664398193359377</v>
          </cell>
          <cell r="BG701">
            <v>0</v>
          </cell>
        </row>
        <row r="702">
          <cell r="D702" t="str">
            <v>纺织品</v>
          </cell>
          <cell r="M702">
            <v>50.108760000000004</v>
          </cell>
          <cell r="N702">
            <v>35.073452553938154</v>
          </cell>
          <cell r="O702" t="str">
            <v>可选消费</v>
          </cell>
          <cell r="P702" t="str">
            <v>耐用消费品与服装</v>
          </cell>
          <cell r="Q702" t="str">
            <v>纺织品、服装与奢侈品</v>
          </cell>
          <cell r="BC702">
            <v>1.4416775884665835E-2</v>
          </cell>
          <cell r="BD702">
            <v>-3.3707865168539276E-2</v>
          </cell>
          <cell r="BE702">
            <v>9.6215937769550175E-2</v>
          </cell>
          <cell r="BF702">
            <v>0.27910800933837893</v>
          </cell>
          <cell r="BG702">
            <v>8.5403995513916017E-2</v>
          </cell>
        </row>
        <row r="703">
          <cell r="D703" t="str">
            <v>房地产开发</v>
          </cell>
          <cell r="M703">
            <v>283.94834116500004</v>
          </cell>
          <cell r="N703">
            <v>198.74798839690328</v>
          </cell>
          <cell r="O703" t="str">
            <v>金融</v>
          </cell>
          <cell r="P703" t="str">
            <v>房地产</v>
          </cell>
          <cell r="Q703" t="str">
            <v>房地产管理与开发</v>
          </cell>
          <cell r="BC703">
            <v>1.4957264957265019E-2</v>
          </cell>
          <cell r="BD703">
            <v>2.4811218985976314E-2</v>
          </cell>
          <cell r="BE703">
            <v>-9.6868005954668643E-2</v>
          </cell>
          <cell r="BF703">
            <v>0.56204399108886716</v>
          </cell>
          <cell r="BG703">
            <v>0.18771600723266602</v>
          </cell>
        </row>
        <row r="704">
          <cell r="D704" t="str">
            <v>药品零售</v>
          </cell>
          <cell r="M704">
            <v>217.94179774300002</v>
          </cell>
          <cell r="N704">
            <v>152.5370129764606</v>
          </cell>
          <cell r="O704" t="str">
            <v>日常消费</v>
          </cell>
          <cell r="P704" t="str">
            <v>食品与主要用品零售Ⅱ</v>
          </cell>
          <cell r="Q704" t="str">
            <v>食品与主要用品零售Ⅲ</v>
          </cell>
          <cell r="BC704">
            <v>-9.1458805744520089E-2</v>
          </cell>
          <cell r="BD704">
            <v>-9.1458805744520089E-2</v>
          </cell>
          <cell r="BE704">
            <v>3.4833521157772829E-2</v>
          </cell>
          <cell r="BF704">
            <v>0.22341600418090821</v>
          </cell>
          <cell r="BG704">
            <v>0.24365999221801757</v>
          </cell>
        </row>
        <row r="705">
          <cell r="D705" t="str">
            <v>机动车零配件与设备</v>
          </cell>
          <cell r="M705">
            <v>171.49222</v>
          </cell>
          <cell r="N705">
            <v>119.98689671909332</v>
          </cell>
          <cell r="O705" t="str">
            <v>可选消费</v>
          </cell>
          <cell r="P705" t="str">
            <v>汽车与汽车零部件</v>
          </cell>
          <cell r="Q705" t="str">
            <v>汽车零配件</v>
          </cell>
          <cell r="BC705">
            <v>8.3675143560295442E-2</v>
          </cell>
          <cell r="BD705">
            <v>0.22769516728624545</v>
          </cell>
          <cell r="BE705">
            <v>5.1432524486572102E-2</v>
          </cell>
          <cell r="BF705">
            <v>0</v>
          </cell>
          <cell r="BG705">
            <v>0</v>
          </cell>
        </row>
        <row r="706">
          <cell r="D706" t="str">
            <v>中药</v>
          </cell>
          <cell r="M706">
            <v>149.9374162</v>
          </cell>
          <cell r="N706">
            <v>104.90548987841962</v>
          </cell>
          <cell r="O706" t="str">
            <v>医疗保健</v>
          </cell>
          <cell r="P706" t="str">
            <v>制药、生物科技与生命科学</v>
          </cell>
          <cell r="Q706" t="str">
            <v>制药</v>
          </cell>
          <cell r="BC706">
            <v>-7.507507507507347E-4</v>
          </cell>
          <cell r="BD706">
            <v>-5.0641940085591947E-2</v>
          </cell>
          <cell r="BE706">
            <v>-0.2730765418765887</v>
          </cell>
          <cell r="BF706">
            <v>-5.8151998519897462E-2</v>
          </cell>
          <cell r="BG706">
            <v>0</v>
          </cell>
        </row>
        <row r="707">
          <cell r="D707" t="str">
            <v>房地产开发</v>
          </cell>
          <cell r="M707">
            <v>36.1258586334</v>
          </cell>
          <cell r="N707">
            <v>25.264648068413582</v>
          </cell>
          <cell r="O707" t="str">
            <v>金融</v>
          </cell>
          <cell r="P707" t="str">
            <v>房地产</v>
          </cell>
          <cell r="Q707" t="str">
            <v>房地产管理与开发</v>
          </cell>
          <cell r="BC707">
            <v>-4.5454545454546502E-3</v>
          </cell>
          <cell r="BD707">
            <v>-1.7937219730941721E-2</v>
          </cell>
          <cell r="BE707">
            <v>-0.46046263394244996</v>
          </cell>
          <cell r="BF707">
            <v>-0.17951999664306639</v>
          </cell>
          <cell r="BG707">
            <v>-8.0819997787475589E-2</v>
          </cell>
        </row>
        <row r="708">
          <cell r="D708" t="str">
            <v>房地产开发</v>
          </cell>
          <cell r="M708">
            <v>2696.8599478443002</v>
          </cell>
          <cell r="N708">
            <v>1886.0283131340566</v>
          </cell>
          <cell r="O708" t="str">
            <v>金融</v>
          </cell>
          <cell r="P708" t="str">
            <v>房地产</v>
          </cell>
          <cell r="Q708" t="str">
            <v>房地产管理与开发</v>
          </cell>
          <cell r="BC708">
            <v>0</v>
          </cell>
          <cell r="BD708">
            <v>0</v>
          </cell>
          <cell r="BE708">
            <v>0.95000454851056615</v>
          </cell>
          <cell r="BF708">
            <v>0.81315597534179684</v>
          </cell>
          <cell r="BG708">
            <v>0.31904399871826172</v>
          </cell>
        </row>
        <row r="709">
          <cell r="D709" t="str">
            <v>家用电器</v>
          </cell>
          <cell r="M709">
            <v>143.99909999999997</v>
          </cell>
          <cell r="N709">
            <v>100.63621709670221</v>
          </cell>
          <cell r="O709" t="str">
            <v>可选消费</v>
          </cell>
          <cell r="P709" t="str">
            <v>耐用消费品与服装</v>
          </cell>
          <cell r="Q709" t="str">
            <v>家庭耐用消费品</v>
          </cell>
          <cell r="BC709">
            <v>4.541484716157191E-2</v>
          </cell>
          <cell r="BD709">
            <v>1.0126582278480997E-2</v>
          </cell>
          <cell r="BE709">
            <v>0</v>
          </cell>
          <cell r="BF709">
            <v>0</v>
          </cell>
          <cell r="BG709">
            <v>0</v>
          </cell>
        </row>
        <row r="710">
          <cell r="D710" t="str">
            <v>电力</v>
          </cell>
          <cell r="M710">
            <v>1228.112427</v>
          </cell>
          <cell r="N710">
            <v>858.22941441735759</v>
          </cell>
          <cell r="O710" t="str">
            <v>公用事业</v>
          </cell>
          <cell r="P710" t="str">
            <v>公用事业Ⅱ</v>
          </cell>
          <cell r="Q710" t="str">
            <v>电力Ⅲ</v>
          </cell>
          <cell r="BC710">
            <v>6.048387096774184E-2</v>
          </cell>
          <cell r="BD710">
            <v>5.9060402684563688E-2</v>
          </cell>
          <cell r="BE710">
            <v>0</v>
          </cell>
          <cell r="BF710">
            <v>0</v>
          </cell>
          <cell r="BG710">
            <v>0</v>
          </cell>
        </row>
        <row r="711">
          <cell r="D711" t="str">
            <v>半导体产品</v>
          </cell>
          <cell r="M711">
            <v>60.245240000000003</v>
          </cell>
          <cell r="N711">
            <v>42.100480363901852</v>
          </cell>
          <cell r="O711" t="str">
            <v>信息技术</v>
          </cell>
          <cell r="P711" t="str">
            <v>半导体与半导体生产设备</v>
          </cell>
          <cell r="Q711" t="str">
            <v>半导体产品与半导体设备</v>
          </cell>
          <cell r="BC711">
            <v>7.4906367041198572E-3</v>
          </cell>
          <cell r="BD711">
            <v>-1.8248175182481848E-2</v>
          </cell>
          <cell r="BE711">
            <v>-0.18731117824773416</v>
          </cell>
          <cell r="BF711">
            <v>0.26673599243164064</v>
          </cell>
          <cell r="BG711">
            <v>-1.0116000175476075E-2</v>
          </cell>
        </row>
        <row r="712">
          <cell r="D712" t="str">
            <v>保健护理设施</v>
          </cell>
          <cell r="M712">
            <v>287.16396746999999</v>
          </cell>
          <cell r="N712">
            <v>200.67269441268752</v>
          </cell>
          <cell r="O712" t="str">
            <v>医疗保健</v>
          </cell>
          <cell r="P712" t="str">
            <v>医疗保健设备与服务</v>
          </cell>
          <cell r="Q712" t="str">
            <v>医疗保健提供商与服务</v>
          </cell>
          <cell r="BC712">
            <v>0</v>
          </cell>
          <cell r="BD712">
            <v>-2.3387905111927808E-2</v>
          </cell>
          <cell r="BE712">
            <v>0.25511996606784937</v>
          </cell>
          <cell r="BF712">
            <v>0.28044000625610349</v>
          </cell>
          <cell r="BG712">
            <v>0.25646400451660156</v>
          </cell>
        </row>
        <row r="713">
          <cell r="D713" t="str">
            <v>服装、服饰与奢侈品</v>
          </cell>
          <cell r="M713">
            <v>69.503975999999994</v>
          </cell>
          <cell r="N713">
            <v>48.561309302140003</v>
          </cell>
          <cell r="O713" t="str">
            <v>可选消费</v>
          </cell>
          <cell r="P713" t="str">
            <v>耐用消费品与服装</v>
          </cell>
          <cell r="Q713" t="str">
            <v>纺织品、服装与奢侈品</v>
          </cell>
          <cell r="BC713">
            <v>4.8575949367088499E-2</v>
          </cell>
          <cell r="BD713">
            <v>2.117042189626502E-3</v>
          </cell>
          <cell r="BE713">
            <v>0</v>
          </cell>
          <cell r="BF713">
            <v>0</v>
          </cell>
          <cell r="BG713">
            <v>0</v>
          </cell>
        </row>
        <row r="714">
          <cell r="D714" t="str">
            <v>电子设备和仪器</v>
          </cell>
          <cell r="M714">
            <v>82.7100054</v>
          </cell>
          <cell r="N714">
            <v>57.784184063395543</v>
          </cell>
          <cell r="O714" t="str">
            <v>信息技术</v>
          </cell>
          <cell r="P714" t="str">
            <v>技术硬件与设备</v>
          </cell>
          <cell r="Q714" t="str">
            <v>电子设备、仪器和元件</v>
          </cell>
          <cell r="BC714">
            <v>4.1589892076862284E-2</v>
          </cell>
          <cell r="BD714">
            <v>1.984536082474235E-2</v>
          </cell>
          <cell r="BE714">
            <v>-0.46547152730823216</v>
          </cell>
          <cell r="BF714">
            <v>0</v>
          </cell>
          <cell r="BG714">
            <v>0</v>
          </cell>
        </row>
        <row r="715">
          <cell r="D715" t="str">
            <v>工业机械</v>
          </cell>
          <cell r="M715">
            <v>71.282584041599989</v>
          </cell>
          <cell r="N715">
            <v>49.790984901732614</v>
          </cell>
          <cell r="O715" t="str">
            <v>工业</v>
          </cell>
          <cell r="P715" t="str">
            <v>资本货物</v>
          </cell>
          <cell r="Q715" t="str">
            <v>机械</v>
          </cell>
          <cell r="BC715">
            <v>7.5187969924810421E-3</v>
          </cell>
          <cell r="BD715">
            <v>-0.10417827298050145</v>
          </cell>
          <cell r="BE715">
            <v>-0.21202376311577675</v>
          </cell>
          <cell r="BF715">
            <v>0.15844799995422362</v>
          </cell>
          <cell r="BG715">
            <v>0</v>
          </cell>
        </row>
        <row r="716">
          <cell r="D716" t="str">
            <v>化纤</v>
          </cell>
          <cell r="M716">
            <v>83.504640000000009</v>
          </cell>
          <cell r="N716">
            <v>58.299663088491485</v>
          </cell>
          <cell r="O716" t="str">
            <v>材料</v>
          </cell>
          <cell r="P716" t="str">
            <v>材料Ⅱ</v>
          </cell>
          <cell r="Q716" t="str">
            <v>化工</v>
          </cell>
          <cell r="BC716">
            <v>8.097165991902841E-3</v>
          </cell>
          <cell r="BD716">
            <v>4.0322580645162226E-3</v>
          </cell>
          <cell r="BE716">
            <v>-0.26027831588275047</v>
          </cell>
          <cell r="BF716">
            <v>8.6976003646850583E-2</v>
          </cell>
          <cell r="BG716">
            <v>4.0199999809265134E-2</v>
          </cell>
        </row>
        <row r="717">
          <cell r="D717" t="str">
            <v>生物科技</v>
          </cell>
          <cell r="M717">
            <v>152.18459371599999</v>
          </cell>
          <cell r="N717">
            <v>106.24769826471835</v>
          </cell>
          <cell r="O717" t="str">
            <v>医疗保健</v>
          </cell>
          <cell r="P717" t="str">
            <v>制药、生物科技与生命科学</v>
          </cell>
          <cell r="Q717" t="str">
            <v>生物科技Ⅲ</v>
          </cell>
          <cell r="BC717">
            <v>-1.7734988598935974E-3</v>
          </cell>
          <cell r="BD717">
            <v>-1.6229712858926309E-2</v>
          </cell>
          <cell r="BE717">
            <v>-0.33748108289894063</v>
          </cell>
          <cell r="BF717">
            <v>0.41308799743652341</v>
          </cell>
          <cell r="BG717">
            <v>0.45953998565673826</v>
          </cell>
        </row>
        <row r="718">
          <cell r="D718" t="str">
            <v>百货商店</v>
          </cell>
          <cell r="M718">
            <v>86.817370730999997</v>
          </cell>
          <cell r="N718">
            <v>60.611277910532436</v>
          </cell>
          <cell r="O718" t="str">
            <v>可选消费</v>
          </cell>
          <cell r="P718" t="str">
            <v>零售业</v>
          </cell>
          <cell r="Q718" t="str">
            <v>多元化零售</v>
          </cell>
          <cell r="BC718">
            <v>-1.2658227848101333E-2</v>
          </cell>
          <cell r="BD718">
            <v>-6.6985645933014315E-2</v>
          </cell>
          <cell r="BE718">
            <v>-0.11860989782127586</v>
          </cell>
          <cell r="BF718">
            <v>0.17012399673461914</v>
          </cell>
          <cell r="BG718">
            <v>5.1600001752376561E-4</v>
          </cell>
        </row>
        <row r="719">
          <cell r="D719" t="str">
            <v>机动车零配件与设备</v>
          </cell>
          <cell r="M719">
            <v>68.34</v>
          </cell>
          <cell r="N719">
            <v>47.69133629489292</v>
          </cell>
          <cell r="O719" t="str">
            <v>可选消费</v>
          </cell>
          <cell r="P719" t="str">
            <v>汽车与汽车零部件</v>
          </cell>
          <cell r="Q719" t="str">
            <v>汽车零配件</v>
          </cell>
          <cell r="BC719">
            <v>6.9316225942732082E-2</v>
          </cell>
          <cell r="BD719">
            <v>-5.4641029187992844E-2</v>
          </cell>
          <cell r="BE719">
            <v>0</v>
          </cell>
          <cell r="BF719">
            <v>0</v>
          </cell>
          <cell r="BG719">
            <v>0</v>
          </cell>
        </row>
        <row r="720">
          <cell r="D720" t="str">
            <v>铝</v>
          </cell>
          <cell r="M720">
            <v>109.0887</v>
          </cell>
          <cell r="N720">
            <v>76.025110128344437</v>
          </cell>
          <cell r="O720" t="str">
            <v>材料</v>
          </cell>
          <cell r="P720" t="str">
            <v>材料Ⅱ</v>
          </cell>
          <cell r="Q720" t="str">
            <v>金属、非金属与采矿</v>
          </cell>
          <cell r="BC720">
            <v>-4.33333333333333E-2</v>
          </cell>
          <cell r="BD720">
            <v>-8.5987261146496824E-2</v>
          </cell>
          <cell r="BE720">
            <v>-5.9016393442622862E-2</v>
          </cell>
          <cell r="BF720">
            <v>0.36316799163818358</v>
          </cell>
          <cell r="BG720">
            <v>-7.1027998924255376E-2</v>
          </cell>
        </row>
        <row r="721">
          <cell r="D721" t="str">
            <v>食品加工与肉类</v>
          </cell>
          <cell r="M721">
            <v>54.761658691499996</v>
          </cell>
          <cell r="N721">
            <v>38.126176097196996</v>
          </cell>
          <cell r="O721" t="str">
            <v>日常消费</v>
          </cell>
          <cell r="P721" t="str">
            <v>食品、饮料与烟草</v>
          </cell>
          <cell r="Q721" t="str">
            <v>食品</v>
          </cell>
          <cell r="BC721">
            <v>-1.7985611510792049E-3</v>
          </cell>
          <cell r="BD721">
            <v>-4.1866028708134146E-3</v>
          </cell>
          <cell r="BE721">
            <v>-0.16171695208267375</v>
          </cell>
          <cell r="BF721">
            <v>7.195199966430664E-2</v>
          </cell>
          <cell r="BG721">
            <v>0.13236000061035155</v>
          </cell>
        </row>
        <row r="722">
          <cell r="D722" t="str">
            <v>煤炭与消费用燃料</v>
          </cell>
          <cell r="M722">
            <v>49.954893558000002</v>
          </cell>
          <cell r="N722">
            <v>34.770145817405719</v>
          </cell>
          <cell r="O722" t="str">
            <v>能源</v>
          </cell>
          <cell r="P722" t="str">
            <v>能源Ⅱ</v>
          </cell>
          <cell r="Q722" t="str">
            <v>石油、天然气与供消费用燃料</v>
          </cell>
          <cell r="BC722">
            <v>-1.0060362173038195E-2</v>
          </cell>
          <cell r="BD722">
            <v>-4.2801556420233415E-2</v>
          </cell>
          <cell r="BE722">
            <v>-0.25114155251141557</v>
          </cell>
          <cell r="BF722">
            <v>0.12237600326538085</v>
          </cell>
          <cell r="BG722">
            <v>-0.10734000205993652</v>
          </cell>
        </row>
        <row r="723">
          <cell r="D723" t="str">
            <v>工业机械</v>
          </cell>
          <cell r="M723">
            <v>61.74</v>
          </cell>
          <cell r="N723">
            <v>42.972895210277784</v>
          </cell>
          <cell r="O723" t="str">
            <v>工业</v>
          </cell>
          <cell r="P723" t="str">
            <v>资本货物</v>
          </cell>
          <cell r="Q723" t="str">
            <v>机械</v>
          </cell>
          <cell r="BC723">
            <v>0.16534541336353351</v>
          </cell>
          <cell r="BD723">
            <v>0.12213740458015264</v>
          </cell>
          <cell r="BE723">
            <v>0</v>
          </cell>
          <cell r="BF723">
            <v>0</v>
          </cell>
          <cell r="BG723">
            <v>0</v>
          </cell>
        </row>
        <row r="724">
          <cell r="D724" t="str">
            <v>电气部件与设备</v>
          </cell>
          <cell r="M724">
            <v>62.9704686619</v>
          </cell>
          <cell r="N724">
            <v>43.825260115790449</v>
          </cell>
          <cell r="O724" t="str">
            <v>工业</v>
          </cell>
          <cell r="P724" t="str">
            <v>资本货物</v>
          </cell>
          <cell r="Q724" t="str">
            <v>电气设备</v>
          </cell>
          <cell r="BC724">
            <v>2.5609756097561082E-2</v>
          </cell>
          <cell r="BD724">
            <v>8.3932853717026724E-3</v>
          </cell>
          <cell r="BE724">
            <v>-0.27801411214279553</v>
          </cell>
          <cell r="BF724">
            <v>0.14541600227355958</v>
          </cell>
          <cell r="BG724">
            <v>7.032000064849854E-2</v>
          </cell>
        </row>
        <row r="725">
          <cell r="D725" t="str">
            <v>生物科技</v>
          </cell>
          <cell r="M725">
            <v>110.70291339030001</v>
          </cell>
          <cell r="N725">
            <v>76.999495043533557</v>
          </cell>
          <cell r="O725" t="str">
            <v>医疗保健</v>
          </cell>
          <cell r="P725" t="str">
            <v>制药、生物科技与生命科学</v>
          </cell>
          <cell r="Q725" t="str">
            <v>生物科技Ⅲ</v>
          </cell>
          <cell r="BC725">
            <v>-8.5030208100245128E-3</v>
          </cell>
          <cell r="BD725">
            <v>6.9514844315713309E-2</v>
          </cell>
          <cell r="BE725">
            <v>-4.937356278026904E-2</v>
          </cell>
          <cell r="BF725">
            <v>0</v>
          </cell>
          <cell r="BG725">
            <v>0</v>
          </cell>
        </row>
        <row r="726">
          <cell r="D726" t="str">
            <v>药品零售</v>
          </cell>
          <cell r="M726">
            <v>81.922499999999985</v>
          </cell>
          <cell r="N726">
            <v>56.965081198615231</v>
          </cell>
          <cell r="O726" t="str">
            <v>日常消费</v>
          </cell>
          <cell r="P726" t="str">
            <v>食品与主要用品零售Ⅱ</v>
          </cell>
          <cell r="Q726" t="str">
            <v>食品与主要用品零售Ⅲ</v>
          </cell>
          <cell r="BC726">
            <v>0.12498068901591208</v>
          </cell>
          <cell r="BD726">
            <v>3.2761310452417924E-2</v>
          </cell>
          <cell r="BE726">
            <v>0.23381975936550792</v>
          </cell>
          <cell r="BF726">
            <v>0</v>
          </cell>
          <cell r="BG726">
            <v>0</v>
          </cell>
        </row>
        <row r="727">
          <cell r="D727" t="str">
            <v>房地产开发</v>
          </cell>
          <cell r="M727">
            <v>175.2459361965</v>
          </cell>
          <cell r="N727">
            <v>121.85182260868662</v>
          </cell>
          <cell r="O727" t="str">
            <v>金融</v>
          </cell>
          <cell r="P727" t="str">
            <v>房地产</v>
          </cell>
          <cell r="Q727" t="str">
            <v>房地产管理与开发</v>
          </cell>
          <cell r="BC727">
            <v>2.2727272727272693E-2</v>
          </cell>
          <cell r="BD727">
            <v>2.0151133501259352E-2</v>
          </cell>
          <cell r="BE727">
            <v>-0.44309164842080229</v>
          </cell>
          <cell r="BF727">
            <v>0.36604801177978513</v>
          </cell>
          <cell r="BG727">
            <v>0.12303600311279297</v>
          </cell>
        </row>
        <row r="728">
          <cell r="D728" t="str">
            <v>基础化工</v>
          </cell>
          <cell r="M728">
            <v>44.659998659999999</v>
          </cell>
          <cell r="N728">
            <v>31.052313385279138</v>
          </cell>
          <cell r="O728" t="str">
            <v>材料</v>
          </cell>
          <cell r="P728" t="str">
            <v>材料Ⅱ</v>
          </cell>
          <cell r="Q728" t="str">
            <v>化工</v>
          </cell>
          <cell r="BC728">
            <v>3.0000000000000072E-2</v>
          </cell>
          <cell r="BD728">
            <v>-5.4178145087235979E-2</v>
          </cell>
          <cell r="BE728">
            <v>0.4972154677351211</v>
          </cell>
          <cell r="BF728">
            <v>0.83619598388671879</v>
          </cell>
          <cell r="BG728">
            <v>0.26570400238037112</v>
          </cell>
        </row>
        <row r="729">
          <cell r="D729" t="str">
            <v>家庭装饰品</v>
          </cell>
          <cell r="M729">
            <v>47.65</v>
          </cell>
          <cell r="N729">
            <v>33.108067422979168</v>
          </cell>
          <cell r="O729" t="str">
            <v>可选消费</v>
          </cell>
          <cell r="P729" t="str">
            <v>耐用消费品与服装</v>
          </cell>
          <cell r="Q729" t="str">
            <v>家庭耐用消费品</v>
          </cell>
          <cell r="BC729">
            <v>3.317432784041633E-2</v>
          </cell>
          <cell r="BD729">
            <v>-3.659522846744849E-2</v>
          </cell>
          <cell r="BE729">
            <v>0.66694364096301451</v>
          </cell>
          <cell r="BF729">
            <v>0</v>
          </cell>
          <cell r="BG729">
            <v>0</v>
          </cell>
        </row>
        <row r="730">
          <cell r="D730" t="str">
            <v>食品加工与肉类</v>
          </cell>
          <cell r="M730">
            <v>85.741230111999997</v>
          </cell>
          <cell r="N730">
            <v>59.552598191962289</v>
          </cell>
          <cell r="O730" t="str">
            <v>日常消费</v>
          </cell>
          <cell r="P730" t="str">
            <v>食品、饮料与烟草</v>
          </cell>
          <cell r="Q730" t="str">
            <v>食品</v>
          </cell>
          <cell r="BC730">
            <v>8.6691086691086799E-2</v>
          </cell>
          <cell r="BD730">
            <v>8.8019559902200575E-2</v>
          </cell>
          <cell r="BE730">
            <v>0.10019341948378627</v>
          </cell>
          <cell r="BF730">
            <v>0.35029201507568358</v>
          </cell>
          <cell r="BG730">
            <v>0.15110400199890137</v>
          </cell>
        </row>
        <row r="731">
          <cell r="D731" t="str">
            <v>食品加工与肉类</v>
          </cell>
          <cell r="M731">
            <v>313.48354060849999</v>
          </cell>
          <cell r="N731">
            <v>217.70582247452731</v>
          </cell>
          <cell r="O731" t="str">
            <v>日常消费</v>
          </cell>
          <cell r="P731" t="str">
            <v>食品、饮料与烟草</v>
          </cell>
          <cell r="Q731" t="str">
            <v>食品</v>
          </cell>
          <cell r="BC731">
            <v>0.12107208872458405</v>
          </cell>
          <cell r="BD731">
            <v>0.1822612085769981</v>
          </cell>
          <cell r="BE731">
            <v>0.61295975309890827</v>
          </cell>
          <cell r="BF731">
            <v>0.72327598571777341</v>
          </cell>
          <cell r="BG731">
            <v>0</v>
          </cell>
        </row>
        <row r="732">
          <cell r="D732" t="str">
            <v>电力</v>
          </cell>
          <cell r="M732">
            <v>68.289522584400004</v>
          </cell>
          <cell r="N732">
            <v>47.423277807509074</v>
          </cell>
          <cell r="O732" t="str">
            <v>公用事业</v>
          </cell>
          <cell r="P732" t="str">
            <v>公用事业Ⅱ</v>
          </cell>
          <cell r="Q732" t="str">
            <v>电力Ⅲ</v>
          </cell>
          <cell r="BC732">
            <v>5.3333333333333384E-3</v>
          </cell>
          <cell r="BD732">
            <v>-1.6949152542372867E-2</v>
          </cell>
          <cell r="BE732">
            <v>-0.3424855639292137</v>
          </cell>
          <cell r="BF732">
            <v>2.1384000778198242E-2</v>
          </cell>
          <cell r="BG732">
            <v>-4.4604001045227049E-2</v>
          </cell>
        </row>
        <row r="733">
          <cell r="D733" t="str">
            <v>贸易公司与工业品经销商</v>
          </cell>
          <cell r="M733">
            <v>47.616741149999996</v>
          </cell>
          <cell r="N733">
            <v>33.027144784967909</v>
          </cell>
          <cell r="O733" t="str">
            <v>工业</v>
          </cell>
          <cell r="P733" t="str">
            <v>资本货物</v>
          </cell>
          <cell r="Q733" t="str">
            <v>贸易公司与工业品经销商Ⅲ</v>
          </cell>
          <cell r="BC733">
            <v>3.09278350515464E-2</v>
          </cell>
          <cell r="BD733">
            <v>-0.12280701754385959</v>
          </cell>
          <cell r="BE733">
            <v>-0.33528305405255782</v>
          </cell>
          <cell r="BF733">
            <v>0.22441200256347657</v>
          </cell>
          <cell r="BG733">
            <v>0.18253200531005859</v>
          </cell>
        </row>
        <row r="734">
          <cell r="D734" t="str">
            <v>金属非金属</v>
          </cell>
          <cell r="M734">
            <v>40.375162886299997</v>
          </cell>
          <cell r="N734">
            <v>27.996829445143753</v>
          </cell>
          <cell r="O734" t="str">
            <v>材料</v>
          </cell>
          <cell r="P734" t="str">
            <v>材料Ⅱ</v>
          </cell>
          <cell r="Q734" t="str">
            <v>金属、非金属与采矿</v>
          </cell>
          <cell r="BC734">
            <v>-7.4165636588381335E-3</v>
          </cell>
          <cell r="BD734">
            <v>1.2468827930174299E-3</v>
          </cell>
          <cell r="BE734">
            <v>-0.25672621422584141</v>
          </cell>
          <cell r="BF734">
            <v>8.2200002670288083E-2</v>
          </cell>
          <cell r="BG734">
            <v>-0.11482799530029297</v>
          </cell>
        </row>
        <row r="735">
          <cell r="D735" t="str">
            <v>重型电气设备</v>
          </cell>
          <cell r="M735">
            <v>55.696959224399997</v>
          </cell>
          <cell r="N735">
            <v>38.610316631414662</v>
          </cell>
          <cell r="O735" t="str">
            <v>工业</v>
          </cell>
          <cell r="P735" t="str">
            <v>资本货物</v>
          </cell>
          <cell r="Q735" t="str">
            <v>电气设备</v>
          </cell>
          <cell r="BC735">
            <v>-4.0469445568596281E-3</v>
          </cell>
          <cell r="BD735">
            <v>-0.12451085023123444</v>
          </cell>
          <cell r="BE735">
            <v>-0.11581339695691521</v>
          </cell>
          <cell r="BF735">
            <v>0.50822399139404295</v>
          </cell>
          <cell r="BG735">
            <v>0.23006399154663085</v>
          </cell>
        </row>
        <row r="736">
          <cell r="D736" t="str">
            <v>化肥与农用化工</v>
          </cell>
          <cell r="M736">
            <v>55.788041276200005</v>
          </cell>
          <cell r="N736">
            <v>38.638926980092599</v>
          </cell>
          <cell r="O736" t="str">
            <v>材料</v>
          </cell>
          <cell r="P736" t="str">
            <v>材料Ⅱ</v>
          </cell>
          <cell r="Q736" t="str">
            <v>化工</v>
          </cell>
          <cell r="BC736">
            <v>-8.4459459459459152E-3</v>
          </cell>
          <cell r="BD736">
            <v>-0.14680232558139533</v>
          </cell>
          <cell r="BE736">
            <v>-0.12778603268945027</v>
          </cell>
          <cell r="BF736">
            <v>0.70114799499511715</v>
          </cell>
          <cell r="BG736">
            <v>0.126048002243042</v>
          </cell>
        </row>
        <row r="737">
          <cell r="D737" t="str">
            <v>煤炭与消费用燃料</v>
          </cell>
          <cell r="M737">
            <v>49.00301415900001</v>
          </cell>
          <cell r="N737">
            <v>33.938881635293363</v>
          </cell>
          <cell r="O737" t="str">
            <v>能源</v>
          </cell>
          <cell r="P737" t="str">
            <v>能源Ⅱ</v>
          </cell>
          <cell r="Q737" t="str">
            <v>石油、天然气与供消费用燃料</v>
          </cell>
          <cell r="BC737">
            <v>-1.3944223107569601E-2</v>
          </cell>
          <cell r="BD737">
            <v>-5.7142857142857106E-2</v>
          </cell>
          <cell r="BE737">
            <v>-0.34350132625994695</v>
          </cell>
          <cell r="BF737">
            <v>0.40064399719238281</v>
          </cell>
          <cell r="BG737">
            <v>4.4531998634338377E-2</v>
          </cell>
        </row>
        <row r="738">
          <cell r="D738" t="str">
            <v>建筑机械与重型卡车</v>
          </cell>
          <cell r="M738">
            <v>61.853564290500003</v>
          </cell>
          <cell r="N738">
            <v>42.833091840662973</v>
          </cell>
          <cell r="O738" t="str">
            <v>工业</v>
          </cell>
          <cell r="P738" t="str">
            <v>资本货物</v>
          </cell>
          <cell r="Q738" t="str">
            <v>机械</v>
          </cell>
          <cell r="BC738">
            <v>6.2402496099844048E-3</v>
          </cell>
          <cell r="BD738">
            <v>-3.8748137108792817E-2</v>
          </cell>
          <cell r="BE738">
            <v>-0.47044334975369456</v>
          </cell>
          <cell r="BF738">
            <v>0.4795800018310547</v>
          </cell>
          <cell r="BG738">
            <v>-5.8031997680664062E-2</v>
          </cell>
        </row>
        <row r="739">
          <cell r="D739" t="str">
            <v>食品加工与肉类</v>
          </cell>
          <cell r="M739">
            <v>73.44</v>
          </cell>
          <cell r="N739">
            <v>50.842550971666668</v>
          </cell>
          <cell r="O739" t="str">
            <v>日常消费</v>
          </cell>
          <cell r="P739" t="str">
            <v>食品、饮料与烟草</v>
          </cell>
          <cell r="Q739" t="str">
            <v>食品</v>
          </cell>
          <cell r="BC739">
            <v>8.2291912284838536E-2</v>
          </cell>
          <cell r="BD739">
            <v>4.6750285062713733E-2</v>
          </cell>
          <cell r="BE739">
            <v>0.42151295097132296</v>
          </cell>
          <cell r="BF739">
            <v>0</v>
          </cell>
          <cell r="BG739">
            <v>0</v>
          </cell>
        </row>
        <row r="740">
          <cell r="D740" t="str">
            <v>食品加工与肉类</v>
          </cell>
          <cell r="M740">
            <v>110.2202265536</v>
          </cell>
          <cell r="N740">
            <v>76.273787744912042</v>
          </cell>
          <cell r="O740" t="str">
            <v>日常消费</v>
          </cell>
          <cell r="P740" t="str">
            <v>食品、饮料与烟草</v>
          </cell>
          <cell r="Q740" t="str">
            <v>食品</v>
          </cell>
          <cell r="BC740">
            <v>3.9548022598870095E-2</v>
          </cell>
          <cell r="BD740">
            <v>-1.2080536912751658E-2</v>
          </cell>
          <cell r="BE740">
            <v>-0.30170777988614794</v>
          </cell>
          <cell r="BF740">
            <v>-5.9123997688293455E-2</v>
          </cell>
          <cell r="BG740">
            <v>4.4580001831054684E-2</v>
          </cell>
        </row>
        <row r="741">
          <cell r="D741" t="str">
            <v>金属非金属</v>
          </cell>
          <cell r="M741">
            <v>41.867600000000003</v>
          </cell>
          <cell r="N741">
            <v>28.972457368862855</v>
          </cell>
          <cell r="O741" t="str">
            <v>材料</v>
          </cell>
          <cell r="P741" t="str">
            <v>材料Ⅱ</v>
          </cell>
          <cell r="Q741" t="str">
            <v>金属、非金属与采矿</v>
          </cell>
          <cell r="BC741">
            <v>5.8628684995031453E-2</v>
          </cell>
          <cell r="BD741">
            <v>-6.836544437538809E-3</v>
          </cell>
          <cell r="BE741">
            <v>-3.6353677380594668E-2</v>
          </cell>
          <cell r="BF741">
            <v>0</v>
          </cell>
          <cell r="BG741">
            <v>0</v>
          </cell>
        </row>
        <row r="742">
          <cell r="D742" t="str">
            <v>百货商店</v>
          </cell>
          <cell r="M742">
            <v>68.642568768000004</v>
          </cell>
          <cell r="N742">
            <v>47.491616882887676</v>
          </cell>
          <cell r="O742" t="str">
            <v>可选消费</v>
          </cell>
          <cell r="P742" t="str">
            <v>零售业</v>
          </cell>
          <cell r="Q742" t="str">
            <v>多元化零售</v>
          </cell>
          <cell r="BC742">
            <v>4.4613710554951051E-2</v>
          </cell>
          <cell r="BD742">
            <v>3.7837837837837798E-2</v>
          </cell>
          <cell r="BE742">
            <v>-0.11137420869853715</v>
          </cell>
          <cell r="BF742">
            <v>0.18056400299072264</v>
          </cell>
          <cell r="BG742">
            <v>6.8759999275207526E-2</v>
          </cell>
        </row>
        <row r="743">
          <cell r="D743" t="str">
            <v>电气部件与设备</v>
          </cell>
          <cell r="M743">
            <v>77.787376702000003</v>
          </cell>
          <cell r="N743">
            <v>53.800598519748739</v>
          </cell>
          <cell r="O743" t="str">
            <v>工业</v>
          </cell>
          <cell r="P743" t="str">
            <v>资本货物</v>
          </cell>
          <cell r="Q743" t="str">
            <v>电气设备</v>
          </cell>
          <cell r="BC743">
            <v>-3.2175689479060215E-2</v>
          </cell>
          <cell r="BD743">
            <v>-4.5340050377833854E-2</v>
          </cell>
          <cell r="BE743">
            <v>-7.2428423784943699E-2</v>
          </cell>
          <cell r="BF743">
            <v>8.6555995941162103E-2</v>
          </cell>
          <cell r="BG743">
            <v>0.25628400802612306</v>
          </cell>
        </row>
        <row r="744">
          <cell r="D744" t="str">
            <v>应用软件</v>
          </cell>
          <cell r="M744">
            <v>392.70498670000012</v>
          </cell>
          <cell r="N744">
            <v>271.60477668176395</v>
          </cell>
          <cell r="O744" t="str">
            <v>信息技术</v>
          </cell>
          <cell r="P744" t="str">
            <v>软件与服务</v>
          </cell>
          <cell r="Q744" t="str">
            <v>软件</v>
          </cell>
          <cell r="BC744">
            <v>0</v>
          </cell>
          <cell r="BD744">
            <v>0</v>
          </cell>
          <cell r="BE744">
            <v>-0.18704807126553899</v>
          </cell>
          <cell r="BF744">
            <v>0.19198799133300781</v>
          </cell>
          <cell r="BG744">
            <v>0.32069999694824219</v>
          </cell>
        </row>
        <row r="745">
          <cell r="D745" t="str">
            <v>服装、服饰与奢侈品</v>
          </cell>
          <cell r="M745">
            <v>91.441031840000008</v>
          </cell>
          <cell r="N745">
            <v>63.153222702361624</v>
          </cell>
          <cell r="O745" t="str">
            <v>可选消费</v>
          </cell>
          <cell r="P745" t="str">
            <v>耐用消费品与服装</v>
          </cell>
          <cell r="Q745" t="str">
            <v>纺织品、服装与奢侈品</v>
          </cell>
          <cell r="BC745">
            <v>4.9466537342386013E-2</v>
          </cell>
          <cell r="BD745">
            <v>-1.0968921389396638E-2</v>
          </cell>
          <cell r="BE745">
            <v>-0.14173237331556149</v>
          </cell>
          <cell r="BF745">
            <v>0.24318000793457031</v>
          </cell>
          <cell r="BG745">
            <v>0.12259200096130371</v>
          </cell>
        </row>
        <row r="746">
          <cell r="D746" t="str">
            <v>房地产开发</v>
          </cell>
          <cell r="M746">
            <v>108.00730937359999</v>
          </cell>
          <cell r="N746">
            <v>74.574437074821205</v>
          </cell>
          <cell r="O746" t="str">
            <v>金融</v>
          </cell>
          <cell r="P746" t="str">
            <v>房地产</v>
          </cell>
          <cell r="Q746" t="str">
            <v>房地产管理与开发</v>
          </cell>
          <cell r="BC746">
            <v>-1.0962241169305923E-2</v>
          </cell>
          <cell r="BD746">
            <v>-1.516070345664039E-2</v>
          </cell>
          <cell r="BE746">
            <v>-1.287466654399862E-2</v>
          </cell>
          <cell r="BF746">
            <v>0.2677199935913086</v>
          </cell>
          <cell r="BG746">
            <v>0.21481199264526368</v>
          </cell>
        </row>
        <row r="747">
          <cell r="D747" t="str">
            <v>财产与意外伤害保险</v>
          </cell>
          <cell r="M747">
            <v>283.43159321540003</v>
          </cell>
          <cell r="N747">
            <v>195.63206821319031</v>
          </cell>
          <cell r="O747" t="str">
            <v>金融</v>
          </cell>
          <cell r="P747" t="str">
            <v>保险Ⅱ</v>
          </cell>
          <cell r="Q747" t="str">
            <v>保险Ⅲ</v>
          </cell>
          <cell r="BC747">
            <v>2.611792639493471E-2</v>
          </cell>
          <cell r="BD747">
            <v>2.611792639493471E-2</v>
          </cell>
          <cell r="BE747">
            <v>2.5180502701662846E-2</v>
          </cell>
          <cell r="BF747">
            <v>0.65146797180175786</v>
          </cell>
          <cell r="BG747">
            <v>0.27684000015258792</v>
          </cell>
        </row>
        <row r="748">
          <cell r="D748" t="str">
            <v>水务</v>
          </cell>
          <cell r="M748">
            <v>44.451000000000001</v>
          </cell>
          <cell r="N748">
            <v>30.681095092999993</v>
          </cell>
          <cell r="O748" t="str">
            <v>公用事业</v>
          </cell>
          <cell r="P748" t="str">
            <v>公用事业Ⅱ</v>
          </cell>
          <cell r="Q748" t="str">
            <v>水务Ⅲ</v>
          </cell>
          <cell r="BC748">
            <v>2.7459954233409703E-2</v>
          </cell>
          <cell r="BD748">
            <v>6.735340729001596E-2</v>
          </cell>
          <cell r="BE748">
            <v>4.0154353584518875E-2</v>
          </cell>
          <cell r="BF748">
            <v>0.33496799468994143</v>
          </cell>
          <cell r="BG748">
            <v>7.5756001472473147E-2</v>
          </cell>
        </row>
        <row r="749">
          <cell r="D749" t="str">
            <v>化肥与农用化工</v>
          </cell>
          <cell r="M749">
            <v>127.519416384</v>
          </cell>
          <cell r="N749">
            <v>88.007825529198797</v>
          </cell>
          <cell r="O749" t="str">
            <v>材料</v>
          </cell>
          <cell r="P749" t="str">
            <v>材料Ⅱ</v>
          </cell>
          <cell r="Q749" t="str">
            <v>化工</v>
          </cell>
          <cell r="BC749">
            <v>3.0042918454935553E-2</v>
          </cell>
          <cell r="BD749">
            <v>-2.735562310030391E-2</v>
          </cell>
          <cell r="BE749">
            <v>-0.3881453154875717</v>
          </cell>
          <cell r="BF749">
            <v>4.3488001823425292E-2</v>
          </cell>
          <cell r="BG749">
            <v>-0.14119199752807618</v>
          </cell>
        </row>
        <row r="750">
          <cell r="D750" t="str">
            <v>基础化工</v>
          </cell>
          <cell r="M750">
            <v>135.26317909970001</v>
          </cell>
          <cell r="N750">
            <v>93.26024471062675</v>
          </cell>
          <cell r="O750" t="str">
            <v>材料</v>
          </cell>
          <cell r="P750" t="str">
            <v>材料Ⅱ</v>
          </cell>
          <cell r="Q750" t="str">
            <v>化工</v>
          </cell>
          <cell r="BC750">
            <v>-1.2162162162162262E-2</v>
          </cell>
          <cell r="BD750">
            <v>5.3314121037463864E-2</v>
          </cell>
          <cell r="BE750">
            <v>-0.22406008860211596</v>
          </cell>
          <cell r="BF750">
            <v>0.36569999694824218</v>
          </cell>
          <cell r="BG750">
            <v>0.12517200469970702</v>
          </cell>
        </row>
        <row r="751">
          <cell r="D751" t="str">
            <v>机动车零配件与设备</v>
          </cell>
          <cell r="M751">
            <v>46.322741999999998</v>
          </cell>
          <cell r="N751">
            <v>31.914227176328232</v>
          </cell>
          <cell r="O751" t="str">
            <v>可选消费</v>
          </cell>
          <cell r="P751" t="str">
            <v>汽车与汽车零部件</v>
          </cell>
          <cell r="Q751" t="str">
            <v>汽车零配件</v>
          </cell>
          <cell r="BC751">
            <v>0.16031073446327682</v>
          </cell>
          <cell r="BD751">
            <v>0.1154107264086897</v>
          </cell>
          <cell r="BE751">
            <v>0.19164375555555563</v>
          </cell>
          <cell r="BF751">
            <v>0</v>
          </cell>
          <cell r="BG751">
            <v>0</v>
          </cell>
        </row>
        <row r="752">
          <cell r="D752" t="str">
            <v>水务</v>
          </cell>
          <cell r="M752">
            <v>176.7841412384</v>
          </cell>
          <cell r="N752">
            <v>121.78077776986017</v>
          </cell>
          <cell r="O752" t="str">
            <v>公用事业</v>
          </cell>
          <cell r="P752" t="str">
            <v>公用事业Ⅱ</v>
          </cell>
          <cell r="Q752" t="str">
            <v>水务Ⅲ</v>
          </cell>
          <cell r="BC752">
            <v>-1.0033444816053593E-2</v>
          </cell>
          <cell r="BD752">
            <v>5.3380782918149433E-2</v>
          </cell>
          <cell r="BE752">
            <v>-0.3236119276126978</v>
          </cell>
          <cell r="BF752">
            <v>0.13565999984741212</v>
          </cell>
          <cell r="BG752">
            <v>0.12810000419616699</v>
          </cell>
        </row>
        <row r="753">
          <cell r="D753" t="str">
            <v>中药</v>
          </cell>
          <cell r="M753">
            <v>203.72011107449995</v>
          </cell>
          <cell r="N753">
            <v>140.30805866655629</v>
          </cell>
          <cell r="O753" t="str">
            <v>医疗保健</v>
          </cell>
          <cell r="P753" t="str">
            <v>制药、生物科技与生命科学</v>
          </cell>
          <cell r="Q753" t="str">
            <v>制药</v>
          </cell>
          <cell r="BC753">
            <v>0</v>
          </cell>
          <cell r="BD753">
            <v>1.8909676121504682E-2</v>
          </cell>
          <cell r="BE753">
            <v>9.6877552104810444E-2</v>
          </cell>
          <cell r="BF753">
            <v>0.28384799957275392</v>
          </cell>
          <cell r="BG753">
            <v>0.22402799606323243</v>
          </cell>
        </row>
        <row r="754">
          <cell r="D754" t="str">
            <v>医疗保健设备</v>
          </cell>
          <cell r="M754">
            <v>54.703182264000006</v>
          </cell>
          <cell r="N754">
            <v>37.636144459833709</v>
          </cell>
          <cell r="O754" t="str">
            <v>医疗保健</v>
          </cell>
          <cell r="P754" t="str">
            <v>医疗保健设备与服务</v>
          </cell>
          <cell r="Q754" t="str">
            <v>医疗保健设备与用品</v>
          </cell>
          <cell r="BC754">
            <v>0</v>
          </cell>
          <cell r="BD754">
            <v>-4.5533918537506997E-2</v>
          </cell>
          <cell r="BE754">
            <v>-0.27545652266553217</v>
          </cell>
          <cell r="BF754">
            <v>-6.7979998588562018E-2</v>
          </cell>
          <cell r="BG754">
            <v>0</v>
          </cell>
        </row>
        <row r="755">
          <cell r="D755" t="str">
            <v>医疗保健设备</v>
          </cell>
          <cell r="M755">
            <v>75.112689328199991</v>
          </cell>
          <cell r="N755">
            <v>51.677400875764427</v>
          </cell>
          <cell r="O755" t="str">
            <v>医疗保健</v>
          </cell>
          <cell r="P755" t="str">
            <v>医疗保健设备与服务</v>
          </cell>
          <cell r="Q755" t="str">
            <v>医疗保健设备与用品</v>
          </cell>
          <cell r="BC755">
            <v>8.5106382978723284E-3</v>
          </cell>
          <cell r="BD755">
            <v>1.6682554814108574E-2</v>
          </cell>
          <cell r="BE755">
            <v>0.10199890779292359</v>
          </cell>
          <cell r="BF755">
            <v>0.26221200942993161</v>
          </cell>
          <cell r="BG755">
            <v>0</v>
          </cell>
        </row>
        <row r="756">
          <cell r="D756" t="str">
            <v>海港与服务</v>
          </cell>
          <cell r="M756">
            <v>156.27268893600001</v>
          </cell>
          <cell r="N756">
            <v>107.47743279265187</v>
          </cell>
          <cell r="O756" t="str">
            <v>工业</v>
          </cell>
          <cell r="P756" t="str">
            <v>运输</v>
          </cell>
          <cell r="Q756" t="str">
            <v>交通基础设施</v>
          </cell>
          <cell r="BC756">
            <v>0</v>
          </cell>
          <cell r="BD756">
            <v>-9.2520775623268783E-2</v>
          </cell>
          <cell r="BE756">
            <v>-0.296418499677358</v>
          </cell>
          <cell r="BF756">
            <v>0.41563201904296876</v>
          </cell>
          <cell r="BG756">
            <v>0.15682800292968749</v>
          </cell>
        </row>
        <row r="757">
          <cell r="D757" t="str">
            <v>房地产开发</v>
          </cell>
          <cell r="M757">
            <v>49.600086263999998</v>
          </cell>
          <cell r="N757">
            <v>34.084968884164013</v>
          </cell>
          <cell r="O757" t="str">
            <v>金融</v>
          </cell>
          <cell r="P757" t="str">
            <v>房地产</v>
          </cell>
          <cell r="Q757" t="str">
            <v>房地产管理与开发</v>
          </cell>
          <cell r="BC757">
            <v>1.0339734121122643E-2</v>
          </cell>
          <cell r="BD757">
            <v>-4.2016806722689051E-2</v>
          </cell>
          <cell r="BE757">
            <v>-0.19419633520012997</v>
          </cell>
          <cell r="BF757">
            <v>0.44655601501464842</v>
          </cell>
          <cell r="BG757">
            <v>0.13786800384521483</v>
          </cell>
        </row>
        <row r="758">
          <cell r="D758" t="str">
            <v>西药</v>
          </cell>
          <cell r="M758">
            <v>74.431818218999993</v>
          </cell>
          <cell r="N758">
            <v>51.14426805248074</v>
          </cell>
          <cell r="O758" t="str">
            <v>医疗保健</v>
          </cell>
          <cell r="P758" t="str">
            <v>制药、生物科技与生命科学</v>
          </cell>
          <cell r="Q758" t="str">
            <v>制药</v>
          </cell>
          <cell r="BC758">
            <v>6.2015503875969043E-3</v>
          </cell>
          <cell r="BD758">
            <v>-1.8154311649016656E-2</v>
          </cell>
          <cell r="BE758">
            <v>-0.28678816753555136</v>
          </cell>
          <cell r="BF758">
            <v>8.2488002777099612E-2</v>
          </cell>
          <cell r="BG758">
            <v>0.18600000381469728</v>
          </cell>
        </row>
        <row r="759">
          <cell r="D759" t="str">
            <v>建筑与工程</v>
          </cell>
          <cell r="M759">
            <v>43.936000000000007</v>
          </cell>
          <cell r="N759">
            <v>30.187775818910808</v>
          </cell>
          <cell r="O759" t="str">
            <v>工业</v>
          </cell>
          <cell r="P759" t="str">
            <v>资本货物</v>
          </cell>
          <cell r="Q759" t="str">
            <v>建筑与工程Ⅲ</v>
          </cell>
          <cell r="BC759">
            <v>3.2882718304713138E-3</v>
          </cell>
          <cell r="BD759">
            <v>-5.2776819592963008E-2</v>
          </cell>
          <cell r="BE759">
            <v>0.32313438517091964</v>
          </cell>
          <cell r="BF759">
            <v>0</v>
          </cell>
          <cell r="BG759">
            <v>0</v>
          </cell>
        </row>
        <row r="760">
          <cell r="D760" t="str">
            <v>工业机械</v>
          </cell>
          <cell r="M760">
            <v>157.40128999499998</v>
          </cell>
          <cell r="N760">
            <v>108.13953300281381</v>
          </cell>
          <cell r="O760" t="str">
            <v>工业</v>
          </cell>
          <cell r="P760" t="str">
            <v>资本货物</v>
          </cell>
          <cell r="Q760" t="str">
            <v>机械</v>
          </cell>
          <cell r="BC760">
            <v>0.13872403560830854</v>
          </cell>
          <cell r="BD760">
            <v>5.5708390646492474E-2</v>
          </cell>
          <cell r="BE760">
            <v>-6.4440492984452077E-2</v>
          </cell>
          <cell r="BF760">
            <v>0</v>
          </cell>
          <cell r="BG760">
            <v>0</v>
          </cell>
        </row>
        <row r="761">
          <cell r="D761" t="str">
            <v>农产品</v>
          </cell>
          <cell r="M761">
            <v>100.73859179999998</v>
          </cell>
          <cell r="N761">
            <v>69.207926227606464</v>
          </cell>
          <cell r="O761" t="str">
            <v>日常消费</v>
          </cell>
          <cell r="P761" t="str">
            <v>食品、饮料与烟草</v>
          </cell>
          <cell r="Q761" t="str">
            <v>食品</v>
          </cell>
          <cell r="BC761">
            <v>0.19056974459724946</v>
          </cell>
          <cell r="BD761">
            <v>0.11192660550458705</v>
          </cell>
          <cell r="BE761">
            <v>0.11874221731123395</v>
          </cell>
          <cell r="BF761">
            <v>0</v>
          </cell>
          <cell r="BG761">
            <v>0</v>
          </cell>
        </row>
        <row r="762">
          <cell r="D762" t="str">
            <v>投资银行业与经纪业</v>
          </cell>
          <cell r="M762">
            <v>645.53120000000001</v>
          </cell>
          <cell r="N762">
            <v>443.32872316304298</v>
          </cell>
          <cell r="O762" t="str">
            <v>金融</v>
          </cell>
          <cell r="P762" t="str">
            <v>多元金融</v>
          </cell>
          <cell r="Q762" t="str">
            <v>资本市场</v>
          </cell>
          <cell r="BC762">
            <v>9.7488292890591868E-2</v>
          </cell>
          <cell r="BD762">
            <v>0.10501500214316344</v>
          </cell>
          <cell r="BE762">
            <v>5.3428694873881355E-2</v>
          </cell>
          <cell r="BF762">
            <v>0</v>
          </cell>
          <cell r="BG762">
            <v>0</v>
          </cell>
        </row>
        <row r="763">
          <cell r="D763" t="str">
            <v>家庭装饰品</v>
          </cell>
          <cell r="M763">
            <v>77.894908000000001</v>
          </cell>
          <cell r="N763">
            <v>53.478733977081106</v>
          </cell>
          <cell r="O763" t="str">
            <v>可选消费</v>
          </cell>
          <cell r="P763" t="str">
            <v>耐用消费品与服装</v>
          </cell>
          <cell r="Q763" t="str">
            <v>家庭耐用消费品</v>
          </cell>
          <cell r="BC763">
            <v>0.159221902017291</v>
          </cell>
          <cell r="BD763">
            <v>0.13150492264416308</v>
          </cell>
          <cell r="BE763">
            <v>0</v>
          </cell>
          <cell r="BF763">
            <v>0</v>
          </cell>
          <cell r="BG763">
            <v>0</v>
          </cell>
        </row>
        <row r="764">
          <cell r="D764" t="str">
            <v>白酒与葡萄酒</v>
          </cell>
          <cell r="M764">
            <v>49.616655246000001</v>
          </cell>
          <cell r="N764">
            <v>34.055287049599997</v>
          </cell>
          <cell r="O764" t="str">
            <v>日常消费</v>
          </cell>
          <cell r="P764" t="str">
            <v>食品、饮料与烟草</v>
          </cell>
          <cell r="Q764" t="str">
            <v>饮料</v>
          </cell>
          <cell r="BC764">
            <v>6.4853556485355623E-2</v>
          </cell>
          <cell r="BD764">
            <v>2.6899798251513139E-2</v>
          </cell>
          <cell r="BE764">
            <v>-0.12643020594965679</v>
          </cell>
          <cell r="BF764">
            <v>0.13890000343322753</v>
          </cell>
          <cell r="BG764">
            <v>4.1964001655578613E-2</v>
          </cell>
        </row>
        <row r="765">
          <cell r="D765" t="str">
            <v>电子设备和仪器</v>
          </cell>
          <cell r="M765">
            <v>46.184293926399995</v>
          </cell>
          <cell r="N765">
            <v>31.683539195076051</v>
          </cell>
          <cell r="O765" t="str">
            <v>信息技术</v>
          </cell>
          <cell r="P765" t="str">
            <v>技术硬件与设备</v>
          </cell>
          <cell r="Q765" t="str">
            <v>电子设备、仪器和元件</v>
          </cell>
          <cell r="BC765">
            <v>4.5482110369921169E-2</v>
          </cell>
          <cell r="BD765">
            <v>-2.9825548677546491E-2</v>
          </cell>
          <cell r="BE765">
            <v>-0.14901759421136476</v>
          </cell>
          <cell r="BF765">
            <v>0.33167999267578124</v>
          </cell>
          <cell r="BG765">
            <v>0</v>
          </cell>
        </row>
        <row r="766">
          <cell r="D766" t="str">
            <v>基础化工</v>
          </cell>
          <cell r="M766">
            <v>39.852405355199998</v>
          </cell>
          <cell r="N766">
            <v>27.334254182489776</v>
          </cell>
          <cell r="O766" t="str">
            <v>材料</v>
          </cell>
          <cell r="P766" t="str">
            <v>材料Ⅱ</v>
          </cell>
          <cell r="Q766" t="str">
            <v>化工</v>
          </cell>
          <cell r="BC766">
            <v>1.2328767123287652E-2</v>
          </cell>
          <cell r="BD766">
            <v>9.6439169139465791E-2</v>
          </cell>
          <cell r="BE766">
            <v>-9.943325655699134E-2</v>
          </cell>
          <cell r="BF766">
            <v>0.19024799346923829</v>
          </cell>
          <cell r="BG766">
            <v>4.6728000640869141E-2</v>
          </cell>
        </row>
        <row r="767">
          <cell r="D767" t="str">
            <v>信息科技咨询与其它服务</v>
          </cell>
          <cell r="M767">
            <v>212.4928209</v>
          </cell>
          <cell r="N767">
            <v>145.74363311210473</v>
          </cell>
          <cell r="O767" t="str">
            <v>信息技术</v>
          </cell>
          <cell r="P767" t="str">
            <v>软件与服务</v>
          </cell>
          <cell r="Q767" t="str">
            <v>信息技术服务</v>
          </cell>
          <cell r="BC767">
            <v>0.15930169121658494</v>
          </cell>
          <cell r="BD767">
            <v>-0.13705583756345177</v>
          </cell>
          <cell r="BE767">
            <v>0.34304799076367143</v>
          </cell>
          <cell r="BF767">
            <v>1.1488919830322266</v>
          </cell>
          <cell r="BG767">
            <v>0</v>
          </cell>
        </row>
        <row r="768">
          <cell r="D768" t="str">
            <v>综合电信服务</v>
          </cell>
          <cell r="M768">
            <v>922.05194318249994</v>
          </cell>
          <cell r="N768">
            <v>632.41016223397241</v>
          </cell>
          <cell r="O768" t="str">
            <v>电信服务</v>
          </cell>
          <cell r="P768" t="str">
            <v>电信服务Ⅱ</v>
          </cell>
          <cell r="Q768" t="str">
            <v>多元电信服务</v>
          </cell>
          <cell r="BC768">
            <v>-9.1116173120729012E-3</v>
          </cell>
          <cell r="BD768">
            <v>-2.2471910112359668E-2</v>
          </cell>
          <cell r="BE768">
            <v>-0.19390961638847304</v>
          </cell>
          <cell r="BF768">
            <v>0.33622798919677732</v>
          </cell>
          <cell r="BG768">
            <v>2.2860000133514403E-2</v>
          </cell>
        </row>
        <row r="769">
          <cell r="D769" t="str">
            <v>工业机械</v>
          </cell>
          <cell r="M769">
            <v>36.994452000000003</v>
          </cell>
          <cell r="N769">
            <v>25.369270108686457</v>
          </cell>
          <cell r="O769" t="str">
            <v>工业</v>
          </cell>
          <cell r="P769" t="str">
            <v>资本货物</v>
          </cell>
          <cell r="Q769" t="str">
            <v>机械</v>
          </cell>
          <cell r="BC769">
            <v>2.5732899022801275E-2</v>
          </cell>
          <cell r="BD769">
            <v>-1.4705882352941251E-2</v>
          </cell>
          <cell r="BE769">
            <v>5.041853642684397E-2</v>
          </cell>
          <cell r="BF769">
            <v>0</v>
          </cell>
          <cell r="BG769">
            <v>0</v>
          </cell>
        </row>
        <row r="770">
          <cell r="D770" t="str">
            <v>综合类行业</v>
          </cell>
          <cell r="M770">
            <v>72.496210888799993</v>
          </cell>
          <cell r="N770">
            <v>49.714687514441415</v>
          </cell>
          <cell r="O770" t="str">
            <v>工业</v>
          </cell>
          <cell r="P770" t="str">
            <v>资本货物</v>
          </cell>
          <cell r="Q770" t="str">
            <v>综合类Ⅲ</v>
          </cell>
          <cell r="BC770">
            <v>9.4786729857819999E-3</v>
          </cell>
          <cell r="BD770">
            <v>-6.9930069930070511E-3</v>
          </cell>
          <cell r="BE770">
            <v>-0.40746327323866899</v>
          </cell>
          <cell r="BF770">
            <v>-1.210800051689148E-2</v>
          </cell>
          <cell r="BG770">
            <v>-6.8159997463226318E-3</v>
          </cell>
        </row>
        <row r="771">
          <cell r="D771" t="str">
            <v>电子元件</v>
          </cell>
          <cell r="M771">
            <v>264.39058865760001</v>
          </cell>
          <cell r="N771">
            <v>181.27014229743898</v>
          </cell>
          <cell r="O771" t="str">
            <v>信息技术</v>
          </cell>
          <cell r="P771" t="str">
            <v>技术硬件与设备</v>
          </cell>
          <cell r="Q771" t="str">
            <v>电子设备、仪器和元件</v>
          </cell>
          <cell r="BC771">
            <v>5.5388876067390264E-3</v>
          </cell>
          <cell r="BD771">
            <v>-0.27564422277639233</v>
          </cell>
          <cell r="BE771">
            <v>0.12518661346632601</v>
          </cell>
          <cell r="BF771">
            <v>0.74694000244140624</v>
          </cell>
          <cell r="BG771">
            <v>0.46399200439453125</v>
          </cell>
        </row>
        <row r="772">
          <cell r="D772" t="str">
            <v>出版</v>
          </cell>
          <cell r="M772">
            <v>90.036902687999998</v>
          </cell>
          <cell r="N772">
            <v>61.695224046656996</v>
          </cell>
          <cell r="O772" t="str">
            <v>可选消费</v>
          </cell>
          <cell r="P772" t="str">
            <v>媒体Ⅱ</v>
          </cell>
          <cell r="Q772" t="str">
            <v>媒体Ⅲ</v>
          </cell>
          <cell r="BC772">
            <v>2.1814006888633695E-2</v>
          </cell>
          <cell r="BD772">
            <v>-2.6258205689277923E-2</v>
          </cell>
          <cell r="BE772">
            <v>-0.12529583649497578</v>
          </cell>
          <cell r="BF772">
            <v>6.4836001396179205E-2</v>
          </cell>
          <cell r="BG772">
            <v>0.14640000343322754</v>
          </cell>
        </row>
        <row r="773">
          <cell r="D773" t="str">
            <v>金属非金属</v>
          </cell>
          <cell r="M773">
            <v>37.870960000000004</v>
          </cell>
          <cell r="N773">
            <v>25.944774433408192</v>
          </cell>
          <cell r="O773" t="str">
            <v>材料</v>
          </cell>
          <cell r="P773" t="str">
            <v>材料Ⅱ</v>
          </cell>
          <cell r="Q773" t="str">
            <v>金属、非金属与采矿</v>
          </cell>
          <cell r="BC773">
            <v>0</v>
          </cell>
          <cell r="BD773">
            <v>0</v>
          </cell>
          <cell r="BE773">
            <v>0.37408384637936082</v>
          </cell>
          <cell r="BF773">
            <v>0</v>
          </cell>
          <cell r="BG773">
            <v>0</v>
          </cell>
        </row>
        <row r="774">
          <cell r="D774" t="str">
            <v>建筑机械与重型卡车</v>
          </cell>
          <cell r="M774">
            <v>81.050129999999996</v>
          </cell>
          <cell r="N774">
            <v>55.509725683272229</v>
          </cell>
          <cell r="O774" t="str">
            <v>工业</v>
          </cell>
          <cell r="P774" t="str">
            <v>资本货物</v>
          </cell>
          <cell r="Q774" t="str">
            <v>机械</v>
          </cell>
          <cell r="BC774">
            <v>0.25061728395061728</v>
          </cell>
          <cell r="BD774">
            <v>0.12513883746760454</v>
          </cell>
          <cell r="BE774">
            <v>0.33202177374972702</v>
          </cell>
          <cell r="BF774">
            <v>0</v>
          </cell>
          <cell r="BG774">
            <v>0</v>
          </cell>
        </row>
        <row r="775">
          <cell r="D775" t="str">
            <v>有线和卫星电视</v>
          </cell>
          <cell r="M775">
            <v>327.37757441680003</v>
          </cell>
          <cell r="N775">
            <v>224.20304674767453</v>
          </cell>
          <cell r="O775" t="str">
            <v>可选消费</v>
          </cell>
          <cell r="P775" t="str">
            <v>媒体Ⅱ</v>
          </cell>
          <cell r="Q775" t="str">
            <v>媒体Ⅲ</v>
          </cell>
          <cell r="BC775">
            <v>0.1460110386352233</v>
          </cell>
          <cell r="BD775">
            <v>8.5035629453681663E-2</v>
          </cell>
          <cell r="BE775">
            <v>-0.51905664350389558</v>
          </cell>
          <cell r="BF775">
            <v>-4.6115999221801755E-2</v>
          </cell>
          <cell r="BG775">
            <v>-4.6655998229980469E-2</v>
          </cell>
        </row>
        <row r="776">
          <cell r="D776" t="str">
            <v>半导体产品</v>
          </cell>
          <cell r="M776">
            <v>60.996478400000008</v>
          </cell>
          <cell r="N776">
            <v>41.771797724343706</v>
          </cell>
          <cell r="O776" t="str">
            <v>信息技术</v>
          </cell>
          <cell r="P776" t="str">
            <v>半导体与半导体生产设备</v>
          </cell>
          <cell r="Q776" t="str">
            <v>半导体产品与半导体设备</v>
          </cell>
          <cell r="BC776">
            <v>2.0922746781115911E-2</v>
          </cell>
          <cell r="BD776">
            <v>-2.360184710107734E-2</v>
          </cell>
          <cell r="BE776">
            <v>-0.18628934680851059</v>
          </cell>
          <cell r="BF776">
            <v>0</v>
          </cell>
          <cell r="BG776">
            <v>0</v>
          </cell>
        </row>
        <row r="777">
          <cell r="D777" t="str">
            <v>电子元件</v>
          </cell>
          <cell r="M777">
            <v>66.034331657199999</v>
          </cell>
          <cell r="N777">
            <v>45.21389810086125</v>
          </cell>
          <cell r="O777" t="str">
            <v>信息技术</v>
          </cell>
          <cell r="P777" t="str">
            <v>技术硬件与设备</v>
          </cell>
          <cell r="Q777" t="str">
            <v>电子设备、仪器和元件</v>
          </cell>
          <cell r="BC777">
            <v>2.6627218934911333E-2</v>
          </cell>
          <cell r="BD777">
            <v>0.15570358034970866</v>
          </cell>
          <cell r="BE777">
            <v>-8.4361007311755346E-2</v>
          </cell>
          <cell r="BF777">
            <v>0.25687200546264649</v>
          </cell>
          <cell r="BG777">
            <v>2.9063999652862549E-2</v>
          </cell>
        </row>
        <row r="778">
          <cell r="D778" t="str">
            <v>纺织品</v>
          </cell>
          <cell r="M778">
            <v>69.33</v>
          </cell>
          <cell r="N778">
            <v>47.456933504639998</v>
          </cell>
          <cell r="O778" t="str">
            <v>可选消费</v>
          </cell>
          <cell r="P778" t="str">
            <v>耐用消费品与服装</v>
          </cell>
          <cell r="Q778" t="str">
            <v>纺织品、服装与奢侈品</v>
          </cell>
          <cell r="BC778">
            <v>-4.2667771333885711E-2</v>
          </cell>
          <cell r="BD778">
            <v>1.6717993840739066E-2</v>
          </cell>
          <cell r="BE778">
            <v>1.1394981600392728</v>
          </cell>
          <cell r="BF778">
            <v>0</v>
          </cell>
          <cell r="BG778">
            <v>0</v>
          </cell>
        </row>
        <row r="779">
          <cell r="D779" t="str">
            <v>建筑机械与重型卡车</v>
          </cell>
          <cell r="M779">
            <v>77.304134743199995</v>
          </cell>
          <cell r="N779">
            <v>52.895673968677741</v>
          </cell>
          <cell r="O779" t="str">
            <v>工业</v>
          </cell>
          <cell r="P779" t="str">
            <v>资本货物</v>
          </cell>
          <cell r="Q779" t="str">
            <v>机械</v>
          </cell>
          <cell r="BC779">
            <v>-2.9027576197386902E-3</v>
          </cell>
          <cell r="BD779">
            <v>5.8565153733528604E-3</v>
          </cell>
          <cell r="BE779">
            <v>-0.45533604184645943</v>
          </cell>
          <cell r="BF779">
            <v>0.16548000335693358</v>
          </cell>
          <cell r="BG779">
            <v>-0.19778400421142578</v>
          </cell>
        </row>
        <row r="780">
          <cell r="D780" t="str">
            <v>基础化工</v>
          </cell>
          <cell r="M780">
            <v>27.862602863999999</v>
          </cell>
          <cell r="N780">
            <v>19.058571585072471</v>
          </cell>
          <cell r="O780" t="str">
            <v>材料</v>
          </cell>
          <cell r="P780" t="str">
            <v>材料Ⅱ</v>
          </cell>
          <cell r="Q780" t="str">
            <v>化工</v>
          </cell>
          <cell r="BC780">
            <v>2.1194605009633799E-2</v>
          </cell>
          <cell r="BD780">
            <v>1.6299137104506225E-2</v>
          </cell>
          <cell r="BE780">
            <v>-0.25933884695273801</v>
          </cell>
          <cell r="BF780">
            <v>0.19850400924682618</v>
          </cell>
          <cell r="BG780">
            <v>6.1392002105712891E-2</v>
          </cell>
        </row>
        <row r="781">
          <cell r="D781" t="str">
            <v>工业机械</v>
          </cell>
          <cell r="M781">
            <v>461.56205133000003</v>
          </cell>
          <cell r="N781">
            <v>315.60116702976921</v>
          </cell>
          <cell r="O781" t="str">
            <v>工业</v>
          </cell>
          <cell r="P781" t="str">
            <v>资本货物</v>
          </cell>
          <cell r="Q781" t="str">
            <v>机械</v>
          </cell>
          <cell r="BC781">
            <v>-1.0848755583918311E-2</v>
          </cell>
          <cell r="BD781">
            <v>3.886010362694333E-3</v>
          </cell>
          <cell r="BE781">
            <v>-0.27554730478866141</v>
          </cell>
          <cell r="BF781">
            <v>0.10383600234985352</v>
          </cell>
          <cell r="BG781">
            <v>-3.026400089263916E-2</v>
          </cell>
        </row>
        <row r="782">
          <cell r="D782" t="str">
            <v>汽车制造</v>
          </cell>
          <cell r="M782">
            <v>124.2</v>
          </cell>
          <cell r="N782">
            <v>84.825235440887781</v>
          </cell>
          <cell r="O782" t="str">
            <v>可选消费</v>
          </cell>
          <cell r="P782" t="str">
            <v>汽车与汽车零部件</v>
          </cell>
          <cell r="Q782" t="str">
            <v>汽车</v>
          </cell>
          <cell r="BC782">
            <v>0</v>
          </cell>
          <cell r="BD782">
            <v>0</v>
          </cell>
          <cell r="BE782">
            <v>-0.12242277820143613</v>
          </cell>
          <cell r="BF782">
            <v>0.59858398437500004</v>
          </cell>
          <cell r="BG782">
            <v>0.16063199996948241</v>
          </cell>
        </row>
        <row r="783">
          <cell r="D783" t="str">
            <v>建筑产品</v>
          </cell>
          <cell r="M783">
            <v>78.3073677</v>
          </cell>
          <cell r="N783">
            <v>53.480527407842509</v>
          </cell>
          <cell r="O783" t="str">
            <v>工业</v>
          </cell>
          <cell r="P783" t="str">
            <v>资本货物</v>
          </cell>
          <cell r="Q783" t="str">
            <v>建筑产品Ⅲ</v>
          </cell>
          <cell r="BC783">
            <v>0</v>
          </cell>
          <cell r="BD783">
            <v>0</v>
          </cell>
          <cell r="BE783">
            <v>-0.33778625360638564</v>
          </cell>
          <cell r="BF783">
            <v>0.2546879959106445</v>
          </cell>
          <cell r="BG783">
            <v>0.18039600372314454</v>
          </cell>
        </row>
        <row r="784">
          <cell r="D784" t="str">
            <v>食品加工与肉类</v>
          </cell>
          <cell r="M784">
            <v>63.244799999999998</v>
          </cell>
          <cell r="N784">
            <v>43.187314798632322</v>
          </cell>
          <cell r="O784" t="str">
            <v>日常消费</v>
          </cell>
          <cell r="P784" t="str">
            <v>食品、饮料与烟草</v>
          </cell>
          <cell r="Q784" t="str">
            <v>食品</v>
          </cell>
          <cell r="BC784">
            <v>-1.8181818181817794E-3</v>
          </cell>
          <cell r="BD784">
            <v>-4.3554006968641111E-2</v>
          </cell>
          <cell r="BE784">
            <v>-5.4976011164720416E-2</v>
          </cell>
          <cell r="BF784">
            <v>0.29266799926757814</v>
          </cell>
          <cell r="BG784">
            <v>0</v>
          </cell>
        </row>
        <row r="785">
          <cell r="D785" t="str">
            <v>工业机械</v>
          </cell>
          <cell r="M785">
            <v>102.57738464640001</v>
          </cell>
          <cell r="N785">
            <v>70.034478924147905</v>
          </cell>
          <cell r="O785" t="str">
            <v>工业</v>
          </cell>
          <cell r="P785" t="str">
            <v>资本货物</v>
          </cell>
          <cell r="Q785" t="str">
            <v>机械</v>
          </cell>
          <cell r="BC785">
            <v>1.2800000000000011E-2</v>
          </cell>
          <cell r="BD785">
            <v>6.3593004769475414E-3</v>
          </cell>
          <cell r="BE785">
            <v>0.17964328394009596</v>
          </cell>
          <cell r="BF785">
            <v>0.1763640022277832</v>
          </cell>
          <cell r="BG785">
            <v>7.7184000015258783E-2</v>
          </cell>
        </row>
        <row r="786">
          <cell r="D786" t="str">
            <v>基础化工</v>
          </cell>
          <cell r="M786">
            <v>78.192476065199997</v>
          </cell>
          <cell r="N786">
            <v>53.351260430233602</v>
          </cell>
          <cell r="O786" t="str">
            <v>材料</v>
          </cell>
          <cell r="P786" t="str">
            <v>材料Ⅱ</v>
          </cell>
          <cell r="Q786" t="str">
            <v>化工</v>
          </cell>
          <cell r="BC786">
            <v>9.5238095238095219E-2</v>
          </cell>
          <cell r="BD786">
            <v>5.6892778993435401E-2</v>
          </cell>
          <cell r="BE786">
            <v>-0.21198940190309778</v>
          </cell>
          <cell r="BF786">
            <v>0.24323999404907226</v>
          </cell>
          <cell r="BG786">
            <v>-5.6663999557495119E-2</v>
          </cell>
        </row>
        <row r="787">
          <cell r="D787" t="str">
            <v>基础化工</v>
          </cell>
          <cell r="M787">
            <v>55.726978859999988</v>
          </cell>
          <cell r="N787">
            <v>38.020616649511616</v>
          </cell>
          <cell r="O787" t="str">
            <v>材料</v>
          </cell>
          <cell r="P787" t="str">
            <v>材料Ⅱ</v>
          </cell>
          <cell r="Q787" t="str">
            <v>化工</v>
          </cell>
          <cell r="BC787">
            <v>-1.1627906976744196E-2</v>
          </cell>
          <cell r="BD787">
            <v>4.4546850998463908E-2</v>
          </cell>
          <cell r="BE787">
            <v>2.1021021021020974E-2</v>
          </cell>
          <cell r="BF787">
            <v>0.44444400787353516</v>
          </cell>
          <cell r="BG787">
            <v>9.02400016784668E-3</v>
          </cell>
        </row>
        <row r="788">
          <cell r="D788" t="str">
            <v>医疗保健设备</v>
          </cell>
          <cell r="M788">
            <v>64.42</v>
          </cell>
          <cell r="N788">
            <v>43.928303390783753</v>
          </cell>
          <cell r="O788" t="str">
            <v>医疗保健</v>
          </cell>
          <cell r="P788" t="str">
            <v>医疗保健设备与服务</v>
          </cell>
          <cell r="Q788" t="str">
            <v>医疗保健设备与用品</v>
          </cell>
          <cell r="BC788">
            <v>-3.3603360336033526E-2</v>
          </cell>
          <cell r="BD788">
            <v>-0.11656609983543609</v>
          </cell>
          <cell r="BE788">
            <v>0.41041389557444963</v>
          </cell>
          <cell r="BF788">
            <v>0</v>
          </cell>
          <cell r="BG788">
            <v>0</v>
          </cell>
        </row>
        <row r="789">
          <cell r="D789" t="str">
            <v>服装、服饰与奢侈品</v>
          </cell>
          <cell r="M789">
            <v>91.691609215500009</v>
          </cell>
          <cell r="N789">
            <v>62.497707771862714</v>
          </cell>
          <cell r="O789" t="str">
            <v>可选消费</v>
          </cell>
          <cell r="P789" t="str">
            <v>耐用消费品与服装</v>
          </cell>
          <cell r="Q789" t="str">
            <v>纺织品、服装与奢侈品</v>
          </cell>
          <cell r="BC789">
            <v>1.4204545454545454E-2</v>
          </cell>
          <cell r="BD789">
            <v>2.8089887640449836E-3</v>
          </cell>
          <cell r="BE789">
            <v>-0.38185090658567256</v>
          </cell>
          <cell r="BF789">
            <v>0.12832799911499024</v>
          </cell>
          <cell r="BG789">
            <v>0.29470800399780273</v>
          </cell>
        </row>
        <row r="790">
          <cell r="D790" t="str">
            <v>环境与设施服务</v>
          </cell>
          <cell r="M790">
            <v>52.116</v>
          </cell>
          <cell r="N790">
            <v>35.5030927895479</v>
          </cell>
          <cell r="O790" t="str">
            <v>工业</v>
          </cell>
          <cell r="P790" t="str">
            <v>商业和专业服务</v>
          </cell>
          <cell r="Q790" t="str">
            <v>商业服务与用品</v>
          </cell>
          <cell r="BC790">
            <v>8.0079582193484183E-2</v>
          </cell>
          <cell r="BD790">
            <v>7.5000000000000025E-2</v>
          </cell>
          <cell r="BE790">
            <v>0</v>
          </cell>
          <cell r="BF790">
            <v>0</v>
          </cell>
          <cell r="BG790">
            <v>0</v>
          </cell>
        </row>
        <row r="791">
          <cell r="D791" t="str">
            <v>应用软件</v>
          </cell>
          <cell r="M791">
            <v>164.55945850960001</v>
          </cell>
          <cell r="N791">
            <v>112.04997468865264</v>
          </cell>
          <cell r="O791" t="str">
            <v>信息技术</v>
          </cell>
          <cell r="P791" t="str">
            <v>软件与服务</v>
          </cell>
          <cell r="Q791" t="str">
            <v>软件</v>
          </cell>
          <cell r="BC791">
            <v>2.6093630084420557E-2</v>
          </cell>
          <cell r="BD791">
            <v>-2.1229868228404166E-2</v>
          </cell>
          <cell r="BE791">
            <v>3.8524588986340959E-2</v>
          </cell>
          <cell r="BF791">
            <v>0.44851200103759764</v>
          </cell>
          <cell r="BG791">
            <v>0</v>
          </cell>
        </row>
        <row r="792">
          <cell r="D792" t="str">
            <v>工业机械</v>
          </cell>
          <cell r="M792">
            <v>39.106826444700005</v>
          </cell>
          <cell r="N792">
            <v>26.628155440559638</v>
          </cell>
          <cell r="O792" t="str">
            <v>工业</v>
          </cell>
          <cell r="P792" t="str">
            <v>资本货物</v>
          </cell>
          <cell r="Q792" t="str">
            <v>机械</v>
          </cell>
          <cell r="BC792">
            <v>3.2148377125193174E-2</v>
          </cell>
          <cell r="BD792">
            <v>-2.5678435949810403E-2</v>
          </cell>
          <cell r="BE792">
            <v>-0.12929589764615176</v>
          </cell>
          <cell r="BF792">
            <v>0.26089199066162111</v>
          </cell>
          <cell r="BG792">
            <v>0</v>
          </cell>
        </row>
        <row r="793">
          <cell r="D793" t="str">
            <v>电气部件与设备</v>
          </cell>
          <cell r="M793">
            <v>80.497502568000002</v>
          </cell>
          <cell r="N793">
            <v>54.809374314647428</v>
          </cell>
          <cell r="O793" t="str">
            <v>工业</v>
          </cell>
          <cell r="P793" t="str">
            <v>资本货物</v>
          </cell>
          <cell r="Q793" t="str">
            <v>电气设备</v>
          </cell>
          <cell r="BC793">
            <v>1.8181818181818216E-2</v>
          </cell>
          <cell r="BD793">
            <v>-7.7579519006980497E-4</v>
          </cell>
          <cell r="BE793">
            <v>-0.20440664750927398</v>
          </cell>
          <cell r="BF793">
            <v>4.1988000869750977E-2</v>
          </cell>
          <cell r="BG793">
            <v>-8.3999998867511749E-4</v>
          </cell>
        </row>
        <row r="794">
          <cell r="D794" t="str">
            <v>电影与娱乐</v>
          </cell>
          <cell r="M794">
            <v>294.22521937199997</v>
          </cell>
          <cell r="N794">
            <v>200.14086222223585</v>
          </cell>
          <cell r="O794" t="str">
            <v>可选消费</v>
          </cell>
          <cell r="P794" t="str">
            <v>媒体Ⅱ</v>
          </cell>
          <cell r="Q794" t="str">
            <v>媒体Ⅲ</v>
          </cell>
          <cell r="BC794">
            <v>0.13488372093023263</v>
          </cell>
          <cell r="BD794">
            <v>5.7694292496645719E-2</v>
          </cell>
          <cell r="BE794">
            <v>1.0796597136124828</v>
          </cell>
          <cell r="BF794">
            <v>0.14601599693298339</v>
          </cell>
          <cell r="BG794">
            <v>0.50063999176025387</v>
          </cell>
        </row>
        <row r="795">
          <cell r="D795" t="str">
            <v>电气部件与设备</v>
          </cell>
          <cell r="M795">
            <v>62.176000000000002</v>
          </cell>
          <cell r="N795">
            <v>42.277183963558869</v>
          </cell>
          <cell r="O795" t="str">
            <v>工业</v>
          </cell>
          <cell r="P795" t="str">
            <v>资本货物</v>
          </cell>
          <cell r="Q795" t="str">
            <v>电气设备</v>
          </cell>
          <cell r="BC795">
            <v>1.0893246187363835E-2</v>
          </cell>
          <cell r="BD795">
            <v>2.1556369907303321E-4</v>
          </cell>
          <cell r="BE795">
            <v>-5.4668207718731036E-2</v>
          </cell>
          <cell r="BF795">
            <v>0</v>
          </cell>
          <cell r="BG795">
            <v>0</v>
          </cell>
        </row>
        <row r="796">
          <cell r="D796" t="str">
            <v>中药</v>
          </cell>
          <cell r="M796">
            <v>191.25793211799999</v>
          </cell>
          <cell r="N796">
            <v>129.98228638247511</v>
          </cell>
          <cell r="O796" t="str">
            <v>医疗保健</v>
          </cell>
          <cell r="P796" t="str">
            <v>制药、生物科技与生命科学</v>
          </cell>
          <cell r="Q796" t="str">
            <v>制药</v>
          </cell>
          <cell r="BC796">
            <v>1.2000000000000028E-2</v>
          </cell>
          <cell r="BD796">
            <v>4.7656870532168782E-3</v>
          </cell>
          <cell r="BE796">
            <v>0.25247524752475253</v>
          </cell>
          <cell r="BF796">
            <v>0.44974800109863283</v>
          </cell>
          <cell r="BG796">
            <v>0.23049600601196288</v>
          </cell>
        </row>
        <row r="797">
          <cell r="D797" t="str">
            <v>特种化工</v>
          </cell>
          <cell r="M797">
            <v>51.04466223</v>
          </cell>
          <cell r="N797">
            <v>34.685914907319216</v>
          </cell>
          <cell r="O797" t="str">
            <v>材料</v>
          </cell>
          <cell r="P797" t="str">
            <v>材料Ⅱ</v>
          </cell>
          <cell r="Q797" t="str">
            <v>化工</v>
          </cell>
          <cell r="BC797">
            <v>-8.0645161290322551E-2</v>
          </cell>
          <cell r="BD797">
            <v>0.18749999999999992</v>
          </cell>
          <cell r="BE797">
            <v>-8.4379440257993946E-2</v>
          </cell>
          <cell r="BF797">
            <v>0.44677200317382815</v>
          </cell>
          <cell r="BG797">
            <v>0.27577199935913088</v>
          </cell>
        </row>
        <row r="798">
          <cell r="D798" t="str">
            <v>基础化工</v>
          </cell>
          <cell r="M798">
            <v>123.70369839999999</v>
          </cell>
          <cell r="N798">
            <v>84.03716220337013</v>
          </cell>
          <cell r="O798" t="str">
            <v>材料</v>
          </cell>
          <cell r="P798" t="str">
            <v>材料Ⅱ</v>
          </cell>
          <cell r="Q798" t="str">
            <v>化工</v>
          </cell>
          <cell r="BC798">
            <v>1.8932874354561157E-2</v>
          </cell>
          <cell r="BD798">
            <v>-4.6698872785829314E-2</v>
          </cell>
          <cell r="BE798">
            <v>-0.46568488837898986</v>
          </cell>
          <cell r="BF798">
            <v>3.6347999572753906E-2</v>
          </cell>
          <cell r="BG798">
            <v>2.847599983215332E-2</v>
          </cell>
        </row>
        <row r="799">
          <cell r="D799" t="str">
            <v>公路与铁路</v>
          </cell>
          <cell r="M799">
            <v>57.372305695600005</v>
          </cell>
          <cell r="N799">
            <v>38.96033375089818</v>
          </cell>
          <cell r="O799" t="str">
            <v>工业</v>
          </cell>
          <cell r="P799" t="str">
            <v>运输</v>
          </cell>
          <cell r="Q799" t="str">
            <v>交通基础设施</v>
          </cell>
          <cell r="BC799">
            <v>9.2592592592592674E-3</v>
          </cell>
          <cell r="BD799">
            <v>1.6317016317016382E-2</v>
          </cell>
          <cell r="BE799">
            <v>-0.16428802530419084</v>
          </cell>
          <cell r="BF799">
            <v>0.39190799713134766</v>
          </cell>
          <cell r="BG799">
            <v>7.7891998291015618E-2</v>
          </cell>
        </row>
        <row r="800">
          <cell r="D800" t="str">
            <v>酒店、度假村与豪华游轮</v>
          </cell>
          <cell r="M800">
            <v>63.124189619599996</v>
          </cell>
          <cell r="N800">
            <v>42.863430135054251</v>
          </cell>
          <cell r="O800" t="str">
            <v>可选消费</v>
          </cell>
          <cell r="P800" t="str">
            <v>消费者服务Ⅱ</v>
          </cell>
          <cell r="Q800" t="str">
            <v>酒店、餐馆与休闲Ⅲ</v>
          </cell>
          <cell r="BC800">
            <v>-1.3179571663920933E-2</v>
          </cell>
          <cell r="BD800">
            <v>-9.2424242424242339E-2</v>
          </cell>
          <cell r="BE800">
            <v>-0.12272142137447008</v>
          </cell>
          <cell r="BF800">
            <v>0.16240800857543947</v>
          </cell>
          <cell r="BG800">
            <v>8.3243999481201175E-2</v>
          </cell>
        </row>
        <row r="801">
          <cell r="D801" t="str">
            <v>消费品经销商</v>
          </cell>
          <cell r="M801">
            <v>59.223410191500001</v>
          </cell>
          <cell r="N801">
            <v>40.209253505530683</v>
          </cell>
          <cell r="O801" t="str">
            <v>可选消费</v>
          </cell>
          <cell r="P801" t="str">
            <v>零售业</v>
          </cell>
          <cell r="Q801" t="str">
            <v>消费品经销商Ⅲ</v>
          </cell>
          <cell r="BC801">
            <v>3.7016875340228614E-2</v>
          </cell>
          <cell r="BD801">
            <v>-2.307692307692304E-2</v>
          </cell>
          <cell r="BE801">
            <v>7.101972749076485E-2</v>
          </cell>
          <cell r="BF801">
            <v>0.42433200836181639</v>
          </cell>
          <cell r="BG801">
            <v>0.20840400695800781</v>
          </cell>
        </row>
        <row r="802">
          <cell r="D802" t="str">
            <v>工业机械</v>
          </cell>
          <cell r="M802">
            <v>42.390260000000005</v>
          </cell>
          <cell r="N802">
            <v>28.770648413251418</v>
          </cell>
          <cell r="O802" t="str">
            <v>工业</v>
          </cell>
          <cell r="P802" t="str">
            <v>资本货物</v>
          </cell>
          <cell r="Q802" t="str">
            <v>机械</v>
          </cell>
          <cell r="BC802">
            <v>3.387978142076508E-2</v>
          </cell>
          <cell r="BD802">
            <v>2.9379760609358145E-2</v>
          </cell>
          <cell r="BE802">
            <v>-0.15791889445116272</v>
          </cell>
          <cell r="BF802">
            <v>-2.8092000484466553E-2</v>
          </cell>
          <cell r="BG802">
            <v>2.2499999999999999E-2</v>
          </cell>
        </row>
        <row r="803">
          <cell r="D803" t="str">
            <v>投资银行业与经纪业</v>
          </cell>
          <cell r="M803">
            <v>762.63139233599998</v>
          </cell>
          <cell r="N803">
            <v>517.49083174944303</v>
          </cell>
          <cell r="O803" t="str">
            <v>金融</v>
          </cell>
          <cell r="P803" t="str">
            <v>多元金融</v>
          </cell>
          <cell r="Q803" t="str">
            <v>资本市场</v>
          </cell>
          <cell r="BC803">
            <v>0.20494699646643111</v>
          </cell>
          <cell r="BD803">
            <v>0.1371404751979993</v>
          </cell>
          <cell r="BE803">
            <v>0.21798389140409244</v>
          </cell>
          <cell r="BF803">
            <v>0.99250801086425777</v>
          </cell>
          <cell r="BG803">
            <v>0</v>
          </cell>
        </row>
        <row r="804">
          <cell r="D804" t="str">
            <v>建筑机械与重型卡车</v>
          </cell>
          <cell r="M804">
            <v>40.880000000000003</v>
          </cell>
          <cell r="N804">
            <v>27.73313628546007</v>
          </cell>
          <cell r="O804" t="str">
            <v>工业</v>
          </cell>
          <cell r="P804" t="str">
            <v>资本货物</v>
          </cell>
          <cell r="Q804" t="str">
            <v>机械</v>
          </cell>
          <cell r="BC804">
            <v>2.8582930756843834E-2</v>
          </cell>
          <cell r="BD804">
            <v>-2.8517110266159697E-2</v>
          </cell>
          <cell r="BE804">
            <v>0.10699133972838966</v>
          </cell>
          <cell r="BF804">
            <v>0</v>
          </cell>
          <cell r="BG804">
            <v>0</v>
          </cell>
        </row>
        <row r="805">
          <cell r="D805" t="str">
            <v>食品加工与肉类</v>
          </cell>
          <cell r="M805">
            <v>40.470419999999997</v>
          </cell>
          <cell r="N805">
            <v>27.454485292415388</v>
          </cell>
          <cell r="O805" t="str">
            <v>日常消费</v>
          </cell>
          <cell r="P805" t="str">
            <v>食品、饮料与烟草</v>
          </cell>
          <cell r="Q805" t="str">
            <v>食品</v>
          </cell>
          <cell r="BC805">
            <v>3.6678758565094727E-2</v>
          </cell>
          <cell r="BD805">
            <v>-5.4411764705882368E-2</v>
          </cell>
          <cell r="BE805">
            <v>1.777424743892838E-2</v>
          </cell>
          <cell r="BF805">
            <v>0</v>
          </cell>
          <cell r="BG805">
            <v>0</v>
          </cell>
        </row>
        <row r="806">
          <cell r="D806" t="str">
            <v>电气部件与设备</v>
          </cell>
          <cell r="M806">
            <v>60.787412400000001</v>
          </cell>
          <cell r="N806">
            <v>41.234225730279455</v>
          </cell>
          <cell r="O806" t="str">
            <v>工业</v>
          </cell>
          <cell r="P806" t="str">
            <v>资本货物</v>
          </cell>
          <cell r="Q806" t="str">
            <v>电气设备</v>
          </cell>
          <cell r="BC806">
            <v>5.665024630541865E-2</v>
          </cell>
          <cell r="BD806">
            <v>-3.8116591928251183E-2</v>
          </cell>
          <cell r="BE806">
            <v>0</v>
          </cell>
          <cell r="BF806">
            <v>0</v>
          </cell>
          <cell r="BG806">
            <v>0</v>
          </cell>
        </row>
        <row r="807">
          <cell r="D807" t="str">
            <v>电气部件与设备</v>
          </cell>
          <cell r="M807">
            <v>171.22504834439999</v>
          </cell>
          <cell r="N807">
            <v>116.14451957103861</v>
          </cell>
          <cell r="O807" t="str">
            <v>工业</v>
          </cell>
          <cell r="P807" t="str">
            <v>资本货物</v>
          </cell>
          <cell r="Q807" t="str">
            <v>电气设备</v>
          </cell>
          <cell r="BC807">
            <v>0.19822859552931249</v>
          </cell>
          <cell r="BD807">
            <v>0.33255159474671669</v>
          </cell>
          <cell r="BE807">
            <v>1.4055665160518309</v>
          </cell>
          <cell r="BF807">
            <v>0.66969596862792968</v>
          </cell>
          <cell r="BG807">
            <v>0</v>
          </cell>
        </row>
        <row r="808">
          <cell r="D808" t="str">
            <v>电气部件与设备</v>
          </cell>
          <cell r="M808">
            <v>41.782500000000006</v>
          </cell>
          <cell r="N808">
            <v>28.331391969180558</v>
          </cell>
          <cell r="O808" t="str">
            <v>工业</v>
          </cell>
          <cell r="P808" t="str">
            <v>资本货物</v>
          </cell>
          <cell r="Q808" t="str">
            <v>电气设备</v>
          </cell>
          <cell r="BC808">
            <v>5.361702127659581E-2</v>
          </cell>
          <cell r="BD808">
            <v>5.1826677994902398E-2</v>
          </cell>
          <cell r="BE808">
            <v>-1.8524127335794137E-2</v>
          </cell>
          <cell r="BF808">
            <v>0.53090400695800777</v>
          </cell>
          <cell r="BG808">
            <v>0</v>
          </cell>
        </row>
        <row r="809">
          <cell r="D809" t="str">
            <v>煤炭与消费用燃料</v>
          </cell>
          <cell r="M809">
            <v>133.1682507914</v>
          </cell>
          <cell r="N809">
            <v>90.258659119341971</v>
          </cell>
          <cell r="O809" t="str">
            <v>能源</v>
          </cell>
          <cell r="P809" t="str">
            <v>能源Ⅱ</v>
          </cell>
          <cell r="Q809" t="str">
            <v>石油、天然气与供消费用燃料</v>
          </cell>
          <cell r="BC809">
            <v>-3.130434782608691E-2</v>
          </cell>
          <cell r="BD809">
            <v>-9.8705501618122887E-2</v>
          </cell>
          <cell r="BE809">
            <v>-0.19741293533603596</v>
          </cell>
          <cell r="BF809">
            <v>2.8127999305725099E-2</v>
          </cell>
          <cell r="BG809">
            <v>-0.13801199913024903</v>
          </cell>
        </row>
        <row r="810">
          <cell r="D810" t="str">
            <v>信息科技咨询与其它服务</v>
          </cell>
          <cell r="M810">
            <v>153.65543343849998</v>
          </cell>
          <cell r="N810">
            <v>104.08019795873122</v>
          </cell>
          <cell r="O810" t="str">
            <v>信息技术</v>
          </cell>
          <cell r="P810" t="str">
            <v>软件与服务</v>
          </cell>
          <cell r="Q810" t="str">
            <v>信息技术服务</v>
          </cell>
          <cell r="BC810">
            <v>-5.5440055440055492E-3</v>
          </cell>
          <cell r="BD810">
            <v>-3.1713900134952809E-2</v>
          </cell>
          <cell r="BE810">
            <v>0.61763157640815514</v>
          </cell>
          <cell r="BF810">
            <v>0.74699996948242187</v>
          </cell>
          <cell r="BG810">
            <v>0.42812400817871094</v>
          </cell>
        </row>
        <row r="811">
          <cell r="D811" t="str">
            <v>通信设备</v>
          </cell>
          <cell r="M811">
            <v>31.017017416000002</v>
          </cell>
          <cell r="N811">
            <v>21.002758523250002</v>
          </cell>
          <cell r="O811" t="str">
            <v>信息技术</v>
          </cell>
          <cell r="P811" t="str">
            <v>技术硬件与设备</v>
          </cell>
          <cell r="Q811" t="str">
            <v>通信设备Ⅲ</v>
          </cell>
          <cell r="BC811">
            <v>0</v>
          </cell>
          <cell r="BD811">
            <v>5.9591502155517084E-8</v>
          </cell>
          <cell r="BE811">
            <v>0.50915041672992034</v>
          </cell>
          <cell r="BF811">
            <v>0.86295600891113278</v>
          </cell>
          <cell r="BG811">
            <v>0.3277199935913086</v>
          </cell>
        </row>
        <row r="812">
          <cell r="D812" t="str">
            <v>工业机械</v>
          </cell>
          <cell r="M812">
            <v>69.336184148799987</v>
          </cell>
          <cell r="N812">
            <v>46.949203406002269</v>
          </cell>
          <cell r="O812" t="str">
            <v>工业</v>
          </cell>
          <cell r="P812" t="str">
            <v>资本货物</v>
          </cell>
          <cell r="Q812" t="str">
            <v>机械</v>
          </cell>
          <cell r="BC812">
            <v>1.5558698727015478E-2</v>
          </cell>
          <cell r="BD812">
            <v>-1.9125683060109366E-2</v>
          </cell>
          <cell r="BE812">
            <v>-0.51035479866354627</v>
          </cell>
          <cell r="BF812">
            <v>-0.1768440055847168</v>
          </cell>
          <cell r="BG812">
            <v>6.7199999094009399E-3</v>
          </cell>
        </row>
        <row r="813">
          <cell r="D813" t="str">
            <v>海运</v>
          </cell>
          <cell r="M813">
            <v>537.42374999999993</v>
          </cell>
          <cell r="N813">
            <v>363.86321603417684</v>
          </cell>
          <cell r="O813" t="str">
            <v>工业</v>
          </cell>
          <cell r="P813" t="str">
            <v>运输</v>
          </cell>
          <cell r="Q813" t="str">
            <v>海运Ⅲ</v>
          </cell>
          <cell r="BC813">
            <v>-1.2875536480686801E-2</v>
          </cell>
          <cell r="BD813">
            <v>-9.8039215686274522E-2</v>
          </cell>
          <cell r="BE813">
            <v>-0.12713472485768501</v>
          </cell>
          <cell r="BF813">
            <v>0.66555603027343746</v>
          </cell>
          <cell r="BG813">
            <v>0.13509599685668947</v>
          </cell>
        </row>
        <row r="814">
          <cell r="D814" t="str">
            <v>多领域控股</v>
          </cell>
          <cell r="M814">
            <v>142.85170049359996</v>
          </cell>
          <cell r="N814">
            <v>96.712517199116149</v>
          </cell>
          <cell r="O814" t="str">
            <v>金融</v>
          </cell>
          <cell r="P814" t="str">
            <v>多元金融</v>
          </cell>
          <cell r="Q814" t="str">
            <v>多元金融服务</v>
          </cell>
          <cell r="BC814">
            <v>0</v>
          </cell>
          <cell r="BD814">
            <v>-8.302583025830261E-2</v>
          </cell>
          <cell r="BE814">
            <v>-0.30883047019592047</v>
          </cell>
          <cell r="BF814">
            <v>0.16123199462890625</v>
          </cell>
          <cell r="BG814">
            <v>0.16631999969482422</v>
          </cell>
        </row>
        <row r="815">
          <cell r="D815" t="str">
            <v>电气部件与设备</v>
          </cell>
          <cell r="M815">
            <v>45.134550000000004</v>
          </cell>
          <cell r="N815">
            <v>30.545750236227558</v>
          </cell>
          <cell r="O815" t="str">
            <v>工业</v>
          </cell>
          <cell r="P815" t="str">
            <v>资本货物</v>
          </cell>
          <cell r="Q815" t="str">
            <v>电气设备</v>
          </cell>
          <cell r="BC815">
            <v>3.6344755970924153E-2</v>
          </cell>
          <cell r="BD815">
            <v>5.2742616033755269E-2</v>
          </cell>
          <cell r="BE815">
            <v>0.11215694076977981</v>
          </cell>
          <cell r="BF815">
            <v>0.31814399719238279</v>
          </cell>
          <cell r="BG815">
            <v>7.2732000350952147E-2</v>
          </cell>
        </row>
        <row r="816">
          <cell r="D816" t="str">
            <v>生物科技</v>
          </cell>
          <cell r="M816">
            <v>117.46214307929999</v>
          </cell>
          <cell r="N816">
            <v>79.481792206112146</v>
          </cell>
          <cell r="O816" t="str">
            <v>医疗保健</v>
          </cell>
          <cell r="P816" t="str">
            <v>制药、生物科技与生命科学</v>
          </cell>
          <cell r="Q816" t="str">
            <v>生物科技Ⅲ</v>
          </cell>
          <cell r="BC816">
            <v>-6.1324786324786273E-2</v>
          </cell>
          <cell r="BD816">
            <v>-8.2881002087682648E-2</v>
          </cell>
          <cell r="BE816">
            <v>0.61825556363890732</v>
          </cell>
          <cell r="BF816">
            <v>0.66412803649902341</v>
          </cell>
          <cell r="BG816">
            <v>0</v>
          </cell>
        </row>
        <row r="817">
          <cell r="D817" t="str">
            <v>机动车零配件与设备</v>
          </cell>
          <cell r="M817">
            <v>48.435903999999994</v>
          </cell>
          <cell r="N817">
            <v>32.772630297582083</v>
          </cell>
          <cell r="O817" t="str">
            <v>可选消费</v>
          </cell>
          <cell r="P817" t="str">
            <v>汽车与汽车零部件</v>
          </cell>
          <cell r="Q817" t="str">
            <v>汽车零配件</v>
          </cell>
          <cell r="BC817">
            <v>9.4339622641508945E-3</v>
          </cell>
          <cell r="BD817">
            <v>-3.603603603603614E-2</v>
          </cell>
          <cell r="BE817">
            <v>-1.8927339064879225E-2</v>
          </cell>
          <cell r="BF817">
            <v>0.37318801879882812</v>
          </cell>
          <cell r="BG817">
            <v>0.13388400077819823</v>
          </cell>
        </row>
        <row r="818">
          <cell r="D818" t="str">
            <v>中药</v>
          </cell>
          <cell r="M818">
            <v>281.797789319</v>
          </cell>
          <cell r="N818">
            <v>190.59042793679362</v>
          </cell>
          <cell r="O818" t="str">
            <v>医疗保健</v>
          </cell>
          <cell r="P818" t="str">
            <v>制药、生物科技与生命科学</v>
          </cell>
          <cell r="Q818" t="str">
            <v>制药</v>
          </cell>
          <cell r="BC818">
            <v>0</v>
          </cell>
          <cell r="BD818">
            <v>0</v>
          </cell>
          <cell r="BE818">
            <v>0.22944867441243613</v>
          </cell>
          <cell r="BF818">
            <v>0.27596399307250974</v>
          </cell>
          <cell r="BG818">
            <v>0.38353199005126953</v>
          </cell>
        </row>
        <row r="819">
          <cell r="D819" t="str">
            <v>钢铁</v>
          </cell>
          <cell r="M819">
            <v>101.39999999999999</v>
          </cell>
          <cell r="N819">
            <v>68.559780976122269</v>
          </cell>
          <cell r="O819" t="str">
            <v>材料</v>
          </cell>
          <cell r="P819" t="str">
            <v>材料Ⅱ</v>
          </cell>
          <cell r="Q819" t="str">
            <v>金属、非金属与采矿</v>
          </cell>
          <cell r="BC819">
            <v>-7.633587786259605E-3</v>
          </cell>
          <cell r="BD819">
            <v>-4.8780487804877988E-2</v>
          </cell>
          <cell r="BE819">
            <v>-0.47133784943491164</v>
          </cell>
          <cell r="BF819">
            <v>0.63441600799560549</v>
          </cell>
          <cell r="BG819">
            <v>0.31443599700927732</v>
          </cell>
        </row>
        <row r="820">
          <cell r="D820" t="str">
            <v>信息科技咨询与其它服务</v>
          </cell>
          <cell r="M820">
            <v>205.59174202839998</v>
          </cell>
          <cell r="N820">
            <v>138.99310981918322</v>
          </cell>
          <cell r="O820" t="str">
            <v>信息技术</v>
          </cell>
          <cell r="P820" t="str">
            <v>软件与服务</v>
          </cell>
          <cell r="Q820" t="str">
            <v>信息技术服务</v>
          </cell>
          <cell r="BC820">
            <v>-6.7170445004198212E-3</v>
          </cell>
          <cell r="BD820">
            <v>-3.7820252135014221E-2</v>
          </cell>
          <cell r="BE820">
            <v>0.14229841176805499</v>
          </cell>
          <cell r="BF820">
            <v>0.78594001770019528</v>
          </cell>
          <cell r="BG820">
            <v>0.49049999237060549</v>
          </cell>
        </row>
        <row r="821">
          <cell r="D821" t="str">
            <v>建筑与工程</v>
          </cell>
          <cell r="M821">
            <v>209.77794959079998</v>
          </cell>
          <cell r="N821">
            <v>141.79688286353132</v>
          </cell>
          <cell r="O821" t="str">
            <v>工业</v>
          </cell>
          <cell r="P821" t="str">
            <v>资本货物</v>
          </cell>
          <cell r="Q821" t="str">
            <v>建筑与工程Ⅲ</v>
          </cell>
          <cell r="BC821">
            <v>9.8525626023870841E-2</v>
          </cell>
          <cell r="BD821">
            <v>-6.4567556795536107E-2</v>
          </cell>
          <cell r="BE821">
            <v>0.8335937499999998</v>
          </cell>
          <cell r="BF821">
            <v>1.0129679870605468</v>
          </cell>
          <cell r="BG821">
            <v>0.48127201080322268</v>
          </cell>
        </row>
        <row r="822">
          <cell r="D822" t="str">
            <v>电影与娱乐</v>
          </cell>
          <cell r="M822">
            <v>182.89012350000002</v>
          </cell>
          <cell r="N822">
            <v>123.61993199211301</v>
          </cell>
          <cell r="O822" t="str">
            <v>可选消费</v>
          </cell>
          <cell r="P822" t="str">
            <v>媒体Ⅱ</v>
          </cell>
          <cell r="Q822" t="str">
            <v>媒体Ⅲ</v>
          </cell>
          <cell r="BC822">
            <v>-3.6237471087124051E-2</v>
          </cell>
          <cell r="BD822">
            <v>-5.3030303030303066E-2</v>
          </cell>
          <cell r="BE822">
            <v>0.28689071875245153</v>
          </cell>
          <cell r="BF822">
            <v>1.2246720123291015</v>
          </cell>
          <cell r="BG822">
            <v>0</v>
          </cell>
        </row>
        <row r="823">
          <cell r="D823" t="str">
            <v>基础化工</v>
          </cell>
          <cell r="M823">
            <v>54.171003428799992</v>
          </cell>
          <cell r="N823">
            <v>36.567799858887597</v>
          </cell>
          <cell r="O823" t="str">
            <v>材料</v>
          </cell>
          <cell r="P823" t="str">
            <v>材料Ⅱ</v>
          </cell>
          <cell r="Q823" t="str">
            <v>化工</v>
          </cell>
          <cell r="BC823">
            <v>6.4406779661016933E-2</v>
          </cell>
          <cell r="BD823">
            <v>7.9681274900396707E-4</v>
          </cell>
          <cell r="BE823">
            <v>0.51143200962695545</v>
          </cell>
          <cell r="BF823">
            <v>1.1854560089111328</v>
          </cell>
          <cell r="BG823">
            <v>0.53200801849365231</v>
          </cell>
        </row>
        <row r="824">
          <cell r="D824" t="str">
            <v>房地产开发</v>
          </cell>
          <cell r="M824">
            <v>89.16923585699999</v>
          </cell>
          <cell r="N824">
            <v>60.153818628104055</v>
          </cell>
          <cell r="O824" t="str">
            <v>金融</v>
          </cell>
          <cell r="P824" t="str">
            <v>房地产</v>
          </cell>
          <cell r="Q824" t="str">
            <v>房地产管理与开发</v>
          </cell>
          <cell r="BC824">
            <v>-1.0152284263959475E-2</v>
          </cell>
          <cell r="BD824">
            <v>5.026929982046667E-2</v>
          </cell>
          <cell r="BE824">
            <v>-0.29054625923742783</v>
          </cell>
          <cell r="BF824">
            <v>0.39209999084472658</v>
          </cell>
          <cell r="BG824">
            <v>8.0928001403808597E-2</v>
          </cell>
        </row>
        <row r="825">
          <cell r="D825" t="str">
            <v>保健护理服务</v>
          </cell>
          <cell r="M825">
            <v>171.60399611400001</v>
          </cell>
          <cell r="N825">
            <v>115.75908535258593</v>
          </cell>
          <cell r="O825" t="str">
            <v>医疗保健</v>
          </cell>
          <cell r="P825" t="str">
            <v>医疗保健设备与服务</v>
          </cell>
          <cell r="Q825" t="str">
            <v>医疗保健提供商与服务</v>
          </cell>
          <cell r="BC825">
            <v>-1.2062937062937146E-2</v>
          </cell>
          <cell r="BD825">
            <v>-3.236301369863015E-2</v>
          </cell>
          <cell r="BE825">
            <v>-2.5676857487791204E-2</v>
          </cell>
          <cell r="BF825">
            <v>0.50306400299072263</v>
          </cell>
          <cell r="BG825">
            <v>0</v>
          </cell>
        </row>
        <row r="826">
          <cell r="D826" t="str">
            <v>铁路运输</v>
          </cell>
          <cell r="M826">
            <v>272.00782079999999</v>
          </cell>
          <cell r="N826">
            <v>183.45457469554628</v>
          </cell>
          <cell r="O826" t="str">
            <v>工业</v>
          </cell>
          <cell r="P826" t="str">
            <v>运输</v>
          </cell>
          <cell r="Q826" t="str">
            <v>公路与铁路运输</v>
          </cell>
          <cell r="BC826">
            <v>-2.0408163265306142E-2</v>
          </cell>
          <cell r="BD826">
            <v>-4.477611940298501E-2</v>
          </cell>
          <cell r="BE826">
            <v>-0.1998419625456079</v>
          </cell>
          <cell r="BF826">
            <v>0.32914798736572265</v>
          </cell>
          <cell r="BG826">
            <v>0.10714799880981446</v>
          </cell>
        </row>
        <row r="827">
          <cell r="D827" t="str">
            <v>食品加工与肉类</v>
          </cell>
          <cell r="M827">
            <v>44.375371672800007</v>
          </cell>
          <cell r="N827">
            <v>29.925736276953646</v>
          </cell>
          <cell r="O827" t="str">
            <v>日常消费</v>
          </cell>
          <cell r="P827" t="str">
            <v>食品、饮料与烟草</v>
          </cell>
          <cell r="Q827" t="str">
            <v>食品</v>
          </cell>
          <cell r="BC827">
            <v>4.7010730710270725E-2</v>
          </cell>
          <cell r="BD827">
            <v>7.7287066246056718E-2</v>
          </cell>
          <cell r="BE827">
            <v>0.46129625915187822</v>
          </cell>
          <cell r="BF827">
            <v>0.39982799530029295</v>
          </cell>
          <cell r="BG827">
            <v>8.5908002853393561E-2</v>
          </cell>
        </row>
        <row r="828">
          <cell r="D828" t="str">
            <v>房地产开发</v>
          </cell>
          <cell r="M828">
            <v>102.1917510331</v>
          </cell>
          <cell r="N828">
            <v>68.912184462556397</v>
          </cell>
          <cell r="O828" t="str">
            <v>金融</v>
          </cell>
          <cell r="P828" t="str">
            <v>房地产</v>
          </cell>
          <cell r="Q828" t="str">
            <v>房地产管理与开发</v>
          </cell>
          <cell r="BC828">
            <v>-1.9944598337950106E-2</v>
          </cell>
          <cell r="BD828">
            <v>2.4913093858632659E-2</v>
          </cell>
          <cell r="BE828">
            <v>-0.34286775631500743</v>
          </cell>
          <cell r="BF828">
            <v>0.45858001708984375</v>
          </cell>
          <cell r="BG828">
            <v>0.24327600479125977</v>
          </cell>
        </row>
        <row r="829">
          <cell r="D829" t="str">
            <v>铝</v>
          </cell>
          <cell r="M829">
            <v>134.42170446599999</v>
          </cell>
          <cell r="N829">
            <v>90.617882190416651</v>
          </cell>
          <cell r="O829" t="str">
            <v>材料</v>
          </cell>
          <cell r="P829" t="str">
            <v>材料Ⅱ</v>
          </cell>
          <cell r="Q829" t="str">
            <v>金属、非金属与采矿</v>
          </cell>
          <cell r="BC829">
            <v>-4.7106325706594843E-2</v>
          </cell>
          <cell r="BD829">
            <v>-3.8043478260869595E-2</v>
          </cell>
          <cell r="BE829">
            <v>-0.21420643729189787</v>
          </cell>
          <cell r="BF829">
            <v>0.6070439910888672</v>
          </cell>
          <cell r="BG829">
            <v>7.2083997726440432E-2</v>
          </cell>
        </row>
        <row r="830">
          <cell r="D830" t="str">
            <v>环境与设施服务</v>
          </cell>
          <cell r="M830">
            <v>110.640688716</v>
          </cell>
          <cell r="N830">
            <v>74.582678955867621</v>
          </cell>
          <cell r="O830" t="str">
            <v>工业</v>
          </cell>
          <cell r="P830" t="str">
            <v>商业和专业服务</v>
          </cell>
          <cell r="Q830" t="str">
            <v>商业服务与用品</v>
          </cell>
          <cell r="BC830">
            <v>8.8365243004417688E-3</v>
          </cell>
          <cell r="BD830">
            <v>-3.5211267605633804E-2</v>
          </cell>
          <cell r="BE830">
            <v>8.6295568768267661E-2</v>
          </cell>
          <cell r="BF830">
            <v>0.2313479995727539</v>
          </cell>
          <cell r="BG830">
            <v>0</v>
          </cell>
        </row>
        <row r="831">
          <cell r="D831" t="str">
            <v>钢铁</v>
          </cell>
          <cell r="M831">
            <v>126.42664353000001</v>
          </cell>
          <cell r="N831">
            <v>85.166874079814832</v>
          </cell>
          <cell r="O831" t="str">
            <v>材料</v>
          </cell>
          <cell r="P831" t="str">
            <v>材料Ⅱ</v>
          </cell>
          <cell r="Q831" t="str">
            <v>金属、非金属与采矿</v>
          </cell>
          <cell r="BC831">
            <v>7.0671378091872851E-3</v>
          </cell>
          <cell r="BD831">
            <v>1.7857142857142953E-2</v>
          </cell>
          <cell r="BE831">
            <v>-0.27848101265822783</v>
          </cell>
          <cell r="BF831">
            <v>0.14755200386047362</v>
          </cell>
          <cell r="BG831">
            <v>-1.1507999897003175E-2</v>
          </cell>
        </row>
        <row r="832">
          <cell r="D832" t="str">
            <v>出版</v>
          </cell>
          <cell r="M832">
            <v>89.447031674000002</v>
          </cell>
          <cell r="N832">
            <v>60.254497608831663</v>
          </cell>
          <cell r="O832" t="str">
            <v>可选消费</v>
          </cell>
          <cell r="P832" t="str">
            <v>媒体Ⅱ</v>
          </cell>
          <cell r="Q832" t="str">
            <v>媒体Ⅲ</v>
          </cell>
          <cell r="BC832">
            <v>5.9900166389351139E-2</v>
          </cell>
          <cell r="BD832">
            <v>-3.117870722433461E-2</v>
          </cell>
          <cell r="BE832">
            <v>1.4331210191082779E-2</v>
          </cell>
          <cell r="BF832">
            <v>0.6248880004882813</v>
          </cell>
          <cell r="BG832">
            <v>0.30633600234985353</v>
          </cell>
        </row>
        <row r="833">
          <cell r="D833" t="str">
            <v>药品零售</v>
          </cell>
          <cell r="M833">
            <v>123.7011</v>
          </cell>
          <cell r="N833">
            <v>83.316946163233013</v>
          </cell>
          <cell r="O833" t="str">
            <v>日常消费</v>
          </cell>
          <cell r="P833" t="str">
            <v>食品与主要用品零售Ⅱ</v>
          </cell>
          <cell r="Q833" t="str">
            <v>食品与主要用品零售Ⅲ</v>
          </cell>
          <cell r="BC833">
            <v>7.3929115025004625E-3</v>
          </cell>
          <cell r="BD833">
            <v>-5.5453618756371031E-2</v>
          </cell>
          <cell r="BE833">
            <v>0</v>
          </cell>
          <cell r="BF833">
            <v>0</v>
          </cell>
          <cell r="BG833">
            <v>0</v>
          </cell>
        </row>
        <row r="834">
          <cell r="D834" t="str">
            <v>贸易公司与工业品经销商</v>
          </cell>
          <cell r="M834">
            <v>72.144000000000005</v>
          </cell>
          <cell r="N834">
            <v>48.584050678374062</v>
          </cell>
          <cell r="O834" t="str">
            <v>工业</v>
          </cell>
          <cell r="P834" t="str">
            <v>资本货物</v>
          </cell>
          <cell r="Q834" t="str">
            <v>贸易公司与工业品经销商Ⅲ</v>
          </cell>
          <cell r="BC834">
            <v>6.4824654622741701E-2</v>
          </cell>
          <cell r="BD834">
            <v>0.12457912457912451</v>
          </cell>
          <cell r="BE834">
            <v>2.1242458830887011E-2</v>
          </cell>
          <cell r="BF834">
            <v>5.1239997148513792E-3</v>
          </cell>
          <cell r="BG834">
            <v>2.7251999378204345E-2</v>
          </cell>
        </row>
        <row r="835">
          <cell r="D835" t="str">
            <v>金属与玻璃容器</v>
          </cell>
          <cell r="M835">
            <v>40.099821293799998</v>
          </cell>
          <cell r="N835">
            <v>26.991553705300937</v>
          </cell>
          <cell r="O835" t="str">
            <v>材料</v>
          </cell>
          <cell r="P835" t="str">
            <v>材料Ⅱ</v>
          </cell>
          <cell r="Q835" t="str">
            <v>容器与包装</v>
          </cell>
          <cell r="BC835">
            <v>1.697127937336813E-2</v>
          </cell>
          <cell r="BD835">
            <v>-5.1157125456760141E-2</v>
          </cell>
          <cell r="BE835">
            <v>6.7959347311174673E-2</v>
          </cell>
          <cell r="BF835">
            <v>0.22475999832153321</v>
          </cell>
          <cell r="BG835">
            <v>2.8608000278472899E-2</v>
          </cell>
        </row>
        <row r="836">
          <cell r="D836" t="str">
            <v>公路与铁路</v>
          </cell>
          <cell r="M836">
            <v>232.20539999999997</v>
          </cell>
          <cell r="N836">
            <v>156.2101415534791</v>
          </cell>
          <cell r="O836" t="str">
            <v>工业</v>
          </cell>
          <cell r="P836" t="str">
            <v>运输</v>
          </cell>
          <cell r="Q836" t="str">
            <v>交通基础设施</v>
          </cell>
          <cell r="BC836">
            <v>-2.0979020979021028E-2</v>
          </cell>
          <cell r="BD836">
            <v>-7.7958894401133549E-3</v>
          </cell>
          <cell r="BE836">
            <v>1.0624886966270626</v>
          </cell>
          <cell r="BF836">
            <v>0.79735198974609378</v>
          </cell>
          <cell r="BG836">
            <v>0.26106000900268556</v>
          </cell>
        </row>
        <row r="837">
          <cell r="D837" t="str">
            <v>电气部件与设备</v>
          </cell>
          <cell r="M837">
            <v>56.423952</v>
          </cell>
          <cell r="N837">
            <v>37.942047519579155</v>
          </cell>
          <cell r="O837" t="str">
            <v>工业</v>
          </cell>
          <cell r="P837" t="str">
            <v>资本货物</v>
          </cell>
          <cell r="Q837" t="str">
            <v>电气设备</v>
          </cell>
          <cell r="BC837">
            <v>9.0423162583518985E-2</v>
          </cell>
          <cell r="BD837">
            <v>6.5737919024815045E-2</v>
          </cell>
          <cell r="BE837">
            <v>0.16134614239252543</v>
          </cell>
          <cell r="BF837">
            <v>0.43972801208496093</v>
          </cell>
          <cell r="BG837">
            <v>0</v>
          </cell>
        </row>
        <row r="838">
          <cell r="D838" t="str">
            <v>中药</v>
          </cell>
          <cell r="M838">
            <v>260.93088</v>
          </cell>
          <cell r="N838">
            <v>175.44659606908499</v>
          </cell>
          <cell r="O838" t="str">
            <v>医疗保健</v>
          </cell>
          <cell r="P838" t="str">
            <v>制药、生物科技与生命科学</v>
          </cell>
          <cell r="Q838" t="str">
            <v>制药</v>
          </cell>
          <cell r="BC838">
            <v>8.7007642563197929E-2</v>
          </cell>
          <cell r="BD838">
            <v>4.8185941043083776E-2</v>
          </cell>
          <cell r="BE838">
            <v>8.2323790026347723E-2</v>
          </cell>
          <cell r="BF838">
            <v>0.55761600494384767</v>
          </cell>
          <cell r="BG838">
            <v>0.32043598175048826</v>
          </cell>
        </row>
        <row r="839">
          <cell r="D839" t="str">
            <v>服装、服饰与奢侈品</v>
          </cell>
          <cell r="M839">
            <v>198.06296829280004</v>
          </cell>
          <cell r="N839">
            <v>133.12626534450001</v>
          </cell>
          <cell r="O839" t="str">
            <v>可选消费</v>
          </cell>
          <cell r="P839" t="str">
            <v>耐用消费品与服装</v>
          </cell>
          <cell r="Q839" t="str">
            <v>纺织品、服装与奢侈品</v>
          </cell>
          <cell r="BC839">
            <v>9.4519459888800603E-2</v>
          </cell>
          <cell r="BD839">
            <v>4.6317388003037162E-2</v>
          </cell>
          <cell r="BE839">
            <v>-2.8401295523474968E-2</v>
          </cell>
          <cell r="BF839">
            <v>0.3294960021972656</v>
          </cell>
          <cell r="BG839">
            <v>6.9744000434875483E-2</v>
          </cell>
        </row>
        <row r="840">
          <cell r="D840" t="str">
            <v>金属非金属</v>
          </cell>
          <cell r="M840">
            <v>30.322254695199998</v>
          </cell>
          <cell r="N840">
            <v>20.379846775860184</v>
          </cell>
          <cell r="O840" t="str">
            <v>材料</v>
          </cell>
          <cell r="P840" t="str">
            <v>材料Ⅱ</v>
          </cell>
          <cell r="Q840" t="str">
            <v>金属、非金属与采矿</v>
          </cell>
          <cell r="BC840">
            <v>0.25091352009744194</v>
          </cell>
          <cell r="BD840">
            <v>0.37358689190748323</v>
          </cell>
          <cell r="BE840">
            <v>0.83099828047270874</v>
          </cell>
          <cell r="BF840">
            <v>0.57459598541259771</v>
          </cell>
          <cell r="BG840">
            <v>4.5599999427795412E-2</v>
          </cell>
        </row>
        <row r="841">
          <cell r="D841" t="str">
            <v>化肥与农用化工</v>
          </cell>
          <cell r="M841">
            <v>57.532499999999999</v>
          </cell>
          <cell r="N841">
            <v>38.660267127907254</v>
          </cell>
          <cell r="O841" t="str">
            <v>材料</v>
          </cell>
          <cell r="P841" t="str">
            <v>材料Ⅱ</v>
          </cell>
          <cell r="Q841" t="str">
            <v>化工</v>
          </cell>
          <cell r="BC841">
            <v>1.4682539682539675E-2</v>
          </cell>
          <cell r="BD841">
            <v>-1.8426103646833166E-2</v>
          </cell>
          <cell r="BE841">
            <v>0.36136257004405248</v>
          </cell>
          <cell r="BF841">
            <v>0</v>
          </cell>
          <cell r="BG841">
            <v>0</v>
          </cell>
        </row>
        <row r="842">
          <cell r="D842" t="str">
            <v>公路与铁路</v>
          </cell>
          <cell r="M842">
            <v>132.41399799999999</v>
          </cell>
          <cell r="N842">
            <v>88.957155739408122</v>
          </cell>
          <cell r="O842" t="str">
            <v>工业</v>
          </cell>
          <cell r="P842" t="str">
            <v>运输</v>
          </cell>
          <cell r="Q842" t="str">
            <v>交通基础设施</v>
          </cell>
          <cell r="BC842">
            <v>1.8823529411764722E-2</v>
          </cell>
          <cell r="BD842">
            <v>1.6431924882629175E-2</v>
          </cell>
          <cell r="BE842">
            <v>-0.2097231302933974</v>
          </cell>
          <cell r="BF842">
            <v>0.32566799163818361</v>
          </cell>
          <cell r="BG842">
            <v>-2.5620000362396242E-2</v>
          </cell>
        </row>
        <row r="843">
          <cell r="D843" t="str">
            <v>金属非金属</v>
          </cell>
          <cell r="M843">
            <v>41.085602420800001</v>
          </cell>
          <cell r="N843">
            <v>27.578083756041668</v>
          </cell>
          <cell r="O843" t="str">
            <v>材料</v>
          </cell>
          <cell r="P843" t="str">
            <v>材料Ⅱ</v>
          </cell>
          <cell r="Q843" t="str">
            <v>金属、非金属与采矿</v>
          </cell>
          <cell r="BC843">
            <v>0</v>
          </cell>
          <cell r="BD843">
            <v>0</v>
          </cell>
          <cell r="BE843">
            <v>-0.32267441860465113</v>
          </cell>
          <cell r="BF843">
            <v>0.11324399948120117</v>
          </cell>
          <cell r="BG843">
            <v>-7.6691999435424804E-2</v>
          </cell>
        </row>
        <row r="844">
          <cell r="D844" t="str">
            <v>基础化工</v>
          </cell>
          <cell r="M844">
            <v>64.407424483</v>
          </cell>
          <cell r="N844">
            <v>43.229155708283024</v>
          </cell>
          <cell r="O844" t="str">
            <v>材料</v>
          </cell>
          <cell r="P844" t="str">
            <v>材料Ⅱ</v>
          </cell>
          <cell r="Q844" t="str">
            <v>化工</v>
          </cell>
          <cell r="BC844">
            <v>0</v>
          </cell>
          <cell r="BD844">
            <v>0</v>
          </cell>
          <cell r="BE844">
            <v>1.108827662386707</v>
          </cell>
          <cell r="BF844">
            <v>0</v>
          </cell>
          <cell r="BG844">
            <v>0</v>
          </cell>
        </row>
        <row r="845">
          <cell r="D845" t="str">
            <v>有线和卫星电视</v>
          </cell>
          <cell r="M845">
            <v>98.1591588</v>
          </cell>
          <cell r="N845">
            <v>65.867201039586504</v>
          </cell>
          <cell r="O845" t="str">
            <v>可选消费</v>
          </cell>
          <cell r="P845" t="str">
            <v>媒体Ⅱ</v>
          </cell>
          <cell r="Q845" t="str">
            <v>媒体Ⅲ</v>
          </cell>
          <cell r="BC845">
            <v>0.1093023255813953</v>
          </cell>
          <cell r="BD845">
            <v>0.12433706540954623</v>
          </cell>
          <cell r="BE845">
            <v>-2.4660962730548155E-2</v>
          </cell>
          <cell r="BF845">
            <v>0.31104000091552736</v>
          </cell>
          <cell r="BG845">
            <v>9.8472003936767583E-2</v>
          </cell>
        </row>
        <row r="846">
          <cell r="D846" t="str">
            <v>化肥与农用化工</v>
          </cell>
          <cell r="M846">
            <v>29.923199999999998</v>
          </cell>
          <cell r="N846">
            <v>20.074778626076668</v>
          </cell>
          <cell r="O846" t="str">
            <v>材料</v>
          </cell>
          <cell r="P846" t="str">
            <v>材料Ⅱ</v>
          </cell>
          <cell r="Q846" t="str">
            <v>化工</v>
          </cell>
          <cell r="BC846">
            <v>4.2118975249674284E-2</v>
          </cell>
          <cell r="BD846">
            <v>-2.9081844619858865E-3</v>
          </cell>
          <cell r="BE846">
            <v>-9.9121797752808993E-2</v>
          </cell>
          <cell r="BF846">
            <v>0</v>
          </cell>
          <cell r="BG846">
            <v>0</v>
          </cell>
        </row>
        <row r="847">
          <cell r="D847" t="str">
            <v>食品加工与肉类</v>
          </cell>
          <cell r="M847">
            <v>83.408303999999987</v>
          </cell>
          <cell r="N847">
            <v>55.947338054425302</v>
          </cell>
          <cell r="O847" t="str">
            <v>日常消费</v>
          </cell>
          <cell r="P847" t="str">
            <v>食品、饮料与烟草</v>
          </cell>
          <cell r="Q847" t="str">
            <v>食品</v>
          </cell>
          <cell r="BC847">
            <v>3.1793641271745506E-2</v>
          </cell>
          <cell r="BD847">
            <v>8.108108108108103E-2</v>
          </cell>
          <cell r="BE847">
            <v>0.48660352518985678</v>
          </cell>
          <cell r="BF847">
            <v>0.58870800018310543</v>
          </cell>
          <cell r="BG847">
            <v>0.21542400360107422</v>
          </cell>
        </row>
        <row r="848">
          <cell r="D848" t="str">
            <v>食品分销商</v>
          </cell>
          <cell r="M848">
            <v>115.34293188080001</v>
          </cell>
          <cell r="N848">
            <v>77.335082000228752</v>
          </cell>
          <cell r="O848" t="str">
            <v>日常消费</v>
          </cell>
          <cell r="P848" t="str">
            <v>食品与主要用品零售Ⅱ</v>
          </cell>
          <cell r="Q848" t="str">
            <v>食品与主要用品零售Ⅲ</v>
          </cell>
          <cell r="BC848">
            <v>1.4662756598240416E-2</v>
          </cell>
          <cell r="BD848">
            <v>2.3668639053254458E-2</v>
          </cell>
          <cell r="BE848">
            <v>-0.36569229977912909</v>
          </cell>
          <cell r="BF848">
            <v>0.1290719985961914</v>
          </cell>
          <cell r="BG848">
            <v>-1.0836000442504884E-2</v>
          </cell>
        </row>
        <row r="849">
          <cell r="D849" t="str">
            <v>基础化工</v>
          </cell>
          <cell r="M849">
            <v>110.3329193312</v>
          </cell>
          <cell r="N849">
            <v>73.940698881086007</v>
          </cell>
          <cell r="O849" t="str">
            <v>材料</v>
          </cell>
          <cell r="P849" t="str">
            <v>材料Ⅱ</v>
          </cell>
          <cell r="Q849" t="str">
            <v>化工</v>
          </cell>
          <cell r="BC849">
            <v>-3.4109366540335626E-2</v>
          </cell>
          <cell r="BD849">
            <v>0.21195652173913038</v>
          </cell>
          <cell r="BE849">
            <v>0.45120610026763569</v>
          </cell>
          <cell r="BF849">
            <v>0.49523998260498048</v>
          </cell>
          <cell r="BG849">
            <v>0.25302000045776368</v>
          </cell>
        </row>
        <row r="850">
          <cell r="D850" t="str">
            <v>食品加工与肉类</v>
          </cell>
          <cell r="M850">
            <v>60.348058511400005</v>
          </cell>
          <cell r="N850">
            <v>40.430999348868937</v>
          </cell>
          <cell r="O850" t="str">
            <v>日常消费</v>
          </cell>
          <cell r="P850" t="str">
            <v>食品、饮料与烟草</v>
          </cell>
          <cell r="Q850" t="str">
            <v>食品</v>
          </cell>
          <cell r="BC850">
            <v>0.13744977796574329</v>
          </cell>
          <cell r="BD850">
            <v>0.12296450939457204</v>
          </cell>
          <cell r="BE850">
            <v>0.31386754884362528</v>
          </cell>
          <cell r="BF850">
            <v>0.23853599548339843</v>
          </cell>
          <cell r="BG850">
            <v>0</v>
          </cell>
        </row>
        <row r="851">
          <cell r="D851" t="str">
            <v>建筑机械与重型卡车</v>
          </cell>
          <cell r="M851">
            <v>70.882909499999997</v>
          </cell>
          <cell r="N851">
            <v>47.463882123587503</v>
          </cell>
          <cell r="O851" t="str">
            <v>工业</v>
          </cell>
          <cell r="P851" t="str">
            <v>资本货物</v>
          </cell>
          <cell r="Q851" t="str">
            <v>机械</v>
          </cell>
          <cell r="BC851">
            <v>-3.3180778032036722E-2</v>
          </cell>
          <cell r="BD851">
            <v>2.0531400966183569E-2</v>
          </cell>
          <cell r="BE851">
            <v>-0.1728940260998694</v>
          </cell>
          <cell r="BF851">
            <v>0.26625600814819333</v>
          </cell>
          <cell r="BG851">
            <v>-1.0715999603271485E-2</v>
          </cell>
        </row>
        <row r="852">
          <cell r="D852" t="str">
            <v>药品零售</v>
          </cell>
          <cell r="M852">
            <v>125.669813785</v>
          </cell>
          <cell r="N852">
            <v>84.14184877358457</v>
          </cell>
          <cell r="O852" t="str">
            <v>日常消费</v>
          </cell>
          <cell r="P852" t="str">
            <v>食品与主要用品零售Ⅱ</v>
          </cell>
          <cell r="Q852" t="str">
            <v>食品与主要用品零售Ⅲ</v>
          </cell>
          <cell r="BC852">
            <v>7.8455039227519011E-3</v>
          </cell>
          <cell r="BD852">
            <v>-5.6497175141242938E-2</v>
          </cell>
          <cell r="BE852">
            <v>0.39983235540653811</v>
          </cell>
          <cell r="BF852">
            <v>0.58861198425292971</v>
          </cell>
          <cell r="BG852">
            <v>0.1867799949645996</v>
          </cell>
        </row>
        <row r="853">
          <cell r="D853" t="str">
            <v>电子元件</v>
          </cell>
          <cell r="M853">
            <v>118.5981955125</v>
          </cell>
          <cell r="N853">
            <v>79.379072179623378</v>
          </cell>
          <cell r="O853" t="str">
            <v>信息技术</v>
          </cell>
          <cell r="P853" t="str">
            <v>技术硬件与设备</v>
          </cell>
          <cell r="Q853" t="str">
            <v>电子设备、仪器和元件</v>
          </cell>
          <cell r="BC853">
            <v>1.6009852216748867E-2</v>
          </cell>
          <cell r="BD853">
            <v>-1.5513126491646869E-2</v>
          </cell>
          <cell r="BE853">
            <v>-8.867704448822121E-2</v>
          </cell>
          <cell r="BF853">
            <v>0.304955997467041</v>
          </cell>
          <cell r="BG853">
            <v>6.8592000007629397E-2</v>
          </cell>
        </row>
        <row r="854">
          <cell r="D854" t="str">
            <v>电气部件与设备</v>
          </cell>
          <cell r="M854">
            <v>72.992540844000004</v>
          </cell>
          <cell r="N854">
            <v>48.836916372858404</v>
          </cell>
          <cell r="O854" t="str">
            <v>工业</v>
          </cell>
          <cell r="P854" t="str">
            <v>资本货物</v>
          </cell>
          <cell r="Q854" t="str">
            <v>电气设备</v>
          </cell>
          <cell r="BC854">
            <v>1.1182795698924799E-2</v>
          </cell>
          <cell r="BD854">
            <v>6.7181116659101245E-2</v>
          </cell>
          <cell r="BE854">
            <v>0.32914048164320919</v>
          </cell>
          <cell r="BF854">
            <v>0.59476799011230463</v>
          </cell>
          <cell r="BG854">
            <v>0.2739240074157715</v>
          </cell>
        </row>
        <row r="855">
          <cell r="D855" t="str">
            <v>服装、服饰与奢侈品</v>
          </cell>
          <cell r="M855">
            <v>62.403599999999997</v>
          </cell>
          <cell r="N855">
            <v>41.751495000065177</v>
          </cell>
          <cell r="O855" t="str">
            <v>可选消费</v>
          </cell>
          <cell r="P855" t="str">
            <v>耐用消费品与服装</v>
          </cell>
          <cell r="Q855" t="str">
            <v>纺织品、服装与奢侈品</v>
          </cell>
          <cell r="BC855">
            <v>0</v>
          </cell>
          <cell r="BD855">
            <v>0</v>
          </cell>
          <cell r="BE855">
            <v>0</v>
          </cell>
          <cell r="BF855">
            <v>0</v>
          </cell>
          <cell r="BG855">
            <v>0</v>
          </cell>
        </row>
        <row r="856">
          <cell r="D856" t="str">
            <v>化肥与农用化工</v>
          </cell>
          <cell r="M856">
            <v>44.610543007499999</v>
          </cell>
          <cell r="N856">
            <v>29.84540552772037</v>
          </cell>
          <cell r="O856" t="str">
            <v>材料</v>
          </cell>
          <cell r="P856" t="str">
            <v>材料Ⅱ</v>
          </cell>
          <cell r="Q856" t="str">
            <v>化工</v>
          </cell>
          <cell r="BC856">
            <v>0</v>
          </cell>
          <cell r="BD856">
            <v>5.2259887005649729E-2</v>
          </cell>
          <cell r="BE856">
            <v>-6.8749999999999978E-2</v>
          </cell>
          <cell r="BF856">
            <v>0.52212001800537111</v>
          </cell>
          <cell r="BG856">
            <v>0.1122599983215332</v>
          </cell>
        </row>
        <row r="857">
          <cell r="D857" t="str">
            <v>建筑机械与重型卡车</v>
          </cell>
          <cell r="M857">
            <v>37.096753</v>
          </cell>
          <cell r="N857">
            <v>24.812157072316946</v>
          </cell>
          <cell r="O857" t="str">
            <v>工业</v>
          </cell>
          <cell r="P857" t="str">
            <v>资本货物</v>
          </cell>
          <cell r="Q857" t="str">
            <v>机械</v>
          </cell>
          <cell r="BC857">
            <v>-1.0816125860373593E-2</v>
          </cell>
          <cell r="BD857">
            <v>-2.0447906523855801E-2</v>
          </cell>
          <cell r="BE857">
            <v>-0.28204455424603181</v>
          </cell>
          <cell r="BF857">
            <v>0.12371999740600587</v>
          </cell>
          <cell r="BG857">
            <v>-5.2751998901367191E-2</v>
          </cell>
        </row>
        <row r="858">
          <cell r="D858" t="str">
            <v>西药</v>
          </cell>
          <cell r="M858">
            <v>88.085225850699999</v>
          </cell>
          <cell r="N858">
            <v>58.913823679208548</v>
          </cell>
          <cell r="O858" t="str">
            <v>医疗保健</v>
          </cell>
          <cell r="P858" t="str">
            <v>制药、生物科技与生命科学</v>
          </cell>
          <cell r="Q858" t="str">
            <v>制药</v>
          </cell>
          <cell r="BC858">
            <v>3.4158415841584223E-2</v>
          </cell>
          <cell r="BD858">
            <v>-3.339694656488563E-3</v>
          </cell>
          <cell r="BE858">
            <v>-0.51092750524840913</v>
          </cell>
          <cell r="BF858">
            <v>0.37650001525878907</v>
          </cell>
          <cell r="BG858">
            <v>0</v>
          </cell>
        </row>
        <row r="859">
          <cell r="D859" t="str">
            <v>电子设备和仪器</v>
          </cell>
          <cell r="M859">
            <v>224.28907810559997</v>
          </cell>
          <cell r="N859">
            <v>150.00273909359498</v>
          </cell>
          <cell r="O859" t="str">
            <v>信息技术</v>
          </cell>
          <cell r="P859" t="str">
            <v>技术硬件与设备</v>
          </cell>
          <cell r="Q859" t="str">
            <v>电子设备、仪器和元件</v>
          </cell>
          <cell r="BC859">
            <v>1.0947168015230694E-2</v>
          </cell>
          <cell r="BD859">
            <v>-3.9348710990502078E-2</v>
          </cell>
          <cell r="BE859">
            <v>6.2457010558965471E-2</v>
          </cell>
          <cell r="BF859">
            <v>0.20605199813842773</v>
          </cell>
          <cell r="BG859">
            <v>0.14812800407409668</v>
          </cell>
        </row>
        <row r="860">
          <cell r="D860" t="str">
            <v>特种化工</v>
          </cell>
          <cell r="M860">
            <v>57.2</v>
          </cell>
          <cell r="N860">
            <v>38.254679589900007</v>
          </cell>
          <cell r="O860" t="str">
            <v>材料</v>
          </cell>
          <cell r="P860" t="str">
            <v>材料Ⅱ</v>
          </cell>
          <cell r="Q860" t="str">
            <v>化工</v>
          </cell>
          <cell r="BC860">
            <v>-1.2390016160890605E-2</v>
          </cell>
          <cell r="BD860">
            <v>-0.11475937550297767</v>
          </cell>
          <cell r="BE860">
            <v>-2.0987978142076664E-2</v>
          </cell>
          <cell r="BF860">
            <v>0</v>
          </cell>
          <cell r="BG860">
            <v>0</v>
          </cell>
        </row>
        <row r="861">
          <cell r="D861" t="str">
            <v>纺织品</v>
          </cell>
          <cell r="M861">
            <v>36.837310835199993</v>
          </cell>
          <cell r="N861">
            <v>24.629398474734362</v>
          </cell>
          <cell r="O861" t="str">
            <v>可选消费</v>
          </cell>
          <cell r="P861" t="str">
            <v>耐用消费品与服装</v>
          </cell>
          <cell r="Q861" t="str">
            <v>纺织品、服装与奢侈品</v>
          </cell>
          <cell r="BC861">
            <v>2.1068103870651628E-2</v>
          </cell>
          <cell r="BD861">
            <v>-9.1146969036197123E-2</v>
          </cell>
          <cell r="BE861">
            <v>-0.1519265667792119</v>
          </cell>
          <cell r="BF861">
            <v>9.2124004364013676E-2</v>
          </cell>
          <cell r="BG861">
            <v>0.12721199989318849</v>
          </cell>
        </row>
        <row r="862">
          <cell r="D862" t="str">
            <v>西药</v>
          </cell>
          <cell r="M862">
            <v>192.70707054450003</v>
          </cell>
          <cell r="N862">
            <v>128.74785390086288</v>
          </cell>
          <cell r="O862" t="str">
            <v>医疗保健</v>
          </cell>
          <cell r="P862" t="str">
            <v>制药、生物科技与生命科学</v>
          </cell>
          <cell r="Q862" t="str">
            <v>制药</v>
          </cell>
          <cell r="BC862">
            <v>-9.9403578528824924E-4</v>
          </cell>
          <cell r="BD862">
            <v>-3.4582132564841446E-2</v>
          </cell>
          <cell r="BE862">
            <v>7.5344592851247616E-2</v>
          </cell>
          <cell r="BF862">
            <v>0.31145999908447264</v>
          </cell>
          <cell r="BG862">
            <v>-4.2815999984741213E-2</v>
          </cell>
        </row>
        <row r="863">
          <cell r="D863" t="str">
            <v>应用软件</v>
          </cell>
          <cell r="M863">
            <v>192.7866898364</v>
          </cell>
          <cell r="N863">
            <v>128.79522844612953</v>
          </cell>
          <cell r="O863" t="str">
            <v>信息技术</v>
          </cell>
          <cell r="P863" t="str">
            <v>软件与服务</v>
          </cell>
          <cell r="Q863" t="str">
            <v>软件</v>
          </cell>
          <cell r="BC863">
            <v>9.3491549802229471E-2</v>
          </cell>
          <cell r="BD863">
            <v>0.13322153903484252</v>
          </cell>
          <cell r="BE863">
            <v>-0.1191889934829833</v>
          </cell>
          <cell r="BF863">
            <v>1.1496240234374999</v>
          </cell>
          <cell r="BG863">
            <v>0</v>
          </cell>
        </row>
        <row r="864">
          <cell r="D864" t="str">
            <v>建材</v>
          </cell>
          <cell r="M864">
            <v>81.503158775900005</v>
          </cell>
          <cell r="N864">
            <v>54.437323628664842</v>
          </cell>
          <cell r="O864" t="str">
            <v>材料</v>
          </cell>
          <cell r="P864" t="str">
            <v>材料Ⅱ</v>
          </cell>
          <cell r="Q864" t="str">
            <v>建材Ⅲ</v>
          </cell>
          <cell r="BC864">
            <v>-1.6198704103671746E-2</v>
          </cell>
          <cell r="BD864">
            <v>-3.2908704883227231E-2</v>
          </cell>
          <cell r="BE864">
            <v>-0.18692062222815728</v>
          </cell>
          <cell r="BF864">
            <v>0.49826400756835937</v>
          </cell>
          <cell r="BG864">
            <v>0.18987600326538087</v>
          </cell>
        </row>
        <row r="865">
          <cell r="D865" t="str">
            <v>百货商店</v>
          </cell>
          <cell r="M865">
            <v>31.316861532300003</v>
          </cell>
          <cell r="N865">
            <v>20.903927349991761</v>
          </cell>
          <cell r="O865" t="str">
            <v>可选消费</v>
          </cell>
          <cell r="P865" t="str">
            <v>零售业</v>
          </cell>
          <cell r="Q865" t="str">
            <v>多元化零售</v>
          </cell>
          <cell r="BC865">
            <v>1.4336917562724134E-2</v>
          </cell>
          <cell r="BD865">
            <v>-5.6666666666666643E-2</v>
          </cell>
          <cell r="BE865">
            <v>-4.7138047138047132E-2</v>
          </cell>
          <cell r="BF865">
            <v>0.24223199844360352</v>
          </cell>
          <cell r="BG865">
            <v>3.2147998809814456E-2</v>
          </cell>
        </row>
        <row r="866">
          <cell r="D866" t="str">
            <v>基础化工</v>
          </cell>
          <cell r="M866">
            <v>47.219090361800006</v>
          </cell>
          <cell r="N866">
            <v>31.517268314994073</v>
          </cell>
          <cell r="O866" t="str">
            <v>材料</v>
          </cell>
          <cell r="P866" t="str">
            <v>材料Ⅱ</v>
          </cell>
          <cell r="Q866" t="str">
            <v>化工</v>
          </cell>
          <cell r="BC866">
            <v>-2.6315789473684143E-2</v>
          </cell>
          <cell r="BD866">
            <v>2.3289665211062613E-2</v>
          </cell>
          <cell r="BE866">
            <v>-0.1475557867546817</v>
          </cell>
          <cell r="BF866">
            <v>0.1638599967956543</v>
          </cell>
          <cell r="BG866">
            <v>-7.0272002220153812E-2</v>
          </cell>
        </row>
        <row r="867">
          <cell r="D867" t="str">
            <v>百货商店</v>
          </cell>
          <cell r="M867">
            <v>28.563756978400001</v>
          </cell>
          <cell r="N867">
            <v>19.060538078898023</v>
          </cell>
          <cell r="O867" t="str">
            <v>可选消费</v>
          </cell>
          <cell r="P867" t="str">
            <v>零售业</v>
          </cell>
          <cell r="Q867" t="str">
            <v>多元化零售</v>
          </cell>
          <cell r="BC867">
            <v>1.0917030567685357E-3</v>
          </cell>
          <cell r="BD867">
            <v>-5.4229934924078854E-3</v>
          </cell>
          <cell r="BE867">
            <v>-0.14377444397941219</v>
          </cell>
          <cell r="BF867">
            <v>8.963999748229981E-2</v>
          </cell>
          <cell r="BG867">
            <v>-2.7959999442100526E-3</v>
          </cell>
        </row>
        <row r="868">
          <cell r="D868" t="str">
            <v>建材</v>
          </cell>
          <cell r="M868">
            <v>82.50240720730001</v>
          </cell>
          <cell r="N868">
            <v>55.053247484235612</v>
          </cell>
          <cell r="O868" t="str">
            <v>材料</v>
          </cell>
          <cell r="P868" t="str">
            <v>材料Ⅱ</v>
          </cell>
          <cell r="Q868" t="str">
            <v>建材Ⅲ</v>
          </cell>
          <cell r="BC868">
            <v>2.2111269614835984E-2</v>
          </cell>
          <cell r="BD868">
            <v>-2.7815468113975585E-2</v>
          </cell>
          <cell r="BE868">
            <v>-9.7607052896725485E-2</v>
          </cell>
          <cell r="BF868">
            <v>0.73894798278808593</v>
          </cell>
          <cell r="BG868">
            <v>0.40539600372314455</v>
          </cell>
        </row>
        <row r="869">
          <cell r="D869" t="str">
            <v>房地产开发</v>
          </cell>
          <cell r="M869">
            <v>105.38738308800001</v>
          </cell>
          <cell r="N869">
            <v>70.297315319260832</v>
          </cell>
          <cell r="O869" t="str">
            <v>金融</v>
          </cell>
          <cell r="P869" t="str">
            <v>房地产</v>
          </cell>
          <cell r="Q869" t="str">
            <v>房地产管理与开发</v>
          </cell>
          <cell r="BC869">
            <v>2.1276595744680903E-2</v>
          </cell>
          <cell r="BD869">
            <v>-2.1739130434782625E-2</v>
          </cell>
          <cell r="BE869">
            <v>0.16859648445901193</v>
          </cell>
          <cell r="BF869">
            <v>0.59599201202392582</v>
          </cell>
          <cell r="BG869">
            <v>0.18664800643920898</v>
          </cell>
        </row>
        <row r="870">
          <cell r="D870" t="str">
            <v>建筑机械与重型卡车</v>
          </cell>
          <cell r="M870">
            <v>97.313802701499981</v>
          </cell>
          <cell r="N870">
            <v>64.906991294232554</v>
          </cell>
          <cell r="O870" t="str">
            <v>工业</v>
          </cell>
          <cell r="P870" t="str">
            <v>资本货物</v>
          </cell>
          <cell r="Q870" t="str">
            <v>机械</v>
          </cell>
          <cell r="BC870">
            <v>0.11686697057604643</v>
          </cell>
          <cell r="BD870">
            <v>0.11548013245033109</v>
          </cell>
          <cell r="BE870">
            <v>0.29240279242195416</v>
          </cell>
          <cell r="BF870">
            <v>0.33442798614501951</v>
          </cell>
          <cell r="BG870">
            <v>0.17422800064086913</v>
          </cell>
        </row>
        <row r="871">
          <cell r="D871" t="str">
            <v>电子元件</v>
          </cell>
          <cell r="M871">
            <v>93.007199999999997</v>
          </cell>
          <cell r="N871">
            <v>61.998071169449453</v>
          </cell>
          <cell r="O871" t="str">
            <v>信息技术</v>
          </cell>
          <cell r="P871" t="str">
            <v>技术硬件与设备</v>
          </cell>
          <cell r="Q871" t="str">
            <v>电子设备、仪器和元件</v>
          </cell>
          <cell r="BC871">
            <v>3.5339063992359046E-2</v>
          </cell>
          <cell r="BD871">
            <v>1.3856812933025931E-3</v>
          </cell>
          <cell r="BE871">
            <v>0.13718601897395527</v>
          </cell>
          <cell r="BF871">
            <v>0.40212001800537112</v>
          </cell>
          <cell r="BG871">
            <v>0.23283599853515624</v>
          </cell>
        </row>
        <row r="872">
          <cell r="D872" t="str">
            <v>水务</v>
          </cell>
          <cell r="M872">
            <v>99.775957768799998</v>
          </cell>
          <cell r="N872">
            <v>66.48775117873376</v>
          </cell>
          <cell r="O872" t="str">
            <v>公用事业</v>
          </cell>
          <cell r="P872" t="str">
            <v>公用事业Ⅱ</v>
          </cell>
          <cell r="Q872" t="str">
            <v>水务Ⅲ</v>
          </cell>
          <cell r="BC872">
            <v>-2.2075055187637501E-3</v>
          </cell>
          <cell r="BD872">
            <v>-7.320644216691043E-3</v>
          </cell>
          <cell r="BE872">
            <v>0</v>
          </cell>
          <cell r="BF872">
            <v>0</v>
          </cell>
          <cell r="BG872">
            <v>0</v>
          </cell>
        </row>
        <row r="873">
          <cell r="D873" t="str">
            <v>金属非金属</v>
          </cell>
          <cell r="M873">
            <v>130.581644971</v>
          </cell>
          <cell r="N873">
            <v>86.99633783022071</v>
          </cell>
          <cell r="O873" t="str">
            <v>材料</v>
          </cell>
          <cell r="P873" t="str">
            <v>材料Ⅱ</v>
          </cell>
          <cell r="Q873" t="str">
            <v>金属、非金属与采矿</v>
          </cell>
          <cell r="BC873">
            <v>7.0402298850574738E-2</v>
          </cell>
          <cell r="BD873">
            <v>2.6917900403769131E-3</v>
          </cell>
          <cell r="BE873">
            <v>-0.31842200203520499</v>
          </cell>
          <cell r="BF873">
            <v>0.34454399108886719</v>
          </cell>
          <cell r="BG873">
            <v>0.11571599960327149</v>
          </cell>
        </row>
        <row r="874">
          <cell r="D874" t="str">
            <v>基础化工</v>
          </cell>
          <cell r="M874">
            <v>64.72</v>
          </cell>
          <cell r="N874">
            <v>43.107185787766049</v>
          </cell>
          <cell r="O874" t="str">
            <v>材料</v>
          </cell>
          <cell r="P874" t="str">
            <v>材料Ⅱ</v>
          </cell>
          <cell r="Q874" t="str">
            <v>化工</v>
          </cell>
          <cell r="BC874">
            <v>-1.2345679012345416E-3</v>
          </cell>
          <cell r="BD874">
            <v>-1.2210012210012167E-2</v>
          </cell>
          <cell r="BE874">
            <v>-0.44740437158469948</v>
          </cell>
          <cell r="BF874">
            <v>-0.23085599899291992</v>
          </cell>
          <cell r="BG874">
            <v>0</v>
          </cell>
        </row>
        <row r="875">
          <cell r="D875" t="str">
            <v>房地产开发</v>
          </cell>
          <cell r="M875">
            <v>96.335970386</v>
          </cell>
          <cell r="N875">
            <v>64.137868302167021</v>
          </cell>
          <cell r="O875" t="str">
            <v>金融</v>
          </cell>
          <cell r="P875" t="str">
            <v>房地产</v>
          </cell>
          <cell r="Q875" t="str">
            <v>房地产管理与开发</v>
          </cell>
          <cell r="BC875">
            <v>1.6764459346185728E-3</v>
          </cell>
          <cell r="BD875">
            <v>-4.400000000000006E-2</v>
          </cell>
          <cell r="BE875">
            <v>0.67753159488453119</v>
          </cell>
          <cell r="BF875">
            <v>0.60969600677490232</v>
          </cell>
          <cell r="BG875">
            <v>0.16086000442504883</v>
          </cell>
        </row>
        <row r="876">
          <cell r="D876" t="str">
            <v>大卖场与超市</v>
          </cell>
          <cell r="M876">
            <v>42.74486833560001</v>
          </cell>
          <cell r="N876">
            <v>28.456954963961014</v>
          </cell>
          <cell r="O876" t="str">
            <v>日常消费</v>
          </cell>
          <cell r="P876" t="str">
            <v>食品与主要用品零售Ⅱ</v>
          </cell>
          <cell r="Q876" t="str">
            <v>食品与主要用品零售Ⅲ</v>
          </cell>
          <cell r="BC876">
            <v>3.3816425120772944E-2</v>
          </cell>
          <cell r="BD876">
            <v>-6.2773722627737186E-2</v>
          </cell>
          <cell r="BE876">
            <v>-0.17696985796249179</v>
          </cell>
          <cell r="BF876">
            <v>0.2704319953918457</v>
          </cell>
          <cell r="BG876">
            <v>-4.1711997985839841E-2</v>
          </cell>
        </row>
        <row r="877">
          <cell r="D877" t="str">
            <v>建筑与工程</v>
          </cell>
          <cell r="M877">
            <v>815.99699999999984</v>
          </cell>
          <cell r="N877">
            <v>543.19322280092592</v>
          </cell>
          <cell r="O877" t="str">
            <v>工业</v>
          </cell>
          <cell r="P877" t="str">
            <v>资本货物</v>
          </cell>
          <cell r="Q877" t="str">
            <v>建筑与工程Ⅲ</v>
          </cell>
          <cell r="BC877">
            <v>-4.6620046620047696E-3</v>
          </cell>
          <cell r="BD877">
            <v>-4.8997772828507938E-2</v>
          </cell>
          <cell r="BE877">
            <v>-0.17105002649123066</v>
          </cell>
          <cell r="BF877">
            <v>0.83392799377441407</v>
          </cell>
          <cell r="BG877">
            <v>0.17093999862670897</v>
          </cell>
        </row>
        <row r="878">
          <cell r="D878" t="str">
            <v>电气部件与设备</v>
          </cell>
          <cell r="M878">
            <v>120.45152900000001</v>
          </cell>
          <cell r="N878">
            <v>80.134171228407396</v>
          </cell>
          <cell r="O878" t="str">
            <v>工业</v>
          </cell>
          <cell r="P878" t="str">
            <v>资本货物</v>
          </cell>
          <cell r="Q878" t="str">
            <v>电气设备</v>
          </cell>
          <cell r="BC878">
            <v>3.9014373716632411E-2</v>
          </cell>
          <cell r="BD878">
            <v>3.5611952517396683E-2</v>
          </cell>
          <cell r="BE878">
            <v>-7.3281976263766702E-2</v>
          </cell>
          <cell r="BF878">
            <v>0.65697601318359378</v>
          </cell>
          <cell r="BG878">
            <v>0.18975599288940428</v>
          </cell>
        </row>
        <row r="879">
          <cell r="D879" t="str">
            <v>西药</v>
          </cell>
          <cell r="M879">
            <v>56.005225082300001</v>
          </cell>
          <cell r="N879">
            <v>37.250469815138537</v>
          </cell>
          <cell r="O879" t="str">
            <v>医疗保健</v>
          </cell>
          <cell r="P879" t="str">
            <v>制药、生物科技与生命科学</v>
          </cell>
          <cell r="Q879" t="str">
            <v>制药</v>
          </cell>
          <cell r="BC879">
            <v>4.5263498221791328E-3</v>
          </cell>
          <cell r="BD879">
            <v>0.12940748818611408</v>
          </cell>
          <cell r="BE879">
            <v>-0.20158986838153267</v>
          </cell>
          <cell r="BF879">
            <v>4.8347997665405276E-2</v>
          </cell>
          <cell r="BG879">
            <v>0.1548840045928955</v>
          </cell>
        </row>
        <row r="880">
          <cell r="D880" t="str">
            <v>电子设备和仪器</v>
          </cell>
          <cell r="M880">
            <v>68.167541639999996</v>
          </cell>
          <cell r="N880">
            <v>45.315427152706661</v>
          </cell>
          <cell r="O880" t="str">
            <v>信息技术</v>
          </cell>
          <cell r="P880" t="str">
            <v>技术硬件与设备</v>
          </cell>
          <cell r="Q880" t="str">
            <v>电子设备、仪器和元件</v>
          </cell>
          <cell r="BC880">
            <v>9.9047619047618968E-2</v>
          </cell>
          <cell r="BD880">
            <v>3.9639639639639596E-2</v>
          </cell>
          <cell r="BE880">
            <v>-0.14313110059171616</v>
          </cell>
          <cell r="BF880">
            <v>0</v>
          </cell>
          <cell r="BG880">
            <v>0</v>
          </cell>
        </row>
        <row r="881">
          <cell r="D881" t="str">
            <v>建筑产品</v>
          </cell>
          <cell r="M881">
            <v>76.277482599999999</v>
          </cell>
          <cell r="N881">
            <v>50.696663571552087</v>
          </cell>
          <cell r="O881" t="str">
            <v>工业</v>
          </cell>
          <cell r="P881" t="str">
            <v>资本货物</v>
          </cell>
          <cell r="Q881" t="str">
            <v>建筑产品Ⅲ</v>
          </cell>
          <cell r="BC881">
            <v>1.2024048096192307E-2</v>
          </cell>
          <cell r="BD881">
            <v>0</v>
          </cell>
          <cell r="BE881">
            <v>-0.30581915604362298</v>
          </cell>
          <cell r="BF881">
            <v>0.29800800323486326</v>
          </cell>
          <cell r="BG881">
            <v>3.9539999961853027E-2</v>
          </cell>
        </row>
        <row r="882">
          <cell r="D882" t="str">
            <v>中药</v>
          </cell>
          <cell r="M882">
            <v>90.037543138399997</v>
          </cell>
          <cell r="N882">
            <v>59.805812663128712</v>
          </cell>
          <cell r="O882" t="str">
            <v>医疗保健</v>
          </cell>
          <cell r="P882" t="str">
            <v>制药、生物科技与生命科学</v>
          </cell>
          <cell r="Q882" t="str">
            <v>制药</v>
          </cell>
          <cell r="BC882">
            <v>1.060070671378085E-2</v>
          </cell>
          <cell r="BD882">
            <v>-7.6674737691686923E-2</v>
          </cell>
          <cell r="BE882">
            <v>-5.6961987089452208E-2</v>
          </cell>
          <cell r="BF882">
            <v>0.2642399978637695</v>
          </cell>
          <cell r="BG882">
            <v>0.10186800003051757</v>
          </cell>
        </row>
        <row r="883">
          <cell r="D883" t="str">
            <v>钢铁</v>
          </cell>
          <cell r="M883">
            <v>53.84</v>
          </cell>
          <cell r="N883">
            <v>35.755170533025925</v>
          </cell>
          <cell r="O883" t="str">
            <v>材料</v>
          </cell>
          <cell r="P883" t="str">
            <v>材料Ⅱ</v>
          </cell>
          <cell r="Q883" t="str">
            <v>金属、非金属与采矿</v>
          </cell>
          <cell r="BC883">
            <v>1.8925056775170323E-2</v>
          </cell>
          <cell r="BD883">
            <v>-1.31964809384164E-2</v>
          </cell>
          <cell r="BE883">
            <v>4.978101400778237E-2</v>
          </cell>
          <cell r="BF883">
            <v>0</v>
          </cell>
          <cell r="BG883">
            <v>0</v>
          </cell>
        </row>
        <row r="884">
          <cell r="D884" t="str">
            <v>工业机械</v>
          </cell>
          <cell r="M884">
            <v>70.347538799999995</v>
          </cell>
          <cell r="N884">
            <v>46.714002874369996</v>
          </cell>
          <cell r="O884" t="str">
            <v>工业</v>
          </cell>
          <cell r="P884" t="str">
            <v>资本货物</v>
          </cell>
          <cell r="Q884" t="str">
            <v>机械</v>
          </cell>
          <cell r="BC884">
            <v>2.21238938053097E-2</v>
          </cell>
          <cell r="BD884">
            <v>-1.933962264150944E-2</v>
          </cell>
          <cell r="BE884">
            <v>0.21373486235991701</v>
          </cell>
          <cell r="BF884">
            <v>0.52436401367187502</v>
          </cell>
          <cell r="BG884">
            <v>0.12154800415039063</v>
          </cell>
        </row>
        <row r="885">
          <cell r="D885" t="str">
            <v>应用软件</v>
          </cell>
          <cell r="M885">
            <v>59.336238399999999</v>
          </cell>
          <cell r="N885">
            <v>39.359684121331945</v>
          </cell>
          <cell r="O885" t="str">
            <v>信息技术</v>
          </cell>
          <cell r="P885" t="str">
            <v>软件与服务</v>
          </cell>
          <cell r="Q885" t="str">
            <v>软件</v>
          </cell>
          <cell r="BC885">
            <v>0.18331580792148605</v>
          </cell>
          <cell r="BD885">
            <v>0.14440677966101689</v>
          </cell>
          <cell r="BE885">
            <v>0.27971100372273955</v>
          </cell>
          <cell r="BF885">
            <v>0.45529201507568362</v>
          </cell>
          <cell r="BG885">
            <v>0</v>
          </cell>
        </row>
        <row r="886">
          <cell r="D886" t="str">
            <v>基础化工</v>
          </cell>
          <cell r="M886">
            <v>64.326779999999999</v>
          </cell>
          <cell r="N886">
            <v>42.65657378888541</v>
          </cell>
          <cell r="O886" t="str">
            <v>材料</v>
          </cell>
          <cell r="P886" t="str">
            <v>材料Ⅱ</v>
          </cell>
          <cell r="Q886" t="str">
            <v>化工</v>
          </cell>
          <cell r="BC886">
            <v>2.1284682630178544E-2</v>
          </cell>
          <cell r="BD886">
            <v>-0.16379668049792537</v>
          </cell>
          <cell r="BE886">
            <v>1.9184546283856987</v>
          </cell>
          <cell r="BF886">
            <v>0</v>
          </cell>
          <cell r="BG886">
            <v>0</v>
          </cell>
        </row>
        <row r="887">
          <cell r="D887" t="str">
            <v>石油与天然气的炼制和销售</v>
          </cell>
          <cell r="M887">
            <v>697.68</v>
          </cell>
          <cell r="N887">
            <v>462.53954518518515</v>
          </cell>
          <cell r="O887" t="str">
            <v>能源</v>
          </cell>
          <cell r="P887" t="str">
            <v>能源Ⅱ</v>
          </cell>
          <cell r="Q887" t="str">
            <v>石油、天然气与供消费用燃料</v>
          </cell>
          <cell r="BC887">
            <v>-1.2232415902140683E-2</v>
          </cell>
          <cell r="BD887">
            <v>8.7542087542087463E-2</v>
          </cell>
          <cell r="BE887">
            <v>0.16396396396396398</v>
          </cell>
          <cell r="BF887">
            <v>0.44841598510742187</v>
          </cell>
          <cell r="BG887">
            <v>0.21375600814819337</v>
          </cell>
        </row>
        <row r="888">
          <cell r="D888" t="str">
            <v>机动车零配件与设备</v>
          </cell>
          <cell r="M888">
            <v>119.44496924279998</v>
          </cell>
          <cell r="N888">
            <v>79.135089044623044</v>
          </cell>
          <cell r="O888" t="str">
            <v>可选消费</v>
          </cell>
          <cell r="P888" t="str">
            <v>汽车与汽车零部件</v>
          </cell>
          <cell r="Q888" t="str">
            <v>汽车零配件</v>
          </cell>
          <cell r="BC888">
            <v>-4.7047679191664096E-2</v>
          </cell>
          <cell r="BD888">
            <v>-8.0158488265772709E-2</v>
          </cell>
          <cell r="BE888">
            <v>0.7904322683906243</v>
          </cell>
          <cell r="BF888">
            <v>0.90365997314453128</v>
          </cell>
          <cell r="BG888">
            <v>0.33385200500488282</v>
          </cell>
        </row>
        <row r="889">
          <cell r="D889" t="str">
            <v>医疗保健设备</v>
          </cell>
          <cell r="M889">
            <v>71.233109999999996</v>
          </cell>
          <cell r="N889">
            <v>47.185281179377775</v>
          </cell>
          <cell r="O889" t="str">
            <v>医疗保健</v>
          </cell>
          <cell r="P889" t="str">
            <v>医疗保健设备与服务</v>
          </cell>
          <cell r="Q889" t="str">
            <v>医疗保健设备与用品</v>
          </cell>
          <cell r="BC889">
            <v>3.2154340836012894E-2</v>
          </cell>
          <cell r="BD889">
            <v>-3.3132530120481889E-2</v>
          </cell>
          <cell r="BE889">
            <v>-5.0724067505020481E-2</v>
          </cell>
          <cell r="BF889">
            <v>0.27334800720214841</v>
          </cell>
          <cell r="BG889">
            <v>0</v>
          </cell>
        </row>
        <row r="890">
          <cell r="D890" t="str">
            <v>消费电子产品</v>
          </cell>
          <cell r="M890">
            <v>138.07410482579999</v>
          </cell>
          <cell r="N890">
            <v>91.439269584549592</v>
          </cell>
          <cell r="O890" t="str">
            <v>可选消费</v>
          </cell>
          <cell r="P890" t="str">
            <v>耐用消费品与服装</v>
          </cell>
          <cell r="Q890" t="str">
            <v>家庭耐用消费品</v>
          </cell>
          <cell r="BC890">
            <v>3.4924330616995765E-3</v>
          </cell>
          <cell r="BD890">
            <v>-6.9124423963134217E-3</v>
          </cell>
          <cell r="BE890">
            <v>-0.24025383099110534</v>
          </cell>
          <cell r="BF890">
            <v>7.0272002220153812E-2</v>
          </cell>
          <cell r="BG890">
            <v>0.15085200309753419</v>
          </cell>
        </row>
        <row r="891">
          <cell r="D891" t="str">
            <v>医疗保健设备</v>
          </cell>
          <cell r="M891">
            <v>179.055667648</v>
          </cell>
          <cell r="N891">
            <v>118.50691301047502</v>
          </cell>
          <cell r="O891" t="str">
            <v>医疗保健</v>
          </cell>
          <cell r="P891" t="str">
            <v>医疗保健设备与服务</v>
          </cell>
          <cell r="Q891" t="str">
            <v>医疗保健设备与用品</v>
          </cell>
          <cell r="BC891">
            <v>1.3907284768211977E-2</v>
          </cell>
          <cell r="BD891">
            <v>-4.2276422764227321E-3</v>
          </cell>
          <cell r="BE891">
            <v>-1.1985255627664495E-2</v>
          </cell>
          <cell r="BF891">
            <v>0.16816799163818361</v>
          </cell>
          <cell r="BG891">
            <v>0.19270799636840821</v>
          </cell>
        </row>
        <row r="892">
          <cell r="D892" t="str">
            <v>公路与铁路</v>
          </cell>
          <cell r="M892">
            <v>70.933177475600004</v>
          </cell>
          <cell r="N892">
            <v>46.937900052984418</v>
          </cell>
          <cell r="O892" t="str">
            <v>工业</v>
          </cell>
          <cell r="P892" t="str">
            <v>运输</v>
          </cell>
          <cell r="Q892" t="str">
            <v>交通基础设施</v>
          </cell>
          <cell r="BC892">
            <v>1.1544011544011554E-2</v>
          </cell>
          <cell r="BD892">
            <v>1.5942028985507162E-2</v>
          </cell>
          <cell r="BE892">
            <v>-0.1320737923344793</v>
          </cell>
          <cell r="BF892">
            <v>0.19939199447631836</v>
          </cell>
          <cell r="BG892">
            <v>2.0687999725341796E-2</v>
          </cell>
        </row>
        <row r="893">
          <cell r="D893" t="str">
            <v>百货商店</v>
          </cell>
          <cell r="M893">
            <v>49.059899179199995</v>
          </cell>
          <cell r="N893">
            <v>32.45752650577986</v>
          </cell>
          <cell r="O893" t="str">
            <v>可选消费</v>
          </cell>
          <cell r="P893" t="str">
            <v>零售业</v>
          </cell>
          <cell r="Q893" t="str">
            <v>多元化零售</v>
          </cell>
          <cell r="BC893">
            <v>1.960784313725487E-2</v>
          </cell>
          <cell r="BD893">
            <v>6.9714285714285645E-2</v>
          </cell>
          <cell r="BE893">
            <v>-0.21005611330291862</v>
          </cell>
          <cell r="BF893">
            <v>4.0464000701904299E-2</v>
          </cell>
          <cell r="BG893">
            <v>0</v>
          </cell>
        </row>
        <row r="894">
          <cell r="D894" t="str">
            <v>机动车零配件与设备</v>
          </cell>
          <cell r="M894">
            <v>65.909842999999995</v>
          </cell>
          <cell r="N894">
            <v>43.604080428276212</v>
          </cell>
          <cell r="O894" t="str">
            <v>可选消费</v>
          </cell>
          <cell r="P894" t="str">
            <v>汽车与汽车零部件</v>
          </cell>
          <cell r="Q894" t="str">
            <v>汽车零配件</v>
          </cell>
          <cell r="BC894">
            <v>1.6960208741030644E-2</v>
          </cell>
          <cell r="BD894">
            <v>0.16779026217228465</v>
          </cell>
          <cell r="BE894">
            <v>-0.17823541812784904</v>
          </cell>
          <cell r="BF894">
            <v>0.33194400787353517</v>
          </cell>
          <cell r="BG894">
            <v>8.2955999374389647E-2</v>
          </cell>
        </row>
        <row r="895">
          <cell r="D895" t="str">
            <v>钢铁</v>
          </cell>
          <cell r="M895">
            <v>82.84</v>
          </cell>
          <cell r="N895">
            <v>54.794320764065567</v>
          </cell>
          <cell r="O895" t="str">
            <v>材料</v>
          </cell>
          <cell r="P895" t="str">
            <v>材料Ⅱ</v>
          </cell>
          <cell r="Q895" t="str">
            <v>金属、非金属与采矿</v>
          </cell>
          <cell r="BC895">
            <v>4.6223793887345245E-2</v>
          </cell>
          <cell r="BD895">
            <v>2.7791563275434358E-2</v>
          </cell>
          <cell r="BE895">
            <v>0</v>
          </cell>
          <cell r="BF895">
            <v>0</v>
          </cell>
          <cell r="BG895">
            <v>0</v>
          </cell>
        </row>
        <row r="896">
          <cell r="D896" t="str">
            <v>摩托车制造</v>
          </cell>
          <cell r="M896">
            <v>38.9133888</v>
          </cell>
          <cell r="N896">
            <v>25.728348389791666</v>
          </cell>
          <cell r="O896" t="str">
            <v>可选消费</v>
          </cell>
          <cell r="P896" t="str">
            <v>汽车与汽车零部件</v>
          </cell>
          <cell r="Q896" t="str">
            <v>汽车</v>
          </cell>
          <cell r="BC896">
            <v>0</v>
          </cell>
          <cell r="BD896">
            <v>0</v>
          </cell>
          <cell r="BE896">
            <v>1.9002375296912132E-2</v>
          </cell>
          <cell r="BF896">
            <v>0.44323200225830078</v>
          </cell>
          <cell r="BG896">
            <v>0.15552000045776368</v>
          </cell>
        </row>
        <row r="897">
          <cell r="D897" t="str">
            <v>电子元件</v>
          </cell>
          <cell r="M897">
            <v>131.68</v>
          </cell>
          <cell r="N897">
            <v>87.056656397072118</v>
          </cell>
          <cell r="O897" t="str">
            <v>信息技术</v>
          </cell>
          <cell r="P897" t="str">
            <v>技术硬件与设备</v>
          </cell>
          <cell r="Q897" t="str">
            <v>电子设备、仪器和元件</v>
          </cell>
          <cell r="BC897">
            <v>2.4307243558575621E-4</v>
          </cell>
          <cell r="BD897">
            <v>-6.3708759954493835E-2</v>
          </cell>
          <cell r="BE897">
            <v>0</v>
          </cell>
          <cell r="BF897">
            <v>0</v>
          </cell>
          <cell r="BG897">
            <v>0</v>
          </cell>
        </row>
        <row r="898">
          <cell r="D898" t="str">
            <v>投资银行业与经纪业</v>
          </cell>
          <cell r="M898">
            <v>708.9077137247001</v>
          </cell>
          <cell r="N898">
            <v>468.65924210793941</v>
          </cell>
          <cell r="O898" t="str">
            <v>金融</v>
          </cell>
          <cell r="P898" t="str">
            <v>多元金融</v>
          </cell>
          <cell r="Q898" t="str">
            <v>资本市场</v>
          </cell>
          <cell r="BC898">
            <v>9.2824601366742754E-2</v>
          </cell>
          <cell r="BD898">
            <v>2.0202020202020339E-2</v>
          </cell>
          <cell r="BE898">
            <v>-0.27310606060606052</v>
          </cell>
          <cell r="BF898">
            <v>0.97582801818847653</v>
          </cell>
          <cell r="BG898">
            <v>0.3117959976196289</v>
          </cell>
        </row>
        <row r="899">
          <cell r="D899" t="str">
            <v>化肥与农用化工</v>
          </cell>
          <cell r="M899">
            <v>75.503063999999995</v>
          </cell>
          <cell r="N899">
            <v>49.910793681494447</v>
          </cell>
          <cell r="O899" t="str">
            <v>材料</v>
          </cell>
          <cell r="P899" t="str">
            <v>材料Ⅱ</v>
          </cell>
          <cell r="Q899" t="str">
            <v>化工</v>
          </cell>
          <cell r="BC899">
            <v>0.11108033240997224</v>
          </cell>
          <cell r="BD899">
            <v>6.7323044172432178E-2</v>
          </cell>
          <cell r="BE899">
            <v>0</v>
          </cell>
          <cell r="BF899">
            <v>0</v>
          </cell>
          <cell r="BG899">
            <v>0</v>
          </cell>
        </row>
        <row r="900">
          <cell r="D900" t="str">
            <v>信息科技咨询与其它服务</v>
          </cell>
          <cell r="M900">
            <v>56.702531969999988</v>
          </cell>
          <cell r="N900">
            <v>37.482260983509988</v>
          </cell>
          <cell r="O900" t="str">
            <v>信息技术</v>
          </cell>
          <cell r="P900" t="str">
            <v>软件与服务</v>
          </cell>
          <cell r="Q900" t="str">
            <v>信息技术服务</v>
          </cell>
          <cell r="BC900">
            <v>-1.8054746651135833E-2</v>
          </cell>
          <cell r="BD900">
            <v>-9.6946973754686777E-2</v>
          </cell>
          <cell r="BE900">
            <v>-0.11155831998067461</v>
          </cell>
          <cell r="BF900">
            <v>0.65559600830078124</v>
          </cell>
          <cell r="BG900">
            <v>0</v>
          </cell>
        </row>
        <row r="901">
          <cell r="D901" t="str">
            <v>电影与娱乐</v>
          </cell>
          <cell r="M901">
            <v>114.19925956140001</v>
          </cell>
          <cell r="N901">
            <v>75.486108817323625</v>
          </cell>
          <cell r="O901" t="str">
            <v>可选消费</v>
          </cell>
          <cell r="P901" t="str">
            <v>媒体Ⅱ</v>
          </cell>
          <cell r="Q901" t="str">
            <v>媒体Ⅲ</v>
          </cell>
          <cell r="BC901">
            <v>7.6739130434782629E-2</v>
          </cell>
          <cell r="BD901">
            <v>4.0327662255828643E-2</v>
          </cell>
          <cell r="BE901">
            <v>0.39767195767195768</v>
          </cell>
          <cell r="BF901">
            <v>1.1443800354003906</v>
          </cell>
          <cell r="BG901">
            <v>0.47096401214599609</v>
          </cell>
        </row>
        <row r="902">
          <cell r="D902" t="str">
            <v>贸易公司与工业品经销商</v>
          </cell>
          <cell r="M902">
            <v>490.77321174299993</v>
          </cell>
          <cell r="N902">
            <v>324.394097447165</v>
          </cell>
          <cell r="O902" t="str">
            <v>工业</v>
          </cell>
          <cell r="P902" t="str">
            <v>资本货物</v>
          </cell>
          <cell r="Q902" t="str">
            <v>贸易公司与工业品经销商Ⅲ</v>
          </cell>
          <cell r="BC902">
            <v>0</v>
          </cell>
          <cell r="BD902">
            <v>0</v>
          </cell>
          <cell r="BE902">
            <v>0.29129791028924112</v>
          </cell>
          <cell r="BF902">
            <v>0.58728000640869138</v>
          </cell>
          <cell r="BG902">
            <v>0.25479600906372069</v>
          </cell>
        </row>
        <row r="903">
          <cell r="D903" t="str">
            <v>机动车零配件与设备</v>
          </cell>
          <cell r="M903">
            <v>78.217606564999997</v>
          </cell>
          <cell r="N903">
            <v>51.691078894253081</v>
          </cell>
          <cell r="O903" t="str">
            <v>可选消费</v>
          </cell>
          <cell r="P903" t="str">
            <v>汽车与汽车零部件</v>
          </cell>
          <cell r="Q903" t="str">
            <v>汽车零配件</v>
          </cell>
          <cell r="BC903">
            <v>0.35025380710659909</v>
          </cell>
          <cell r="BD903">
            <v>0.42703862660944208</v>
          </cell>
          <cell r="BE903">
            <v>0.14526143492354227</v>
          </cell>
          <cell r="BF903">
            <v>0.50961601257324218</v>
          </cell>
          <cell r="BG903">
            <v>0.15116399765014649</v>
          </cell>
        </row>
        <row r="904">
          <cell r="D904" t="str">
            <v>纺织品</v>
          </cell>
          <cell r="M904">
            <v>51.208804999999998</v>
          </cell>
          <cell r="N904">
            <v>33.836428328562505</v>
          </cell>
          <cell r="O904" t="str">
            <v>可选消费</v>
          </cell>
          <cell r="P904" t="str">
            <v>耐用消费品与服装</v>
          </cell>
          <cell r="Q904" t="str">
            <v>纺织品、服装与奢侈品</v>
          </cell>
          <cell r="BC904">
            <v>0</v>
          </cell>
          <cell r="BD904">
            <v>0</v>
          </cell>
          <cell r="BE904">
            <v>0.59617139344262293</v>
          </cell>
          <cell r="BF904">
            <v>0</v>
          </cell>
          <cell r="BG904">
            <v>0</v>
          </cell>
        </row>
        <row r="905">
          <cell r="D905" t="str">
            <v>石油与天然气的储存和运输</v>
          </cell>
          <cell r="M905">
            <v>67.123631232000008</v>
          </cell>
          <cell r="N905">
            <v>44.321330624692294</v>
          </cell>
          <cell r="O905" t="str">
            <v>能源</v>
          </cell>
          <cell r="P905" t="str">
            <v>能源Ⅱ</v>
          </cell>
          <cell r="Q905" t="str">
            <v>石油、天然气与供消费用燃料</v>
          </cell>
          <cell r="BC905">
            <v>6.3331222292591152E-3</v>
          </cell>
          <cell r="BD905">
            <v>0.13662374821173104</v>
          </cell>
          <cell r="BE905">
            <v>8.6519076054275418E-2</v>
          </cell>
          <cell r="BF905">
            <v>0.29803199768066407</v>
          </cell>
          <cell r="BG905">
            <v>0</v>
          </cell>
        </row>
        <row r="906">
          <cell r="D906" t="str">
            <v>铝</v>
          </cell>
          <cell r="M906">
            <v>191.09142593140001</v>
          </cell>
          <cell r="N906">
            <v>126.13883350850791</v>
          </cell>
          <cell r="O906" t="str">
            <v>材料</v>
          </cell>
          <cell r="P906" t="str">
            <v>材料Ⅱ</v>
          </cell>
          <cell r="Q906" t="str">
            <v>金属、非金属与采矿</v>
          </cell>
          <cell r="BC906">
            <v>-3.7142857142857109E-2</v>
          </cell>
          <cell r="BD906">
            <v>-3.1609195402298812E-2</v>
          </cell>
          <cell r="BE906">
            <v>-0.36173872157007847</v>
          </cell>
          <cell r="BF906">
            <v>0.24739200592041016</v>
          </cell>
          <cell r="BG906">
            <v>-2.3747999668121338E-2</v>
          </cell>
        </row>
        <row r="907">
          <cell r="D907" t="str">
            <v>汽车制造</v>
          </cell>
          <cell r="M907">
            <v>222.96749999999997</v>
          </cell>
          <cell r="N907">
            <v>147.16219061018518</v>
          </cell>
          <cell r="O907" t="str">
            <v>可选消费</v>
          </cell>
          <cell r="P907" t="str">
            <v>汽车与汽车零部件</v>
          </cell>
          <cell r="Q907" t="str">
            <v>汽车</v>
          </cell>
          <cell r="BC907">
            <v>3.396226415094334E-2</v>
          </cell>
          <cell r="BD907">
            <v>-2.9112081513828912E-3</v>
          </cell>
          <cell r="BE907">
            <v>-0.25132866212884031</v>
          </cell>
          <cell r="BF907">
            <v>0.20634000778198242</v>
          </cell>
          <cell r="BG907">
            <v>4.7304000854492184E-2</v>
          </cell>
        </row>
        <row r="908">
          <cell r="D908" t="str">
            <v>燃气</v>
          </cell>
          <cell r="M908">
            <v>172.96688910240002</v>
          </cell>
          <cell r="N908">
            <v>114.10632982747235</v>
          </cell>
          <cell r="O908" t="str">
            <v>公用事业</v>
          </cell>
          <cell r="P908" t="str">
            <v>公用事业Ⅱ</v>
          </cell>
          <cell r="Q908" t="str">
            <v>燃气Ⅲ</v>
          </cell>
          <cell r="BC908">
            <v>5.0632911392405108E-3</v>
          </cell>
          <cell r="BD908">
            <v>-1.2437810945273478E-2</v>
          </cell>
          <cell r="BE908">
            <v>-0.2572419431119603</v>
          </cell>
          <cell r="BF908">
            <v>5.4924001693725584E-2</v>
          </cell>
          <cell r="BG908">
            <v>2.6256000995635985E-2</v>
          </cell>
        </row>
        <row r="909">
          <cell r="D909" t="str">
            <v>工业机械</v>
          </cell>
          <cell r="M909">
            <v>57.613068344399991</v>
          </cell>
          <cell r="N909">
            <v>37.999490554662749</v>
          </cell>
          <cell r="O909" t="str">
            <v>工业</v>
          </cell>
          <cell r="P909" t="str">
            <v>资本货物</v>
          </cell>
          <cell r="Q909" t="str">
            <v>机械</v>
          </cell>
          <cell r="BC909">
            <v>1.6766467065868332E-2</v>
          </cell>
          <cell r="BD909">
            <v>-5.7713651498335135E-2</v>
          </cell>
          <cell r="BE909">
            <v>-0.31385110361927909</v>
          </cell>
          <cell r="BF909">
            <v>6.3168001174926755E-2</v>
          </cell>
          <cell r="BG909">
            <v>0</v>
          </cell>
        </row>
        <row r="910">
          <cell r="D910" t="str">
            <v>建筑与工程</v>
          </cell>
          <cell r="M910">
            <v>48.071939999999998</v>
          </cell>
          <cell r="N910">
            <v>31.698194053395948</v>
          </cell>
          <cell r="O910" t="str">
            <v>工业</v>
          </cell>
          <cell r="P910" t="str">
            <v>资本货物</v>
          </cell>
          <cell r="Q910" t="str">
            <v>建筑与工程Ⅲ</v>
          </cell>
          <cell r="BC910">
            <v>-1.6966067864271451E-2</v>
          </cell>
          <cell r="BD910">
            <v>-1.8924302788844573E-2</v>
          </cell>
          <cell r="BE910">
            <v>-0.10851819379700188</v>
          </cell>
          <cell r="BF910">
            <v>0.26822399139404296</v>
          </cell>
          <cell r="BG910">
            <v>0</v>
          </cell>
        </row>
        <row r="911">
          <cell r="D911" t="str">
            <v>房地产开发</v>
          </cell>
          <cell r="M911">
            <v>83.787815316000007</v>
          </cell>
          <cell r="N911">
            <v>55.211049404847884</v>
          </cell>
          <cell r="O911" t="str">
            <v>金融</v>
          </cell>
          <cell r="P911" t="str">
            <v>房地产</v>
          </cell>
          <cell r="Q911" t="str">
            <v>房地产管理与开发</v>
          </cell>
          <cell r="BC911">
            <v>3.0588235294117621E-2</v>
          </cell>
          <cell r="BD911">
            <v>1.8604651162790715E-2</v>
          </cell>
          <cell r="BE911">
            <v>0.17216518700787031</v>
          </cell>
          <cell r="BF911">
            <v>0.32131198883056639</v>
          </cell>
          <cell r="BG911">
            <v>0.29463600158691405</v>
          </cell>
        </row>
        <row r="912">
          <cell r="D912" t="str">
            <v>房地产开发</v>
          </cell>
          <cell r="M912">
            <v>90.718338596099997</v>
          </cell>
          <cell r="N912">
            <v>59.767090076661745</v>
          </cell>
          <cell r="O912" t="str">
            <v>金融</v>
          </cell>
          <cell r="P912" t="str">
            <v>房地产</v>
          </cell>
          <cell r="Q912" t="str">
            <v>房地产管理与开发</v>
          </cell>
          <cell r="BC912">
            <v>-2.4229074889867849E-2</v>
          </cell>
          <cell r="BD912">
            <v>-0.18013571869216544</v>
          </cell>
          <cell r="BE912">
            <v>0.32350050170043498</v>
          </cell>
          <cell r="BF912">
            <v>0.5125320053100586</v>
          </cell>
          <cell r="BG912">
            <v>0.11896800041198731</v>
          </cell>
        </row>
        <row r="913">
          <cell r="D913" t="str">
            <v>建材</v>
          </cell>
          <cell r="M913">
            <v>48.974399999999996</v>
          </cell>
          <cell r="N913">
            <v>32.258580336586576</v>
          </cell>
          <cell r="O913" t="str">
            <v>材料</v>
          </cell>
          <cell r="P913" t="str">
            <v>材料Ⅱ</v>
          </cell>
          <cell r="Q913" t="str">
            <v>建材Ⅲ</v>
          </cell>
          <cell r="BC913">
            <v>0</v>
          </cell>
          <cell r="BD913">
            <v>0</v>
          </cell>
          <cell r="BE913">
            <v>0.14505126689038023</v>
          </cell>
          <cell r="BF913">
            <v>0</v>
          </cell>
          <cell r="BG913">
            <v>0</v>
          </cell>
        </row>
        <row r="914">
          <cell r="D914" t="str">
            <v>化肥与农用化工</v>
          </cell>
          <cell r="M914">
            <v>78.559532710400006</v>
          </cell>
          <cell r="N914">
            <v>51.715007982955363</v>
          </cell>
          <cell r="O914" t="str">
            <v>材料</v>
          </cell>
          <cell r="P914" t="str">
            <v>材料Ⅱ</v>
          </cell>
          <cell r="Q914" t="str">
            <v>化工</v>
          </cell>
          <cell r="BC914">
            <v>1.8181818181818195E-2</v>
          </cell>
          <cell r="BD914">
            <v>-3.9657020364415776E-2</v>
          </cell>
          <cell r="BE914">
            <v>-0.373864430468204</v>
          </cell>
          <cell r="BF914">
            <v>0.38065200805664062</v>
          </cell>
          <cell r="BG914">
            <v>0.16684799194335936</v>
          </cell>
        </row>
        <row r="915">
          <cell r="D915" t="str">
            <v>电气部件与设备</v>
          </cell>
          <cell r="M915">
            <v>71.232448000000005</v>
          </cell>
          <cell r="N915">
            <v>46.89051905017778</v>
          </cell>
          <cell r="O915" t="str">
            <v>工业</v>
          </cell>
          <cell r="P915" t="str">
            <v>资本货物</v>
          </cell>
          <cell r="Q915" t="str">
            <v>电气设备</v>
          </cell>
          <cell r="BC915">
            <v>9.0487238979118464E-2</v>
          </cell>
          <cell r="BD915">
            <v>6.7575241340147724E-2</v>
          </cell>
          <cell r="BE915">
            <v>-0.16753504710052072</v>
          </cell>
          <cell r="BF915">
            <v>0.44122798919677736</v>
          </cell>
          <cell r="BG915">
            <v>0.26045999526977537</v>
          </cell>
        </row>
        <row r="916">
          <cell r="D916" t="str">
            <v>海运</v>
          </cell>
          <cell r="M916">
            <v>60.304780458000003</v>
          </cell>
          <cell r="N916">
            <v>39.693376322888888</v>
          </cell>
          <cell r="O916" t="str">
            <v>工业</v>
          </cell>
          <cell r="P916" t="str">
            <v>运输</v>
          </cell>
          <cell r="Q916" t="str">
            <v>海运Ⅲ</v>
          </cell>
          <cell r="BC916">
            <v>1.3864818024263445E-2</v>
          </cell>
          <cell r="BD916">
            <v>-0.15094339622641512</v>
          </cell>
          <cell r="BE916">
            <v>-0.19462469134655555</v>
          </cell>
          <cell r="BF916">
            <v>0.54808799743652348</v>
          </cell>
          <cell r="BG916">
            <v>0.19107599258422853</v>
          </cell>
        </row>
        <row r="917">
          <cell r="D917" t="str">
            <v>医疗保健设备</v>
          </cell>
          <cell r="M917">
            <v>55.359350000000006</v>
          </cell>
          <cell r="N917">
            <v>36.434096641882405</v>
          </cell>
          <cell r="O917" t="str">
            <v>医疗保健</v>
          </cell>
          <cell r="P917" t="str">
            <v>医疗保健设备与服务</v>
          </cell>
          <cell r="Q917" t="str">
            <v>医疗保健设备与用品</v>
          </cell>
          <cell r="BC917">
            <v>3.335186214563773E-3</v>
          </cell>
          <cell r="BD917">
            <v>-3.8102851052491331E-2</v>
          </cell>
          <cell r="BE917">
            <v>-0.26311498780289466</v>
          </cell>
          <cell r="BF917">
            <v>0</v>
          </cell>
          <cell r="BG917">
            <v>0</v>
          </cell>
        </row>
        <row r="918">
          <cell r="D918" t="str">
            <v>中药</v>
          </cell>
          <cell r="M918">
            <v>71.68426207329999</v>
          </cell>
          <cell r="N918">
            <v>47.170675134819561</v>
          </cell>
          <cell r="O918" t="str">
            <v>医疗保健</v>
          </cell>
          <cell r="P918" t="str">
            <v>制药、生物科技与生命科学</v>
          </cell>
          <cell r="Q918" t="str">
            <v>制药</v>
          </cell>
          <cell r="BC918">
            <v>6.0168471720806313E-4</v>
          </cell>
          <cell r="BD918">
            <v>-1.8299881936245706E-2</v>
          </cell>
          <cell r="BE918">
            <v>-0.23466561681841355</v>
          </cell>
          <cell r="BF918">
            <v>0.19995599746704101</v>
          </cell>
          <cell r="BG918">
            <v>9.0827999114990232E-2</v>
          </cell>
        </row>
        <row r="919">
          <cell r="D919" t="str">
            <v>建材</v>
          </cell>
          <cell r="M919">
            <v>70.318294386000005</v>
          </cell>
          <cell r="N919">
            <v>46.250871042338893</v>
          </cell>
          <cell r="O919" t="str">
            <v>材料</v>
          </cell>
          <cell r="P919" t="str">
            <v>材料Ⅱ</v>
          </cell>
          <cell r="Q919" t="str">
            <v>建材Ⅲ</v>
          </cell>
          <cell r="BC919">
            <v>-2.4856596558317547E-2</v>
          </cell>
          <cell r="BD919">
            <v>0</v>
          </cell>
          <cell r="BE919">
            <v>-0.29591690202832838</v>
          </cell>
          <cell r="BF919">
            <v>0.283931999206543</v>
          </cell>
          <cell r="BG919">
            <v>-1.7375999689102174E-2</v>
          </cell>
        </row>
        <row r="920">
          <cell r="D920" t="str">
            <v>房地产开发</v>
          </cell>
          <cell r="M920">
            <v>119.80449621879998</v>
          </cell>
          <cell r="N920">
            <v>78.785123199090847</v>
          </cell>
          <cell r="O920" t="str">
            <v>金融</v>
          </cell>
          <cell r="P920" t="str">
            <v>房地产</v>
          </cell>
          <cell r="Q920" t="str">
            <v>房地产管理与开发</v>
          </cell>
          <cell r="BC920">
            <v>2.9363784665579075E-2</v>
          </cell>
          <cell r="BD920">
            <v>3.6124794745484363E-2</v>
          </cell>
          <cell r="BE920">
            <v>0.13110335606225354</v>
          </cell>
          <cell r="BF920">
            <v>0.36724800109863281</v>
          </cell>
          <cell r="BG920">
            <v>7.660799980163574E-2</v>
          </cell>
        </row>
        <row r="921">
          <cell r="D921" t="str">
            <v>电子设备和仪器</v>
          </cell>
          <cell r="M921">
            <v>47.882274116399998</v>
          </cell>
          <cell r="N921">
            <v>31.455797664625312</v>
          </cell>
          <cell r="O921" t="str">
            <v>信息技术</v>
          </cell>
          <cell r="P921" t="str">
            <v>技术硬件与设备</v>
          </cell>
          <cell r="Q921" t="str">
            <v>电子设备、仪器和元件</v>
          </cell>
          <cell r="BC921">
            <v>1.843575418994424E-2</v>
          </cell>
          <cell r="BD921">
            <v>9.4130675526025321E-3</v>
          </cell>
          <cell r="BE921">
            <v>-3.9709072684625625E-2</v>
          </cell>
          <cell r="BF921">
            <v>0.31125600814819337</v>
          </cell>
          <cell r="BG921">
            <v>0.13710000038146972</v>
          </cell>
        </row>
        <row r="922">
          <cell r="D922" t="str">
            <v>金属非金属</v>
          </cell>
          <cell r="M922">
            <v>164.38170138999999</v>
          </cell>
          <cell r="N922">
            <v>107.98522020263889</v>
          </cell>
          <cell r="O922" t="str">
            <v>材料</v>
          </cell>
          <cell r="P922" t="str">
            <v>材料Ⅱ</v>
          </cell>
          <cell r="Q922" t="str">
            <v>金属、非金属与采矿</v>
          </cell>
          <cell r="BC922">
            <v>-4.3843283582089609E-2</v>
          </cell>
          <cell r="BD922">
            <v>2.5000000000000001E-2</v>
          </cell>
          <cell r="BE922">
            <v>-0.38364401683704147</v>
          </cell>
          <cell r="BF922">
            <v>0.22101600646972655</v>
          </cell>
          <cell r="BG922">
            <v>-0.1056719970703125</v>
          </cell>
        </row>
        <row r="923">
          <cell r="D923" t="str">
            <v>大卖场与超市</v>
          </cell>
          <cell r="M923">
            <v>53.28</v>
          </cell>
          <cell r="N923">
            <v>34.996459793662034</v>
          </cell>
          <cell r="O923" t="str">
            <v>日常消费</v>
          </cell>
          <cell r="P923" t="str">
            <v>食品与主要用品零售Ⅱ</v>
          </cell>
          <cell r="Q923" t="str">
            <v>食品与主要用品零售Ⅲ</v>
          </cell>
          <cell r="BC923">
            <v>0.11744966442953023</v>
          </cell>
          <cell r="BD923">
            <v>-8.3906464924346558E-2</v>
          </cell>
          <cell r="BE923">
            <v>5.7142857142857197E-2</v>
          </cell>
          <cell r="BF923">
            <v>0.28011600494384764</v>
          </cell>
          <cell r="BG923">
            <v>-2.5392000675201417E-2</v>
          </cell>
        </row>
        <row r="924">
          <cell r="D924" t="str">
            <v>百货商店</v>
          </cell>
          <cell r="M924">
            <v>56.32382523359999</v>
          </cell>
          <cell r="N924">
            <v>36.994417974952007</v>
          </cell>
          <cell r="O924" t="str">
            <v>可选消费</v>
          </cell>
          <cell r="P924" t="str">
            <v>零售业</v>
          </cell>
          <cell r="Q924" t="str">
            <v>多元化零售</v>
          </cell>
          <cell r="BC924">
            <v>-6.7484662576687129E-2</v>
          </cell>
          <cell r="BD924">
            <v>0.17981888745148755</v>
          </cell>
          <cell r="BE924">
            <v>-9.3793234999107869E-2</v>
          </cell>
          <cell r="BF924">
            <v>0.32103599548339845</v>
          </cell>
          <cell r="BG924">
            <v>7.079999923706054E-2</v>
          </cell>
        </row>
        <row r="925">
          <cell r="D925" t="str">
            <v>复合型公用事业</v>
          </cell>
          <cell r="M925">
            <v>57.866231137500002</v>
          </cell>
          <cell r="N925">
            <v>37.990177519656335</v>
          </cell>
          <cell r="O925" t="str">
            <v>公用事业</v>
          </cell>
          <cell r="P925" t="str">
            <v>公用事业Ⅱ</v>
          </cell>
          <cell r="Q925" t="str">
            <v>复合型公用事业Ⅲ</v>
          </cell>
          <cell r="BC925">
            <v>2.1505376344085943E-2</v>
          </cell>
          <cell r="BD925">
            <v>-1.041666666666663E-2</v>
          </cell>
          <cell r="BE925">
            <v>-0.20320416817674178</v>
          </cell>
          <cell r="BF925">
            <v>0.27505199432373045</v>
          </cell>
          <cell r="BG925">
            <v>5.4372000694274905E-2</v>
          </cell>
        </row>
        <row r="926">
          <cell r="D926" t="str">
            <v>金属非金属</v>
          </cell>
          <cell r="M926">
            <v>75.030766732000004</v>
          </cell>
          <cell r="N926">
            <v>49.250712844212039</v>
          </cell>
          <cell r="O926" t="str">
            <v>材料</v>
          </cell>
          <cell r="P926" t="str">
            <v>材料Ⅱ</v>
          </cell>
          <cell r="Q926" t="str">
            <v>金属、非金属与采矿</v>
          </cell>
          <cell r="BC926">
            <v>1.4354066985646053E-2</v>
          </cell>
          <cell r="BD926">
            <v>-2.0785219399538073E-2</v>
          </cell>
          <cell r="BE926">
            <v>-0.48481166464155528</v>
          </cell>
          <cell r="BF926">
            <v>0.31837200164794921</v>
          </cell>
          <cell r="BG926">
            <v>0.10791600227355957</v>
          </cell>
        </row>
        <row r="927">
          <cell r="D927" t="str">
            <v>特种化工</v>
          </cell>
          <cell r="M927">
            <v>41.513472</v>
          </cell>
          <cell r="N927">
            <v>27.247210492045294</v>
          </cell>
          <cell r="O927" t="str">
            <v>材料</v>
          </cell>
          <cell r="P927" t="str">
            <v>材料Ⅱ</v>
          </cell>
          <cell r="Q927" t="str">
            <v>化工</v>
          </cell>
          <cell r="BC927">
            <v>-1.5974440894568634E-2</v>
          </cell>
          <cell r="BD927">
            <v>-2.8391167192428977E-2</v>
          </cell>
          <cell r="BE927">
            <v>-0.21021460650871945</v>
          </cell>
          <cell r="BF927">
            <v>0.12878399848937988</v>
          </cell>
          <cell r="BG927">
            <v>-5.6508002281188963E-2</v>
          </cell>
        </row>
        <row r="928">
          <cell r="D928" t="str">
            <v>建筑机械与重型卡车</v>
          </cell>
          <cell r="M928">
            <v>321.88885187900007</v>
          </cell>
          <cell r="N928">
            <v>211.22788895561413</v>
          </cell>
          <cell r="O928" t="str">
            <v>工业</v>
          </cell>
          <cell r="P928" t="str">
            <v>资本货物</v>
          </cell>
          <cell r="Q928" t="str">
            <v>机械</v>
          </cell>
          <cell r="BC928">
            <v>-8.6206896551722315E-3</v>
          </cell>
          <cell r="BD928">
            <v>1.8987341772151944E-2</v>
          </cell>
          <cell r="BE928">
            <v>-0.46142910510216012</v>
          </cell>
          <cell r="BF928">
            <v>-1.8719999492168426E-3</v>
          </cell>
          <cell r="BG928">
            <v>-0.16960800170898438</v>
          </cell>
        </row>
        <row r="929">
          <cell r="D929" t="str">
            <v>中药</v>
          </cell>
          <cell r="M929">
            <v>298.29954012399998</v>
          </cell>
          <cell r="N929">
            <v>195.71346221598819</v>
          </cell>
          <cell r="O929" t="str">
            <v>医疗保健</v>
          </cell>
          <cell r="P929" t="str">
            <v>制药、生物科技与生命科学</v>
          </cell>
          <cell r="Q929" t="str">
            <v>制药</v>
          </cell>
          <cell r="BC929">
            <v>-6.8893215515949341E-3</v>
          </cell>
          <cell r="BD929">
            <v>-1.3554216867470391E-3</v>
          </cell>
          <cell r="BE929">
            <v>0</v>
          </cell>
          <cell r="BF929">
            <v>0</v>
          </cell>
          <cell r="BG929">
            <v>0</v>
          </cell>
        </row>
        <row r="930">
          <cell r="D930" t="str">
            <v>汽车零售</v>
          </cell>
          <cell r="M930">
            <v>59.149439999999998</v>
          </cell>
          <cell r="N930">
            <v>38.807763074477549</v>
          </cell>
          <cell r="O930" t="str">
            <v>可选消费</v>
          </cell>
          <cell r="P930" t="str">
            <v>零售业</v>
          </cell>
          <cell r="Q930" t="str">
            <v>专营零售</v>
          </cell>
          <cell r="BC930">
            <v>9.6412556053811591E-2</v>
          </cell>
          <cell r="BD930">
            <v>9.9700149925037493E-2</v>
          </cell>
          <cell r="BE930">
            <v>0.11759053143087832</v>
          </cell>
          <cell r="BF930">
            <v>0.25680000305175782</v>
          </cell>
          <cell r="BG930">
            <v>0.13468799591064454</v>
          </cell>
        </row>
        <row r="931">
          <cell r="D931" t="str">
            <v>西药</v>
          </cell>
          <cell r="M931">
            <v>239.97998000000001</v>
          </cell>
          <cell r="N931">
            <v>157.34759159035855</v>
          </cell>
          <cell r="O931" t="str">
            <v>医疗保健</v>
          </cell>
          <cell r="P931" t="str">
            <v>制药、生物科技与生命科学</v>
          </cell>
          <cell r="Q931" t="str">
            <v>制药</v>
          </cell>
          <cell r="BC931">
            <v>-4.6465316959840878E-3</v>
          </cell>
          <cell r="BD931">
            <v>1.661016949152537E-2</v>
          </cell>
          <cell r="BE931">
            <v>-0.10224483836081801</v>
          </cell>
          <cell r="BF931">
            <v>0.17808000564575197</v>
          </cell>
          <cell r="BG931">
            <v>-8.126399993896484E-2</v>
          </cell>
        </row>
        <row r="932">
          <cell r="D932" t="str">
            <v>钢铁</v>
          </cell>
          <cell r="M932">
            <v>46.18</v>
          </cell>
          <cell r="N932">
            <v>30.273145494339719</v>
          </cell>
          <cell r="O932" t="str">
            <v>材料</v>
          </cell>
          <cell r="P932" t="str">
            <v>材料Ⅱ</v>
          </cell>
          <cell r="Q932" t="str">
            <v>金属、非金属与采矿</v>
          </cell>
          <cell r="BC932">
            <v>0.16117676640683923</v>
          </cell>
          <cell r="BD932">
            <v>0.1195151515151515</v>
          </cell>
          <cell r="BE932">
            <v>0</v>
          </cell>
          <cell r="BF932">
            <v>0</v>
          </cell>
          <cell r="BG932">
            <v>0</v>
          </cell>
        </row>
        <row r="933">
          <cell r="D933" t="str">
            <v>煤炭与消费用燃料</v>
          </cell>
          <cell r="M933">
            <v>49.693930000000002</v>
          </cell>
          <cell r="N933">
            <v>32.572841775166665</v>
          </cell>
          <cell r="O933" t="str">
            <v>能源</v>
          </cell>
          <cell r="P933" t="str">
            <v>能源Ⅱ</v>
          </cell>
          <cell r="Q933" t="str">
            <v>石油、天然气与供消费用燃料</v>
          </cell>
          <cell r="BC933">
            <v>0</v>
          </cell>
          <cell r="BD933">
            <v>0</v>
          </cell>
          <cell r="BE933">
            <v>-0.16149870801033592</v>
          </cell>
          <cell r="BF933">
            <v>0.12124799728393555</v>
          </cell>
          <cell r="BG933">
            <v>4.5288000106811527E-2</v>
          </cell>
        </row>
        <row r="934">
          <cell r="D934" t="str">
            <v>化纤</v>
          </cell>
          <cell r="M934">
            <v>73.72158554779999</v>
          </cell>
          <cell r="N934">
            <v>48.299521573963375</v>
          </cell>
          <cell r="O934" t="str">
            <v>材料</v>
          </cell>
          <cell r="P934" t="str">
            <v>材料Ⅱ</v>
          </cell>
          <cell r="Q934" t="str">
            <v>化工</v>
          </cell>
          <cell r="BC934">
            <v>8.9755213055303748E-2</v>
          </cell>
          <cell r="BD934">
            <v>0.14585319351763579</v>
          </cell>
          <cell r="BE934">
            <v>0.75474452554744531</v>
          </cell>
          <cell r="BF934">
            <v>1.5510719299316407</v>
          </cell>
          <cell r="BG934">
            <v>0.70762802124023438</v>
          </cell>
        </row>
        <row r="935">
          <cell r="D935" t="str">
            <v>家用电器</v>
          </cell>
          <cell r="M935">
            <v>60.109268084999997</v>
          </cell>
          <cell r="N935">
            <v>39.363504198948455</v>
          </cell>
          <cell r="O935" t="str">
            <v>可选消费</v>
          </cell>
          <cell r="P935" t="str">
            <v>耐用消费品与服装</v>
          </cell>
          <cell r="Q935" t="str">
            <v>家庭耐用消费品</v>
          </cell>
          <cell r="BC935">
            <v>-2.9761904761905185E-3</v>
          </cell>
          <cell r="BD935">
            <v>0</v>
          </cell>
          <cell r="BE935">
            <v>0.18923156438736624</v>
          </cell>
          <cell r="BF935">
            <v>0.33357601165771483</v>
          </cell>
          <cell r="BG935">
            <v>0.13984800338745118</v>
          </cell>
        </row>
        <row r="936">
          <cell r="D936" t="str">
            <v>电子元件</v>
          </cell>
          <cell r="M936">
            <v>61.335424304</v>
          </cell>
          <cell r="N936">
            <v>40.163777317118516</v>
          </cell>
          <cell r="O936" t="str">
            <v>信息技术</v>
          </cell>
          <cell r="P936" t="str">
            <v>技术硬件与设备</v>
          </cell>
          <cell r="Q936" t="str">
            <v>电子设备、仪器和元件</v>
          </cell>
          <cell r="BC936">
            <v>1.1641443538998795E-2</v>
          </cell>
          <cell r="BD936">
            <v>-2.3595505617977623E-2</v>
          </cell>
          <cell r="BE936">
            <v>-0.45002618631139352</v>
          </cell>
          <cell r="BF936">
            <v>-0.20554800033569337</v>
          </cell>
          <cell r="BG936">
            <v>-0.20388000488281249</v>
          </cell>
        </row>
        <row r="937">
          <cell r="D937" t="str">
            <v>机动车零配件与设备</v>
          </cell>
          <cell r="M937">
            <v>116.334735072</v>
          </cell>
          <cell r="N937">
            <v>76.151631635447472</v>
          </cell>
          <cell r="O937" t="str">
            <v>可选消费</v>
          </cell>
          <cell r="P937" t="str">
            <v>汽车与汽车零部件</v>
          </cell>
          <cell r="Q937" t="str">
            <v>汽车零配件</v>
          </cell>
          <cell r="BC937">
            <v>7.0600632244467845E-2</v>
          </cell>
          <cell r="BD937">
            <v>0</v>
          </cell>
          <cell r="BE937">
            <v>-0.33948325896386217</v>
          </cell>
          <cell r="BF937">
            <v>0.55598400115966795</v>
          </cell>
          <cell r="BG937">
            <v>0.12712800025939941</v>
          </cell>
        </row>
        <row r="938">
          <cell r="D938" t="str">
            <v>海港与服务</v>
          </cell>
          <cell r="M938">
            <v>802.56</v>
          </cell>
          <cell r="N938">
            <v>525.32512999999983</v>
          </cell>
          <cell r="O938" t="str">
            <v>工业</v>
          </cell>
          <cell r="P938" t="str">
            <v>运输</v>
          </cell>
          <cell r="Q938" t="str">
            <v>交通基础设施</v>
          </cell>
          <cell r="BC938">
            <v>-6.3391442155309096E-3</v>
          </cell>
          <cell r="BD938">
            <v>-0.13397790055248626</v>
          </cell>
          <cell r="BE938">
            <v>0.12649143078545882</v>
          </cell>
          <cell r="BF938">
            <v>0.66356399536132815</v>
          </cell>
          <cell r="BG938">
            <v>0.22535999298095702</v>
          </cell>
        </row>
        <row r="939">
          <cell r="D939" t="str">
            <v>农产品</v>
          </cell>
          <cell r="M939">
            <v>59.353609073100003</v>
          </cell>
          <cell r="N939">
            <v>38.846277128884921</v>
          </cell>
          <cell r="O939" t="str">
            <v>日常消费</v>
          </cell>
          <cell r="P939" t="str">
            <v>食品、饮料与烟草</v>
          </cell>
          <cell r="Q939" t="str">
            <v>食品</v>
          </cell>
          <cell r="BC939">
            <v>0.15683345780433156</v>
          </cell>
          <cell r="BD939">
            <v>0.15683345780433156</v>
          </cell>
          <cell r="BE939">
            <v>0.43995035102334668</v>
          </cell>
          <cell r="BF939">
            <v>0.68945999145507808</v>
          </cell>
          <cell r="BG939">
            <v>0.25328399658203127</v>
          </cell>
        </row>
        <row r="940">
          <cell r="D940" t="str">
            <v>工业机械</v>
          </cell>
          <cell r="M940">
            <v>71.316000000000003</v>
          </cell>
          <cell r="N940">
            <v>46.664822826841458</v>
          </cell>
          <cell r="O940" t="str">
            <v>工业</v>
          </cell>
          <cell r="P940" t="str">
            <v>资本货物</v>
          </cell>
          <cell r="Q940" t="str">
            <v>机械</v>
          </cell>
          <cell r="BC940">
            <v>2.6572187776794632E-3</v>
          </cell>
          <cell r="BD940">
            <v>1.8901890189018979E-2</v>
          </cell>
          <cell r="BE940">
            <v>-0.23086285758775263</v>
          </cell>
          <cell r="BF940">
            <v>5.7119998931884769E-2</v>
          </cell>
          <cell r="BG940">
            <v>0</v>
          </cell>
        </row>
        <row r="941">
          <cell r="D941" t="str">
            <v>房地产开发</v>
          </cell>
          <cell r="M941">
            <v>39.745405376999997</v>
          </cell>
          <cell r="N941">
            <v>26.006741577388887</v>
          </cell>
          <cell r="O941" t="str">
            <v>金融</v>
          </cell>
          <cell r="P941" t="str">
            <v>房地产</v>
          </cell>
          <cell r="Q941" t="str">
            <v>房地产管理与开发</v>
          </cell>
          <cell r="BC941">
            <v>0</v>
          </cell>
          <cell r="BD941">
            <v>1.1450381679389238E-2</v>
          </cell>
          <cell r="BE941">
            <v>-6.8541300527240875E-2</v>
          </cell>
          <cell r="BF941">
            <v>0.16581600189208984</v>
          </cell>
          <cell r="BG941">
            <v>-1.7280000448226928E-3</v>
          </cell>
        </row>
        <row r="942">
          <cell r="D942" t="str">
            <v>电脑硬件</v>
          </cell>
          <cell r="M942">
            <v>367.52346992399998</v>
          </cell>
          <cell r="N942">
            <v>240.44212894574892</v>
          </cell>
          <cell r="O942" t="str">
            <v>信息技术</v>
          </cell>
          <cell r="P942" t="str">
            <v>技术硬件与设备</v>
          </cell>
          <cell r="Q942" t="str">
            <v>电脑与外围设备</v>
          </cell>
          <cell r="BC942">
            <v>1.0594947025264938E-2</v>
          </cell>
          <cell r="BD942">
            <v>-1.3524264120922827E-2</v>
          </cell>
          <cell r="BE942">
            <v>-0.22163226441725611</v>
          </cell>
          <cell r="BF942">
            <v>0.17383199691772461</v>
          </cell>
          <cell r="BG942">
            <v>4.7112002372741699E-2</v>
          </cell>
        </row>
        <row r="943">
          <cell r="D943" t="str">
            <v>石油天然气设备与服务</v>
          </cell>
          <cell r="M943">
            <v>73.809124999999995</v>
          </cell>
          <cell r="N943">
            <v>48.274115155208577</v>
          </cell>
          <cell r="O943" t="str">
            <v>能源</v>
          </cell>
          <cell r="P943" t="str">
            <v>能源Ⅱ</v>
          </cell>
          <cell r="Q943" t="str">
            <v>能源设备与服务</v>
          </cell>
          <cell r="BC943">
            <v>5.5130168453292404E-2</v>
          </cell>
          <cell r="BD943">
            <v>5.1106025934401215E-2</v>
          </cell>
          <cell r="BE943">
            <v>9.2555655872862894E-3</v>
          </cell>
          <cell r="BF943">
            <v>4.5492000579833984E-2</v>
          </cell>
          <cell r="BG943">
            <v>0.18246000289916992</v>
          </cell>
        </row>
        <row r="944">
          <cell r="D944" t="str">
            <v>铝</v>
          </cell>
          <cell r="M944">
            <v>81.536000000000001</v>
          </cell>
          <cell r="N944">
            <v>53.326351499913756</v>
          </cell>
          <cell r="O944" t="str">
            <v>材料</v>
          </cell>
          <cell r="P944" t="str">
            <v>材料Ⅱ</v>
          </cell>
          <cell r="Q944" t="str">
            <v>金属、非金属与采矿</v>
          </cell>
          <cell r="BC944">
            <v>-3.8119440914866896E-3</v>
          </cell>
          <cell r="BD944">
            <v>-1.1349306431273626E-2</v>
          </cell>
          <cell r="BE944">
            <v>-0.36493946189540127</v>
          </cell>
          <cell r="BF944">
            <v>0.56054401397705078</v>
          </cell>
          <cell r="BG944">
            <v>0.21559200286865235</v>
          </cell>
        </row>
        <row r="945">
          <cell r="D945" t="str">
            <v>信息科技咨询与其它服务</v>
          </cell>
          <cell r="M945">
            <v>117.58183556459997</v>
          </cell>
          <cell r="N945">
            <v>76.892686626091105</v>
          </cell>
          <cell r="O945" t="str">
            <v>信息技术</v>
          </cell>
          <cell r="P945" t="str">
            <v>软件与服务</v>
          </cell>
          <cell r="Q945" t="str">
            <v>信息技术服务</v>
          </cell>
          <cell r="BC945">
            <v>2.2334293948126707E-2</v>
          </cell>
          <cell r="BD945">
            <v>-4.8927613941018792E-2</v>
          </cell>
          <cell r="BE945">
            <v>-0.41918106211720207</v>
          </cell>
          <cell r="BF945">
            <v>0.56800800323486333</v>
          </cell>
          <cell r="BG945">
            <v>0.37847999572753904</v>
          </cell>
        </row>
        <row r="946">
          <cell r="D946" t="str">
            <v>中药</v>
          </cell>
          <cell r="M946">
            <v>59.356984212600004</v>
          </cell>
          <cell r="N946">
            <v>38.809425465070149</v>
          </cell>
          <cell r="O946" t="str">
            <v>医疗保健</v>
          </cell>
          <cell r="P946" t="str">
            <v>制药、生物科技与生命科学</v>
          </cell>
          <cell r="Q946" t="str">
            <v>制药</v>
          </cell>
          <cell r="BC946">
            <v>-2.086049543676664E-2</v>
          </cell>
          <cell r="BD946">
            <v>-3.6355859709153032E-2</v>
          </cell>
          <cell r="BE946">
            <v>-0.22379223074434462</v>
          </cell>
          <cell r="BF946">
            <v>0.41084400177001951</v>
          </cell>
          <cell r="BG946">
            <v>0.34658401489257812</v>
          </cell>
        </row>
        <row r="947">
          <cell r="D947" t="str">
            <v>休闲用品</v>
          </cell>
          <cell r="M947">
            <v>59.503400000000006</v>
          </cell>
          <cell r="N947">
            <v>38.874474330342231</v>
          </cell>
          <cell r="O947" t="str">
            <v>可选消费</v>
          </cell>
          <cell r="P947" t="str">
            <v>耐用消费品与服装</v>
          </cell>
          <cell r="Q947" t="str">
            <v>休闲设备与用品</v>
          </cell>
          <cell r="BC947">
            <v>0</v>
          </cell>
          <cell r="BD947">
            <v>-0.10366197183098591</v>
          </cell>
          <cell r="BE947">
            <v>-0.308561495002173</v>
          </cell>
          <cell r="BF947">
            <v>4.4004001617431641E-2</v>
          </cell>
          <cell r="BG947">
            <v>0</v>
          </cell>
        </row>
        <row r="948">
          <cell r="D948" t="str">
            <v>应用软件</v>
          </cell>
          <cell r="M948">
            <v>80.640000000000015</v>
          </cell>
          <cell r="N948">
            <v>52.681354896916666</v>
          </cell>
          <cell r="O948" t="str">
            <v>信息技术</v>
          </cell>
          <cell r="P948" t="str">
            <v>软件与服务</v>
          </cell>
          <cell r="Q948" t="str">
            <v>软件</v>
          </cell>
          <cell r="BC948">
            <v>8.4500677812923627E-2</v>
          </cell>
          <cell r="BD948">
            <v>1.1123470522802878E-3</v>
          </cell>
          <cell r="BE948">
            <v>0</v>
          </cell>
          <cell r="BF948">
            <v>0</v>
          </cell>
          <cell r="BG948">
            <v>0</v>
          </cell>
        </row>
        <row r="949">
          <cell r="D949" t="str">
            <v>西药</v>
          </cell>
          <cell r="M949">
            <v>83.986000000000004</v>
          </cell>
          <cell r="N949">
            <v>54.828593179730902</v>
          </cell>
          <cell r="O949" t="str">
            <v>医疗保健</v>
          </cell>
          <cell r="P949" t="str">
            <v>制药、生物科技与生命科学</v>
          </cell>
          <cell r="Q949" t="str">
            <v>制药</v>
          </cell>
          <cell r="BC949">
            <v>0</v>
          </cell>
          <cell r="BD949">
            <v>0</v>
          </cell>
          <cell r="BE949">
            <v>0</v>
          </cell>
          <cell r="BF949">
            <v>0</v>
          </cell>
          <cell r="BG949">
            <v>0</v>
          </cell>
        </row>
        <row r="950">
          <cell r="D950" t="str">
            <v>煤炭与消费用燃料</v>
          </cell>
          <cell r="M950">
            <v>99.826286332500004</v>
          </cell>
          <cell r="N950">
            <v>65.160348936956083</v>
          </cell>
          <cell r="O950" t="str">
            <v>能源</v>
          </cell>
          <cell r="P950" t="str">
            <v>能源Ⅱ</v>
          </cell>
          <cell r="Q950" t="str">
            <v>石油、天然气与供消费用燃料</v>
          </cell>
          <cell r="BC950">
            <v>9.6733668341708601E-2</v>
          </cell>
          <cell r="BD950">
            <v>8.4472049689440956E-2</v>
          </cell>
          <cell r="BE950">
            <v>-0.19383644823058777</v>
          </cell>
          <cell r="BF950">
            <v>3.9372000694274906E-2</v>
          </cell>
          <cell r="BG950">
            <v>4.3907999992370605E-2</v>
          </cell>
        </row>
        <row r="951">
          <cell r="D951" t="str">
            <v>海港与服务</v>
          </cell>
          <cell r="M951">
            <v>135.95400000000001</v>
          </cell>
          <cell r="N951">
            <v>88.733773222060066</v>
          </cell>
          <cell r="O951" t="str">
            <v>工业</v>
          </cell>
          <cell r="P951" t="str">
            <v>运输</v>
          </cell>
          <cell r="Q951" t="str">
            <v>交通基础设施</v>
          </cell>
          <cell r="BC951">
            <v>-1.4265335235377728E-3</v>
          </cell>
          <cell r="BD951">
            <v>4.3219076005961254E-2</v>
          </cell>
          <cell r="BE951">
            <v>-0.35938583663191287</v>
          </cell>
          <cell r="BF951">
            <v>0.15784799575805664</v>
          </cell>
          <cell r="BG951">
            <v>0.15581999778747557</v>
          </cell>
        </row>
        <row r="952">
          <cell r="D952" t="str">
            <v>食品加工与肉类</v>
          </cell>
          <cell r="M952">
            <v>51.135175961599998</v>
          </cell>
          <cell r="N952">
            <v>33.373313538092212</v>
          </cell>
          <cell r="O952" t="str">
            <v>日常消费</v>
          </cell>
          <cell r="P952" t="str">
            <v>食品、饮料与烟草</v>
          </cell>
          <cell r="Q952" t="str">
            <v>食品</v>
          </cell>
          <cell r="BC952">
            <v>1.0822510822510784E-2</v>
          </cell>
          <cell r="BD952">
            <v>-7.0646766169154315E-2</v>
          </cell>
          <cell r="BE952">
            <v>-0.23880397022085967</v>
          </cell>
          <cell r="BF952">
            <v>0.30697200775146483</v>
          </cell>
          <cell r="BG952">
            <v>7.7652001380920405E-2</v>
          </cell>
        </row>
        <row r="953">
          <cell r="D953" t="str">
            <v>半导体产品</v>
          </cell>
          <cell r="M953">
            <v>54.584503891600001</v>
          </cell>
          <cell r="N953">
            <v>35.606643763576777</v>
          </cell>
          <cell r="O953" t="str">
            <v>信息技术</v>
          </cell>
          <cell r="P953" t="str">
            <v>半导体与半导体生产设备</v>
          </cell>
          <cell r="Q953" t="str">
            <v>半导体产品与半导体设备</v>
          </cell>
          <cell r="BC953">
            <v>4.6208530805687272E-2</v>
          </cell>
          <cell r="BD953">
            <v>4.74495848161329E-2</v>
          </cell>
          <cell r="BE953">
            <v>-0.32399472184759676</v>
          </cell>
          <cell r="BF953">
            <v>1.3523999452590942E-2</v>
          </cell>
          <cell r="BG953">
            <v>-7.939199924468994E-2</v>
          </cell>
        </row>
        <row r="954">
          <cell r="D954" t="str">
            <v>调查和咨询服务</v>
          </cell>
          <cell r="M954">
            <v>80.650080000000003</v>
          </cell>
          <cell r="N954">
            <v>52.598952407611108</v>
          </cell>
          <cell r="O954" t="str">
            <v>工业</v>
          </cell>
          <cell r="P954" t="str">
            <v>商业和专业服务</v>
          </cell>
          <cell r="Q954" t="str">
            <v>专业服务</v>
          </cell>
          <cell r="BC954">
            <v>0</v>
          </cell>
          <cell r="BD954">
            <v>-2.3508137432188016E-2</v>
          </cell>
          <cell r="BE954">
            <v>0.1144867595307917</v>
          </cell>
          <cell r="BF954">
            <v>0</v>
          </cell>
          <cell r="BG954">
            <v>0</v>
          </cell>
        </row>
        <row r="955">
          <cell r="D955" t="str">
            <v>食品加工与肉类</v>
          </cell>
          <cell r="M955">
            <v>120.8509603056</v>
          </cell>
          <cell r="N955">
            <v>78.816024913436721</v>
          </cell>
          <cell r="O955" t="str">
            <v>日常消费</v>
          </cell>
          <cell r="P955" t="str">
            <v>食品、饮料与烟草</v>
          </cell>
          <cell r="Q955" t="str">
            <v>食品</v>
          </cell>
          <cell r="BC955">
            <v>7.7862595419847386E-2</v>
          </cell>
          <cell r="BD955">
            <v>5.220692928334097E-3</v>
          </cell>
          <cell r="BE955">
            <v>-6.2812442889626396E-2</v>
          </cell>
          <cell r="BF955">
            <v>0.15613200187683104</v>
          </cell>
          <cell r="BG955">
            <v>4.9320001602172849E-2</v>
          </cell>
        </row>
        <row r="956">
          <cell r="D956" t="str">
            <v>电力</v>
          </cell>
          <cell r="M956">
            <v>93.187058041</v>
          </cell>
          <cell r="N956">
            <v>60.7713043578064</v>
          </cell>
          <cell r="O956" t="str">
            <v>公用事业</v>
          </cell>
          <cell r="P956" t="str">
            <v>公用事业Ⅱ</v>
          </cell>
          <cell r="Q956" t="str">
            <v>电力Ⅲ</v>
          </cell>
          <cell r="BC956">
            <v>1.1093502377179126E-2</v>
          </cell>
          <cell r="BD956">
            <v>-6.9970845481049621E-2</v>
          </cell>
          <cell r="BE956">
            <v>-0.16601307189542489</v>
          </cell>
          <cell r="BF956">
            <v>0.66795600891113283</v>
          </cell>
          <cell r="BG956">
            <v>0.19076400756835937</v>
          </cell>
        </row>
        <row r="957">
          <cell r="D957" t="str">
            <v>家用电器</v>
          </cell>
          <cell r="M957">
            <v>34.732799999999997</v>
          </cell>
          <cell r="N957">
            <v>22.647046143785182</v>
          </cell>
          <cell r="O957" t="str">
            <v>可选消费</v>
          </cell>
          <cell r="P957" t="str">
            <v>耐用消费品与服装</v>
          </cell>
          <cell r="Q957" t="str">
            <v>家庭耐用消费品</v>
          </cell>
          <cell r="BC957">
            <v>0</v>
          </cell>
          <cell r="BD957">
            <v>-0.11518708730741015</v>
          </cell>
          <cell r="BE957">
            <v>0</v>
          </cell>
          <cell r="BF957">
            <v>0</v>
          </cell>
          <cell r="BG957">
            <v>0</v>
          </cell>
        </row>
        <row r="958">
          <cell r="D958" t="str">
            <v>医疗保健设备</v>
          </cell>
          <cell r="M958">
            <v>103.92366286869999</v>
          </cell>
          <cell r="N958">
            <v>67.759006015763504</v>
          </cell>
          <cell r="O958" t="str">
            <v>医疗保健</v>
          </cell>
          <cell r="P958" t="str">
            <v>医疗保健设备与服务</v>
          </cell>
          <cell r="Q958" t="str">
            <v>医疗保健设备与用品</v>
          </cell>
          <cell r="BC958">
            <v>7.8277886497062912E-4</v>
          </cell>
          <cell r="BD958">
            <v>-4.5539380365808096E-2</v>
          </cell>
          <cell r="BE958">
            <v>-0.42348434863988765</v>
          </cell>
          <cell r="BF958">
            <v>-0.1931399917602539</v>
          </cell>
          <cell r="BG958">
            <v>0.23101200103759767</v>
          </cell>
        </row>
        <row r="959">
          <cell r="D959" t="str">
            <v>建筑与工程</v>
          </cell>
          <cell r="M959">
            <v>118.2483153525</v>
          </cell>
          <cell r="N959">
            <v>77.09293435021587</v>
          </cell>
          <cell r="O959" t="str">
            <v>工业</v>
          </cell>
          <cell r="P959" t="str">
            <v>资本货物</v>
          </cell>
          <cell r="Q959" t="str">
            <v>建筑与工程Ⅲ</v>
          </cell>
          <cell r="BC959">
            <v>4.2955951947579167E-2</v>
          </cell>
          <cell r="BD959">
            <v>-5.6013179571664011E-2</v>
          </cell>
          <cell r="BE959">
            <v>0.48950222582120467</v>
          </cell>
          <cell r="BF959">
            <v>0.74914802551269533</v>
          </cell>
          <cell r="BG959">
            <v>0.16984800338745118</v>
          </cell>
        </row>
        <row r="960">
          <cell r="D960" t="str">
            <v>西药</v>
          </cell>
          <cell r="M960">
            <v>50.788092276</v>
          </cell>
          <cell r="N960">
            <v>33.104741610079628</v>
          </cell>
          <cell r="O960" t="str">
            <v>医疗保健</v>
          </cell>
          <cell r="P960" t="str">
            <v>制药、生物科技与生命科学</v>
          </cell>
          <cell r="Q960" t="str">
            <v>制药</v>
          </cell>
          <cell r="BC960">
            <v>0.11574556830031277</v>
          </cell>
          <cell r="BD960">
            <v>9.1836734693877403E-2</v>
          </cell>
          <cell r="BE960">
            <v>-0.15415019762845858</v>
          </cell>
          <cell r="BF960">
            <v>7.6680002212524412E-2</v>
          </cell>
          <cell r="BG960">
            <v>-4.7712001800537113E-2</v>
          </cell>
        </row>
        <row r="961">
          <cell r="D961" t="str">
            <v>钢铁</v>
          </cell>
          <cell r="M961">
            <v>57.867099136000007</v>
          </cell>
          <cell r="N961">
            <v>37.693099650489877</v>
          </cell>
          <cell r="O961" t="str">
            <v>材料</v>
          </cell>
          <cell r="P961" t="str">
            <v>材料Ⅱ</v>
          </cell>
          <cell r="Q961" t="str">
            <v>金属、非金属与采矿</v>
          </cell>
          <cell r="BC961">
            <v>5.5954088952654316E-2</v>
          </cell>
          <cell r="BD961">
            <v>6.8214804063860768E-2</v>
          </cell>
          <cell r="BE961">
            <v>-0.32961865168575083</v>
          </cell>
          <cell r="BF961">
            <v>0.14875200271606445</v>
          </cell>
          <cell r="BG961">
            <v>0</v>
          </cell>
        </row>
        <row r="962">
          <cell r="D962" t="str">
            <v>综合类行业</v>
          </cell>
          <cell r="M962">
            <v>208.2476460888</v>
          </cell>
          <cell r="N962">
            <v>135.62577316379603</v>
          </cell>
          <cell r="O962" t="str">
            <v>工业</v>
          </cell>
          <cell r="P962" t="str">
            <v>资本货物</v>
          </cell>
          <cell r="Q962" t="str">
            <v>综合类Ⅲ</v>
          </cell>
          <cell r="BC962">
            <v>8.4811102544332627E-3</v>
          </cell>
          <cell r="BD962">
            <v>-9.0909090909090315E-3</v>
          </cell>
          <cell r="BE962">
            <v>-0.19058094501129211</v>
          </cell>
          <cell r="BF962">
            <v>0.33039600372314454</v>
          </cell>
          <cell r="BG962">
            <v>8.6736001968383783E-2</v>
          </cell>
        </row>
        <row r="963">
          <cell r="D963" t="str">
            <v>基础化工</v>
          </cell>
          <cell r="M963">
            <v>111.49717405559997</v>
          </cell>
          <cell r="N963">
            <v>72.597986657766938</v>
          </cell>
          <cell r="O963" t="str">
            <v>材料</v>
          </cell>
          <cell r="P963" t="str">
            <v>材料Ⅱ</v>
          </cell>
          <cell r="Q963" t="str">
            <v>化工</v>
          </cell>
          <cell r="BC963">
            <v>0.20965309200603313</v>
          </cell>
          <cell r="BD963">
            <v>0.1123439667128987</v>
          </cell>
          <cell r="BE963">
            <v>-0.21726441604308458</v>
          </cell>
          <cell r="BF963">
            <v>0.28831199645996092</v>
          </cell>
          <cell r="BG963">
            <v>-4.9488000869750977E-2</v>
          </cell>
        </row>
        <row r="964">
          <cell r="D964" t="str">
            <v>服装、服饰与奢侈品</v>
          </cell>
          <cell r="M964">
            <v>135.11550600000001</v>
          </cell>
          <cell r="N964">
            <v>87.936120689571979</v>
          </cell>
          <cell r="O964" t="str">
            <v>可选消费</v>
          </cell>
          <cell r="P964" t="str">
            <v>耐用消费品与服装</v>
          </cell>
          <cell r="Q964" t="str">
            <v>纺织品、服装与奢侈品</v>
          </cell>
          <cell r="BC964">
            <v>4.7738693467336828E-2</v>
          </cell>
          <cell r="BD964">
            <v>7.4188562596599755E-2</v>
          </cell>
          <cell r="BE964">
            <v>1.3868804912645953</v>
          </cell>
          <cell r="BF964">
            <v>0.71692802429199221</v>
          </cell>
          <cell r="BG964">
            <v>0</v>
          </cell>
        </row>
        <row r="965">
          <cell r="D965" t="str">
            <v>半导体产品</v>
          </cell>
          <cell r="M965">
            <v>81.63933319920001</v>
          </cell>
          <cell r="N965">
            <v>53.121947953677136</v>
          </cell>
          <cell r="O965" t="str">
            <v>信息技术</v>
          </cell>
          <cell r="P965" t="str">
            <v>半导体与半导体生产设备</v>
          </cell>
          <cell r="Q965" t="str">
            <v>半导体产品与半导体设备</v>
          </cell>
          <cell r="BC965">
            <v>0.13213703099510613</v>
          </cell>
          <cell r="BD965">
            <v>0.21541155866900183</v>
          </cell>
          <cell r="BE965">
            <v>-0.21821893137094311</v>
          </cell>
          <cell r="BF965">
            <v>5.5739998817443848E-2</v>
          </cell>
          <cell r="BG965">
            <v>-0.16760400772094727</v>
          </cell>
        </row>
        <row r="966">
          <cell r="D966" t="str">
            <v>出版</v>
          </cell>
          <cell r="M966">
            <v>95.028816375900007</v>
          </cell>
          <cell r="N966">
            <v>61.832741884521184</v>
          </cell>
          <cell r="O966" t="str">
            <v>可选消费</v>
          </cell>
          <cell r="P966" t="str">
            <v>媒体Ⅱ</v>
          </cell>
          <cell r="Q966" t="str">
            <v>媒体Ⅲ</v>
          </cell>
          <cell r="BC966">
            <v>7.7220077220077864E-3</v>
          </cell>
          <cell r="BD966">
            <v>-3.9263803680981625E-2</v>
          </cell>
          <cell r="BE966">
            <v>-0.39749555163215106</v>
          </cell>
          <cell r="BF966">
            <v>1.5623999834060669E-2</v>
          </cell>
          <cell r="BG966">
            <v>0.1151039981842041</v>
          </cell>
        </row>
        <row r="967">
          <cell r="D967" t="str">
            <v>调查和咨询服务</v>
          </cell>
          <cell r="M967">
            <v>82.428201264600006</v>
          </cell>
          <cell r="N967">
            <v>53.617469525990792</v>
          </cell>
          <cell r="O967" t="str">
            <v>工业</v>
          </cell>
          <cell r="P967" t="str">
            <v>商业和专业服务</v>
          </cell>
          <cell r="Q967" t="str">
            <v>专业服务</v>
          </cell>
          <cell r="BC967">
            <v>1.7502365184484437E-2</v>
          </cell>
          <cell r="BD967">
            <v>-6.396866840731065E-2</v>
          </cell>
          <cell r="BE967">
            <v>-3.5046232486906262E-2</v>
          </cell>
          <cell r="BF967">
            <v>0.15357600212097167</v>
          </cell>
          <cell r="BG967">
            <v>0.28471200942993163</v>
          </cell>
        </row>
        <row r="968">
          <cell r="D968" t="str">
            <v>贸易公司与工业品经销商</v>
          </cell>
          <cell r="M968">
            <v>173.86391732419997</v>
          </cell>
          <cell r="N968">
            <v>113.09134308692684</v>
          </cell>
          <cell r="O968" t="str">
            <v>工业</v>
          </cell>
          <cell r="P968" t="str">
            <v>资本货物</v>
          </cell>
          <cell r="Q968" t="str">
            <v>贸易公司与工业品经销商Ⅲ</v>
          </cell>
          <cell r="BC968">
            <v>-6.1614294516337419E-4</v>
          </cell>
          <cell r="BD968">
            <v>-5.7524694944799649E-2</v>
          </cell>
          <cell r="BE968">
            <v>-0.16831990979089415</v>
          </cell>
          <cell r="BF968">
            <v>0.2731439971923828</v>
          </cell>
          <cell r="BG968">
            <v>-3.8412001132965085E-2</v>
          </cell>
        </row>
        <row r="969">
          <cell r="D969" t="str">
            <v>基础化工</v>
          </cell>
          <cell r="M969">
            <v>76.600639200000003</v>
          </cell>
          <cell r="N969">
            <v>49.801822423868749</v>
          </cell>
          <cell r="O969" t="str">
            <v>材料</v>
          </cell>
          <cell r="P969" t="str">
            <v>材料Ⅱ</v>
          </cell>
          <cell r="Q969" t="str">
            <v>化工</v>
          </cell>
          <cell r="BC969">
            <v>-8.0941869021338795E-3</v>
          </cell>
          <cell r="BD969">
            <v>9.1497975708502086E-2</v>
          </cell>
          <cell r="BE969">
            <v>0.3181529289915333</v>
          </cell>
          <cell r="BF969">
            <v>0.54511199951171874</v>
          </cell>
          <cell r="BG969">
            <v>0</v>
          </cell>
        </row>
        <row r="970">
          <cell r="D970" t="str">
            <v>钢铁</v>
          </cell>
          <cell r="M970">
            <v>49.958177584799998</v>
          </cell>
          <cell r="N970">
            <v>32.476910328123147</v>
          </cell>
          <cell r="O970" t="str">
            <v>材料</v>
          </cell>
          <cell r="P970" t="str">
            <v>材料Ⅱ</v>
          </cell>
          <cell r="Q970" t="str">
            <v>金属、非金属与采矿</v>
          </cell>
          <cell r="BC970">
            <v>9.0614886731391675E-2</v>
          </cell>
          <cell r="BD970">
            <v>0.13468013468013465</v>
          </cell>
          <cell r="BE970">
            <v>8.3601286173633521E-2</v>
          </cell>
          <cell r="BF970">
            <v>0.48023998260498046</v>
          </cell>
          <cell r="BG970">
            <v>2.0567998886108399E-2</v>
          </cell>
        </row>
        <row r="971">
          <cell r="D971" t="str">
            <v>环境与设施服务</v>
          </cell>
          <cell r="M971">
            <v>72.017252393999996</v>
          </cell>
          <cell r="N971">
            <v>46.809465155861943</v>
          </cell>
          <cell r="O971" t="str">
            <v>工业</v>
          </cell>
          <cell r="P971" t="str">
            <v>商业和专业服务</v>
          </cell>
          <cell r="Q971" t="str">
            <v>商业服务与用品</v>
          </cell>
          <cell r="BC971">
            <v>3.563474387527843E-2</v>
          </cell>
          <cell r="BD971">
            <v>-5.3435114503816654E-2</v>
          </cell>
          <cell r="BE971">
            <v>-0.12167392523713098</v>
          </cell>
          <cell r="BF971">
            <v>0.39171600341796875</v>
          </cell>
          <cell r="BG971">
            <v>0</v>
          </cell>
        </row>
        <row r="972">
          <cell r="D972" t="str">
            <v>房地产开发</v>
          </cell>
          <cell r="M972">
            <v>99.384687630000002</v>
          </cell>
          <cell r="N972">
            <v>64.593109339941165</v>
          </cell>
          <cell r="O972" t="str">
            <v>金融</v>
          </cell>
          <cell r="P972" t="str">
            <v>房地产</v>
          </cell>
          <cell r="Q972" t="str">
            <v>房地产管理与开发</v>
          </cell>
          <cell r="BC972">
            <v>2.7692307692307648E-2</v>
          </cell>
          <cell r="BD972">
            <v>-7.4294205052006998E-3</v>
          </cell>
          <cell r="BE972">
            <v>-0.29262301848433958</v>
          </cell>
          <cell r="BF972">
            <v>0.16028400421142577</v>
          </cell>
          <cell r="BG972">
            <v>0.13233599662780762</v>
          </cell>
        </row>
        <row r="973">
          <cell r="D973" t="str">
            <v>半导体产品</v>
          </cell>
          <cell r="M973">
            <v>114.3434306784</v>
          </cell>
          <cell r="N973">
            <v>74.291320461614816</v>
          </cell>
          <cell r="O973" t="str">
            <v>信息技术</v>
          </cell>
          <cell r="P973" t="str">
            <v>半导体与半导体生产设备</v>
          </cell>
          <cell r="Q973" t="str">
            <v>半导体产品与半导体设备</v>
          </cell>
          <cell r="BC973">
            <v>3.4188034188034219E-2</v>
          </cell>
          <cell r="BD973">
            <v>-2.0242914979757193E-2</v>
          </cell>
          <cell r="BE973">
            <v>-0.16209707425986239</v>
          </cell>
          <cell r="BF973">
            <v>1.8539999723434449E-2</v>
          </cell>
          <cell r="BG973">
            <v>-8.4575996398925782E-2</v>
          </cell>
        </row>
        <row r="974">
          <cell r="D974" t="str">
            <v>特种化工</v>
          </cell>
          <cell r="M974">
            <v>38.8416</v>
          </cell>
          <cell r="N974">
            <v>25.232008095661943</v>
          </cell>
          <cell r="O974" t="str">
            <v>材料</v>
          </cell>
          <cell r="P974" t="str">
            <v>材料Ⅱ</v>
          </cell>
          <cell r="Q974" t="str">
            <v>化工</v>
          </cell>
          <cell r="BC974">
            <v>2.5862068965517303E-2</v>
          </cell>
          <cell r="BD974">
            <v>5.9661620658949234E-2</v>
          </cell>
          <cell r="BE974">
            <v>1.7912503769950301E-2</v>
          </cell>
          <cell r="BF974">
            <v>0.49713600158691407</v>
          </cell>
          <cell r="BG974">
            <v>0.23625600814819336</v>
          </cell>
        </row>
        <row r="975">
          <cell r="D975" t="str">
            <v>工业机械</v>
          </cell>
          <cell r="M975">
            <v>64.899517175999989</v>
          </cell>
          <cell r="N975">
            <v>42.151036076333327</v>
          </cell>
          <cell r="O975" t="str">
            <v>工业</v>
          </cell>
          <cell r="P975" t="str">
            <v>资本货物</v>
          </cell>
          <cell r="Q975" t="str">
            <v>机械</v>
          </cell>
          <cell r="BC975">
            <v>-1.8867924528301858E-2</v>
          </cell>
          <cell r="BD975">
            <v>-6.6799601196410763E-2</v>
          </cell>
          <cell r="BE975">
            <v>-0.38054268696227667</v>
          </cell>
          <cell r="BF975">
            <v>0.1339560031890869</v>
          </cell>
          <cell r="BG975">
            <v>-3.2952001094818113E-2</v>
          </cell>
        </row>
        <row r="976">
          <cell r="D976" t="str">
            <v>金属非金属</v>
          </cell>
          <cell r="M976">
            <v>178.56027974840001</v>
          </cell>
          <cell r="N976">
            <v>115.9328208477</v>
          </cell>
          <cell r="O976" t="str">
            <v>材料</v>
          </cell>
          <cell r="P976" t="str">
            <v>材料Ⅱ</v>
          </cell>
          <cell r="Q976" t="str">
            <v>金属、非金属与采矿</v>
          </cell>
          <cell r="BC976">
            <v>-3.0375699440447563E-2</v>
          </cell>
          <cell r="BD976">
            <v>4.930795847750867E-2</v>
          </cell>
          <cell r="BE976">
            <v>-0.45605381165919279</v>
          </cell>
          <cell r="BF976">
            <v>8.7623996734619139E-2</v>
          </cell>
          <cell r="BG976">
            <v>-0.10836000442504883</v>
          </cell>
        </row>
        <row r="977">
          <cell r="D977" t="str">
            <v>百货商店</v>
          </cell>
          <cell r="M977">
            <v>46.597966374400002</v>
          </cell>
          <cell r="N977">
            <v>30.244562477080418</v>
          </cell>
          <cell r="O977" t="str">
            <v>可选消费</v>
          </cell>
          <cell r="P977" t="str">
            <v>零售业</v>
          </cell>
          <cell r="Q977" t="str">
            <v>多元化零售</v>
          </cell>
          <cell r="BC977">
            <v>-1.7543859649122629E-2</v>
          </cell>
          <cell r="BD977">
            <v>6.1611374407583103E-2</v>
          </cell>
          <cell r="BE977">
            <v>-7.6321770292451088E-2</v>
          </cell>
          <cell r="BF977">
            <v>0.22268400192260743</v>
          </cell>
          <cell r="BG977">
            <v>9.6960002183914193E-3</v>
          </cell>
        </row>
        <row r="978">
          <cell r="D978" t="str">
            <v>化肥与农用化工</v>
          </cell>
          <cell r="M978">
            <v>37.557000000000002</v>
          </cell>
          <cell r="N978">
            <v>24.376479297572168</v>
          </cell>
          <cell r="O978" t="str">
            <v>材料</v>
          </cell>
          <cell r="P978" t="str">
            <v>材料Ⅱ</v>
          </cell>
          <cell r="Q978" t="str">
            <v>化工</v>
          </cell>
          <cell r="BC978">
            <v>1.6537649542575611E-2</v>
          </cell>
          <cell r="BD978">
            <v>-3.2808838299296969E-2</v>
          </cell>
          <cell r="BE978">
            <v>0.25232230700594849</v>
          </cell>
          <cell r="BF978">
            <v>0</v>
          </cell>
          <cell r="BG978">
            <v>0</v>
          </cell>
        </row>
        <row r="979">
          <cell r="D979" t="str">
            <v>建筑与工程</v>
          </cell>
          <cell r="M979">
            <v>120.68586100749999</v>
          </cell>
          <cell r="N979">
            <v>78.325261976386599</v>
          </cell>
          <cell r="O979" t="str">
            <v>工业</v>
          </cell>
          <cell r="P979" t="str">
            <v>资本货物</v>
          </cell>
          <cell r="Q979" t="str">
            <v>建筑与工程Ⅲ</v>
          </cell>
          <cell r="BC979">
            <v>7.9749103942652375E-2</v>
          </cell>
          <cell r="BD979">
            <v>8.5585585585585683E-2</v>
          </cell>
          <cell r="BE979">
            <v>-0.21259314654452025</v>
          </cell>
          <cell r="BF979">
            <v>0.49897201538085939</v>
          </cell>
          <cell r="BG979">
            <v>0.27746400833129881</v>
          </cell>
        </row>
        <row r="980">
          <cell r="D980" t="str">
            <v>家用电器</v>
          </cell>
          <cell r="M980">
            <v>116.25758500000001</v>
          </cell>
          <cell r="N980">
            <v>75.407078683660899</v>
          </cell>
          <cell r="O980" t="str">
            <v>可选消费</v>
          </cell>
          <cell r="P980" t="str">
            <v>耐用消费品与服装</v>
          </cell>
          <cell r="Q980" t="str">
            <v>家庭耐用消费品</v>
          </cell>
          <cell r="BC980">
            <v>-3.15426997245178E-2</v>
          </cell>
          <cell r="BD980">
            <v>6.7243472981178012E-2</v>
          </cell>
          <cell r="BE980">
            <v>1.8464933614474368</v>
          </cell>
          <cell r="BF980">
            <v>0.9766079711914063</v>
          </cell>
          <cell r="BG980">
            <v>0</v>
          </cell>
        </row>
        <row r="981">
          <cell r="D981" t="str">
            <v>海运</v>
          </cell>
          <cell r="M981">
            <v>141.89361596309999</v>
          </cell>
          <cell r="N981">
            <v>91.976583310137372</v>
          </cell>
          <cell r="O981" t="str">
            <v>工业</v>
          </cell>
          <cell r="P981" t="str">
            <v>运输</v>
          </cell>
          <cell r="Q981" t="str">
            <v>海运Ⅲ</v>
          </cell>
          <cell r="BC981">
            <v>3.0349013657056849E-3</v>
          </cell>
          <cell r="BD981">
            <v>-2.5073746312684355E-2</v>
          </cell>
          <cell r="BE981">
            <v>-0.15305932856539242</v>
          </cell>
          <cell r="BF981">
            <v>0.60762001037597657</v>
          </cell>
          <cell r="BG981">
            <v>8.4876003265380862E-2</v>
          </cell>
        </row>
        <row r="982">
          <cell r="D982" t="str">
            <v>中药</v>
          </cell>
          <cell r="M982">
            <v>124.19539999999999</v>
          </cell>
          <cell r="N982">
            <v>80.489385693768</v>
          </cell>
          <cell r="O982" t="str">
            <v>医疗保健</v>
          </cell>
          <cell r="P982" t="str">
            <v>制药、生物科技与生命科学</v>
          </cell>
          <cell r="Q982" t="str">
            <v>制药</v>
          </cell>
          <cell r="BC982">
            <v>0</v>
          </cell>
          <cell r="BD982">
            <v>-0.11512872432745155</v>
          </cell>
          <cell r="BE982">
            <v>5.7955901023875878E-2</v>
          </cell>
          <cell r="BF982">
            <v>0.22950000762939454</v>
          </cell>
          <cell r="BG982">
            <v>0.11216400146484375</v>
          </cell>
        </row>
        <row r="983">
          <cell r="D983" t="str">
            <v>药品零售</v>
          </cell>
          <cell r="M983">
            <v>152.1667331072</v>
          </cell>
          <cell r="N983">
            <v>98.594536410487436</v>
          </cell>
          <cell r="O983" t="str">
            <v>日常消费</v>
          </cell>
          <cell r="P983" t="str">
            <v>食品与主要用品零售Ⅱ</v>
          </cell>
          <cell r="Q983" t="str">
            <v>食品与主要用品零售Ⅲ</v>
          </cell>
          <cell r="BC983">
            <v>3.2355154251316895E-2</v>
          </cell>
          <cell r="BD983">
            <v>-1.5781922525107524E-2</v>
          </cell>
          <cell r="BE983">
            <v>-6.9280893691252999E-3</v>
          </cell>
          <cell r="BF983">
            <v>0.53755199432373046</v>
          </cell>
          <cell r="BG983">
            <v>0</v>
          </cell>
        </row>
        <row r="984">
          <cell r="D984" t="str">
            <v>家庭装饰品</v>
          </cell>
          <cell r="M984">
            <v>42.081843196599998</v>
          </cell>
          <cell r="N984">
            <v>27.265119427676318</v>
          </cell>
          <cell r="O984" t="str">
            <v>可选消费</v>
          </cell>
          <cell r="P984" t="str">
            <v>耐用消费品与服装</v>
          </cell>
          <cell r="Q984" t="str">
            <v>家庭耐用消费品</v>
          </cell>
          <cell r="BC984">
            <v>2.0678246484698098E-2</v>
          </cell>
          <cell r="BD984">
            <v>-0.12357954545454547</v>
          </cell>
          <cell r="BE984">
            <v>-7.9791200596569745E-2</v>
          </cell>
          <cell r="BF984">
            <v>6.7835998535156247E-2</v>
          </cell>
          <cell r="BG984">
            <v>0.18325199127197267</v>
          </cell>
        </row>
        <row r="985">
          <cell r="D985" t="str">
            <v>房地产经营公司</v>
          </cell>
          <cell r="M985">
            <v>155.69701734419999</v>
          </cell>
          <cell r="N985">
            <v>100.86609220683417</v>
          </cell>
          <cell r="O985" t="str">
            <v>金融</v>
          </cell>
          <cell r="P985" t="str">
            <v>房地产</v>
          </cell>
          <cell r="Q985" t="str">
            <v>房地产管理与开发</v>
          </cell>
          <cell r="BC985">
            <v>2.4160060400151024E-2</v>
          </cell>
          <cell r="BD985">
            <v>-1.1657559198542815E-2</v>
          </cell>
          <cell r="BE985">
            <v>0.36058174523570696</v>
          </cell>
          <cell r="BF985">
            <v>0.40198799133300783</v>
          </cell>
          <cell r="BG985">
            <v>0.27686399459838867</v>
          </cell>
        </row>
        <row r="986">
          <cell r="D986" t="str">
            <v>新能源发电业者</v>
          </cell>
          <cell r="M986">
            <v>44.29394540820001</v>
          </cell>
          <cell r="N986">
            <v>28.677611685059375</v>
          </cell>
          <cell r="O986" t="str">
            <v>公用事业</v>
          </cell>
          <cell r="P986" t="str">
            <v>公用事业Ⅱ</v>
          </cell>
          <cell r="Q986" t="str">
            <v>独立电力生产商与能源贸易商Ⅲ</v>
          </cell>
          <cell r="BC986">
            <v>2.4916943521594744E-2</v>
          </cell>
          <cell r="BD986">
            <v>1.1475409836065622E-2</v>
          </cell>
          <cell r="BE986">
            <v>-0.29726651480637811</v>
          </cell>
          <cell r="BF986">
            <v>0.24952800750732421</v>
          </cell>
          <cell r="BG986">
            <v>0.1175160026550293</v>
          </cell>
        </row>
        <row r="987">
          <cell r="D987" t="str">
            <v>工业机械</v>
          </cell>
          <cell r="M987">
            <v>48.790098</v>
          </cell>
          <cell r="N987">
            <v>31.579236413804438</v>
          </cell>
          <cell r="O987" t="str">
            <v>工业</v>
          </cell>
          <cell r="P987" t="str">
            <v>资本货物</v>
          </cell>
          <cell r="Q987" t="str">
            <v>机械</v>
          </cell>
          <cell r="BC987">
            <v>9.4793536804308826E-2</v>
          </cell>
          <cell r="BD987">
            <v>7.7893000235682297E-2</v>
          </cell>
          <cell r="BE987">
            <v>0</v>
          </cell>
          <cell r="BF987">
            <v>0</v>
          </cell>
          <cell r="BG987">
            <v>0</v>
          </cell>
        </row>
        <row r="988">
          <cell r="D988" t="str">
            <v>建筑机械与重型卡车</v>
          </cell>
          <cell r="M988">
            <v>431.8557788979</v>
          </cell>
          <cell r="N988">
            <v>279.44055815387503</v>
          </cell>
          <cell r="O988" t="str">
            <v>工业</v>
          </cell>
          <cell r="P988" t="str">
            <v>资本货物</v>
          </cell>
          <cell r="Q988" t="str">
            <v>机械</v>
          </cell>
          <cell r="BC988">
            <v>1.9784172661870561E-2</v>
          </cell>
          <cell r="BD988">
            <v>5.5865921787709466E-2</v>
          </cell>
          <cell r="BE988">
            <v>-0.40332597193818065</v>
          </cell>
          <cell r="BF988">
            <v>8.2524003982543948E-2</v>
          </cell>
          <cell r="BG988">
            <v>-0.12862799644470216</v>
          </cell>
        </row>
        <row r="989">
          <cell r="D989" t="str">
            <v>工业机械</v>
          </cell>
          <cell r="M989">
            <v>63.246090460000005</v>
          </cell>
          <cell r="N989">
            <v>40.919642877672224</v>
          </cell>
          <cell r="O989" t="str">
            <v>工业</v>
          </cell>
          <cell r="P989" t="str">
            <v>资本货物</v>
          </cell>
          <cell r="Q989" t="str">
            <v>机械</v>
          </cell>
          <cell r="BC989">
            <v>1.5544041450777238E-2</v>
          </cell>
          <cell r="BD989">
            <v>-5.3140096618357384E-2</v>
          </cell>
          <cell r="BE989">
            <v>-0.23197492163009398</v>
          </cell>
          <cell r="BF989">
            <v>0.35482799530029296</v>
          </cell>
          <cell r="BG989">
            <v>-7.572000026702881E-3</v>
          </cell>
        </row>
        <row r="990">
          <cell r="D990" t="str">
            <v>酒店、度假村与豪华游轮</v>
          </cell>
          <cell r="M990">
            <v>59.34035717119999</v>
          </cell>
          <cell r="N990">
            <v>38.388208384536007</v>
          </cell>
          <cell r="O990" t="str">
            <v>可选消费</v>
          </cell>
          <cell r="P990" t="str">
            <v>消费者服务Ⅱ</v>
          </cell>
          <cell r="Q990" t="str">
            <v>酒店、餐馆与休闲Ⅲ</v>
          </cell>
          <cell r="BC990">
            <v>1.2468827930174521E-2</v>
          </cell>
          <cell r="BD990">
            <v>-2.8708133971291894E-2</v>
          </cell>
          <cell r="BE990">
            <v>-8.7127599775154621E-2</v>
          </cell>
          <cell r="BF990">
            <v>0.48896400451660155</v>
          </cell>
          <cell r="BG990">
            <v>0.14954400062561035</v>
          </cell>
        </row>
        <row r="991">
          <cell r="D991" t="str">
            <v>通信设备</v>
          </cell>
          <cell r="M991">
            <v>75.121488225000007</v>
          </cell>
          <cell r="N991">
            <v>48.591823051185465</v>
          </cell>
          <cell r="O991" t="str">
            <v>信息技术</v>
          </cell>
          <cell r="P991" t="str">
            <v>技术硬件与设备</v>
          </cell>
          <cell r="Q991" t="str">
            <v>通信设备Ⅲ</v>
          </cell>
          <cell r="BC991">
            <v>-2.4639423076923083E-2</v>
          </cell>
          <cell r="BD991">
            <v>-5.8038305281485777E-2</v>
          </cell>
          <cell r="BE991">
            <v>-4.5366354410619363E-2</v>
          </cell>
          <cell r="BF991">
            <v>0.80185203552246098</v>
          </cell>
          <cell r="BG991">
            <v>0</v>
          </cell>
        </row>
        <row r="992">
          <cell r="D992" t="str">
            <v>建筑机械与重型卡车</v>
          </cell>
          <cell r="M992">
            <v>105.92683350000001</v>
          </cell>
          <cell r="N992">
            <v>68.516472642287042</v>
          </cell>
          <cell r="O992" t="str">
            <v>工业</v>
          </cell>
          <cell r="P992" t="str">
            <v>资本货物</v>
          </cell>
          <cell r="Q992" t="str">
            <v>机械</v>
          </cell>
          <cell r="BC992">
            <v>0</v>
          </cell>
          <cell r="BD992">
            <v>-4.9999999999999906E-2</v>
          </cell>
          <cell r="BE992">
            <v>-0.47664670658682629</v>
          </cell>
          <cell r="BF992">
            <v>0.33331199645996096</v>
          </cell>
          <cell r="BG992">
            <v>-3.6071999073028563E-2</v>
          </cell>
        </row>
        <row r="993">
          <cell r="D993" t="str">
            <v>电气部件与设备</v>
          </cell>
          <cell r="M993">
            <v>54.522720000000007</v>
          </cell>
          <cell r="N993">
            <v>35.266149849806297</v>
          </cell>
          <cell r="O993" t="str">
            <v>工业</v>
          </cell>
          <cell r="P993" t="str">
            <v>资本货物</v>
          </cell>
          <cell r="Q993" t="str">
            <v>电气设备</v>
          </cell>
          <cell r="BC993">
            <v>0.10526315789473678</v>
          </cell>
          <cell r="BD993">
            <v>5.6825330257915724E-2</v>
          </cell>
          <cell r="BE993">
            <v>0</v>
          </cell>
          <cell r="BF993">
            <v>0</v>
          </cell>
          <cell r="BG993">
            <v>0</v>
          </cell>
        </row>
        <row r="994">
          <cell r="D994" t="str">
            <v>西药</v>
          </cell>
          <cell r="M994">
            <v>176.19203699999997</v>
          </cell>
          <cell r="N994">
            <v>113.86048661026341</v>
          </cell>
          <cell r="O994" t="str">
            <v>医疗保健</v>
          </cell>
          <cell r="P994" t="str">
            <v>制药、生物科技与生命科学</v>
          </cell>
          <cell r="Q994" t="str">
            <v>制药</v>
          </cell>
          <cell r="BC994">
            <v>1.4934660858742902E-2</v>
          </cell>
          <cell r="BD994">
            <v>1.3043478260869396E-2</v>
          </cell>
          <cell r="BE994">
            <v>-0.36638902578292132</v>
          </cell>
          <cell r="BF994">
            <v>-7.8839998245239254E-2</v>
          </cell>
          <cell r="BG994">
            <v>0</v>
          </cell>
        </row>
        <row r="995">
          <cell r="D995" t="str">
            <v>特种化工</v>
          </cell>
          <cell r="M995">
            <v>55.197325267499984</v>
          </cell>
          <cell r="N995">
            <v>35.659239885807011</v>
          </cell>
          <cell r="O995" t="str">
            <v>材料</v>
          </cell>
          <cell r="P995" t="str">
            <v>材料Ⅱ</v>
          </cell>
          <cell r="Q995" t="str">
            <v>化工</v>
          </cell>
          <cell r="BC995">
            <v>-1.3578274760383381E-2</v>
          </cell>
          <cell r="BD995">
            <v>-9.2578986039676694E-2</v>
          </cell>
          <cell r="BE995">
            <v>-0.27782570267916684</v>
          </cell>
          <cell r="BF995">
            <v>0.10844400405883789</v>
          </cell>
          <cell r="BG995">
            <v>4.5515999794006348E-2</v>
          </cell>
        </row>
        <row r="996">
          <cell r="D996" t="str">
            <v>贸易公司与工业品经销商</v>
          </cell>
          <cell r="M996">
            <v>78.196340686999989</v>
          </cell>
          <cell r="N996">
            <v>50.508032895073661</v>
          </cell>
          <cell r="O996" t="str">
            <v>工业</v>
          </cell>
          <cell r="P996" t="str">
            <v>资本货物</v>
          </cell>
          <cell r="Q996" t="str">
            <v>贸易公司与工业品经销商Ⅲ</v>
          </cell>
          <cell r="BC996">
            <v>8.5825747724317197E-2</v>
          </cell>
          <cell r="BD996">
            <v>8.5120207927225383E-2</v>
          </cell>
          <cell r="BE996">
            <v>0.15334241293084674</v>
          </cell>
          <cell r="BF996">
            <v>0.44059200286865235</v>
          </cell>
          <cell r="BG996">
            <v>0.12621600151062012</v>
          </cell>
        </row>
        <row r="997">
          <cell r="D997" t="str">
            <v>金属非金属</v>
          </cell>
          <cell r="M997">
            <v>131.09186768399999</v>
          </cell>
          <cell r="N997">
            <v>84.667716616054861</v>
          </cell>
          <cell r="O997" t="str">
            <v>材料</v>
          </cell>
          <cell r="P997" t="str">
            <v>材料Ⅱ</v>
          </cell>
          <cell r="Q997" t="str">
            <v>金属、非金属与采矿</v>
          </cell>
          <cell r="BC997">
            <v>-6.6255778120184988E-2</v>
          </cell>
          <cell r="BD997">
            <v>0.15392576713466805</v>
          </cell>
          <cell r="BE997">
            <v>-0.28907615522263141</v>
          </cell>
          <cell r="BF997">
            <v>0.32739601135253904</v>
          </cell>
          <cell r="BG997">
            <v>0.27698400497436526</v>
          </cell>
        </row>
        <row r="998">
          <cell r="D998" t="str">
            <v>基础化工</v>
          </cell>
          <cell r="M998">
            <v>27.920798567199999</v>
          </cell>
          <cell r="N998">
            <v>18.029396054641669</v>
          </cell>
          <cell r="O998" t="str">
            <v>材料</v>
          </cell>
          <cell r="P998" t="str">
            <v>材料Ⅱ</v>
          </cell>
          <cell r="Q998" t="str">
            <v>化工</v>
          </cell>
          <cell r="BC998">
            <v>2.1558872305140944E-2</v>
          </cell>
          <cell r="BD998">
            <v>-9.4117647058823486E-2</v>
          </cell>
          <cell r="BE998">
            <v>-0.37142857142857144</v>
          </cell>
          <cell r="BF998">
            <v>0.5484719848632813</v>
          </cell>
          <cell r="BG998">
            <v>0.15789600372314452</v>
          </cell>
        </row>
        <row r="999">
          <cell r="D999" t="str">
            <v>电气部件与设备</v>
          </cell>
          <cell r="M999">
            <v>48.596352201000002</v>
          </cell>
          <cell r="N999">
            <v>31.378952664977778</v>
          </cell>
          <cell r="O999" t="str">
            <v>工业</v>
          </cell>
          <cell r="P999" t="str">
            <v>资本货物</v>
          </cell>
          <cell r="Q999" t="str">
            <v>电气设备</v>
          </cell>
          <cell r="BC999">
            <v>3.6585365853658597E-2</v>
          </cell>
          <cell r="BD999">
            <v>-3.409090909090904E-2</v>
          </cell>
          <cell r="BE999">
            <v>-0.15065775853431776</v>
          </cell>
          <cell r="BF999">
            <v>0.25554000854492187</v>
          </cell>
          <cell r="BG999">
            <v>-5.4119998216629025E-3</v>
          </cell>
        </row>
        <row r="1000">
          <cell r="D1000" t="str">
            <v>农产品</v>
          </cell>
          <cell r="M1000">
            <v>132.86134814000002</v>
          </cell>
          <cell r="N1000">
            <v>85.789235280989104</v>
          </cell>
          <cell r="O1000" t="str">
            <v>日常消费</v>
          </cell>
          <cell r="P1000" t="str">
            <v>食品、饮料与烟草</v>
          </cell>
          <cell r="Q1000" t="str">
            <v>食品</v>
          </cell>
          <cell r="BC1000">
            <v>4.873534855027755E-2</v>
          </cell>
          <cell r="BD1000">
            <v>-0.12887522418652322</v>
          </cell>
          <cell r="BE1000">
            <v>1.0298507462686568</v>
          </cell>
          <cell r="BF1000">
            <v>0.66229202270507814</v>
          </cell>
          <cell r="BG1000">
            <v>0.46489200592041013</v>
          </cell>
        </row>
        <row r="1001">
          <cell r="D1001" t="str">
            <v>建材</v>
          </cell>
          <cell r="M1001">
            <v>60.863036091899993</v>
          </cell>
          <cell r="N1001">
            <v>39.286447104491657</v>
          </cell>
          <cell r="O1001" t="str">
            <v>材料</v>
          </cell>
          <cell r="P1001" t="str">
            <v>材料Ⅱ</v>
          </cell>
          <cell r="Q1001" t="str">
            <v>建材Ⅲ</v>
          </cell>
          <cell r="BC1001">
            <v>-6.1068702290076396E-3</v>
          </cell>
          <cell r="BD1001">
            <v>-9.7087378640776725E-2</v>
          </cell>
          <cell r="BE1001">
            <v>-0.30258677139227053</v>
          </cell>
          <cell r="BF1001">
            <v>7.808400154113769E-2</v>
          </cell>
          <cell r="BG1001">
            <v>-0.11365200042724609</v>
          </cell>
        </row>
        <row r="1002">
          <cell r="D1002" t="str">
            <v>电气部件与设备</v>
          </cell>
          <cell r="M1002">
            <v>101.63664000000001</v>
          </cell>
          <cell r="N1002">
            <v>65.602734967033854</v>
          </cell>
          <cell r="O1002" t="str">
            <v>工业</v>
          </cell>
          <cell r="P1002" t="str">
            <v>资本货物</v>
          </cell>
          <cell r="Q1002" t="str">
            <v>电气设备</v>
          </cell>
          <cell r="BC1002">
            <v>1.2048192771084293E-2</v>
          </cell>
          <cell r="BD1002">
            <v>7.2112316528398265E-2</v>
          </cell>
          <cell r="BE1002">
            <v>0.31868131868131871</v>
          </cell>
          <cell r="BF1002">
            <v>0.32857200622558591</v>
          </cell>
          <cell r="BG1002">
            <v>0.14792400360107422</v>
          </cell>
        </row>
        <row r="1003">
          <cell r="D1003" t="str">
            <v>有线和卫星电视</v>
          </cell>
          <cell r="M1003">
            <v>217.11734990400001</v>
          </cell>
          <cell r="N1003">
            <v>140.09583541703853</v>
          </cell>
          <cell r="O1003" t="str">
            <v>可选消费</v>
          </cell>
          <cell r="P1003" t="str">
            <v>媒体Ⅱ</v>
          </cell>
          <cell r="Q1003" t="str">
            <v>媒体Ⅲ</v>
          </cell>
          <cell r="BC1003">
            <v>7.7519379844960736E-3</v>
          </cell>
          <cell r="BD1003">
            <v>-4.9939098660170642E-2</v>
          </cell>
          <cell r="BE1003">
            <v>-0.40508235741016885</v>
          </cell>
          <cell r="BF1003">
            <v>0.43562400817871094</v>
          </cell>
          <cell r="BG1003">
            <v>0.14101200103759765</v>
          </cell>
        </row>
        <row r="1004">
          <cell r="D1004" t="str">
            <v>工业机械</v>
          </cell>
          <cell r="M1004">
            <v>44.758527999999998</v>
          </cell>
          <cell r="N1004">
            <v>28.879463493464442</v>
          </cell>
          <cell r="O1004" t="str">
            <v>工业</v>
          </cell>
          <cell r="P1004" t="str">
            <v>资本货物</v>
          </cell>
          <cell r="Q1004" t="str">
            <v>机械</v>
          </cell>
          <cell r="BC1004">
            <v>0</v>
          </cell>
          <cell r="BD1004">
            <v>0</v>
          </cell>
          <cell r="BE1004">
            <v>0.67814631707317063</v>
          </cell>
          <cell r="BF1004">
            <v>0</v>
          </cell>
          <cell r="BG1004">
            <v>0</v>
          </cell>
        </row>
        <row r="1005">
          <cell r="D1005" t="str">
            <v>家用电器</v>
          </cell>
          <cell r="M1005">
            <v>84.063279999999992</v>
          </cell>
          <cell r="N1005">
            <v>54.231539836811947</v>
          </cell>
          <cell r="O1005" t="str">
            <v>可选消费</v>
          </cell>
          <cell r="P1005" t="str">
            <v>耐用消费品与服装</v>
          </cell>
          <cell r="Q1005" t="str">
            <v>家庭耐用消费品</v>
          </cell>
          <cell r="BC1005">
            <v>8.3752093802344756E-3</v>
          </cell>
          <cell r="BD1005">
            <v>-3.6800000000000069E-2</v>
          </cell>
          <cell r="BE1005">
            <v>-0.40053258369900652</v>
          </cell>
          <cell r="BF1005">
            <v>-5.7095999717712405E-2</v>
          </cell>
          <cell r="BG1005">
            <v>1.497599959373474E-2</v>
          </cell>
        </row>
        <row r="1006">
          <cell r="D1006" t="str">
            <v>建筑机械与重型卡车</v>
          </cell>
          <cell r="M1006">
            <v>57.436131110599995</v>
          </cell>
          <cell r="N1006">
            <v>37.051720976700004</v>
          </cell>
          <cell r="O1006" t="str">
            <v>工业</v>
          </cell>
          <cell r="P1006" t="str">
            <v>资本货物</v>
          </cell>
          <cell r="Q1006" t="str">
            <v>机械</v>
          </cell>
          <cell r="BC1006">
            <v>2.7334851936218704E-2</v>
          </cell>
          <cell r="BD1006">
            <v>-6.607929515418557E-3</v>
          </cell>
          <cell r="BE1006">
            <v>1.0078387458006703E-2</v>
          </cell>
          <cell r="BF1006">
            <v>0.3032040023803711</v>
          </cell>
          <cell r="BG1006">
            <v>5.2151999473571777E-2</v>
          </cell>
        </row>
        <row r="1007">
          <cell r="D1007" t="str">
            <v>药品零售</v>
          </cell>
          <cell r="M1007">
            <v>66.11196489999999</v>
          </cell>
          <cell r="N1007">
            <v>42.61971253614832</v>
          </cell>
          <cell r="O1007" t="str">
            <v>日常消费</v>
          </cell>
          <cell r="P1007" t="str">
            <v>食品与主要用品零售Ⅱ</v>
          </cell>
          <cell r="Q1007" t="str">
            <v>食品与主要用品零售Ⅲ</v>
          </cell>
          <cell r="BC1007">
            <v>1.8846757908907254E-2</v>
          </cell>
          <cell r="BD1007">
            <v>3.228006365082961E-2</v>
          </cell>
          <cell r="BE1007">
            <v>0.13591034712586217</v>
          </cell>
          <cell r="BF1007">
            <v>0.47405998229980467</v>
          </cell>
          <cell r="BG1007">
            <v>0.30510000228881834</v>
          </cell>
        </row>
        <row r="1008">
          <cell r="D1008" t="str">
            <v>机动车零配件与设备</v>
          </cell>
          <cell r="M1008">
            <v>100.20784996880001</v>
          </cell>
          <cell r="N1008">
            <v>64.593314211154592</v>
          </cell>
          <cell r="O1008" t="str">
            <v>可选消费</v>
          </cell>
          <cell r="P1008" t="str">
            <v>汽车与汽车零部件</v>
          </cell>
          <cell r="Q1008" t="str">
            <v>汽车零配件</v>
          </cell>
          <cell r="BC1008">
            <v>8.9034676663542575E-2</v>
          </cell>
          <cell r="BD1008">
            <v>1.2195121951219407E-2</v>
          </cell>
          <cell r="BE1008">
            <v>3.7317412618986509E-2</v>
          </cell>
          <cell r="BF1008">
            <v>0.43072799682617186</v>
          </cell>
          <cell r="BG1008">
            <v>0.18648000717163085</v>
          </cell>
        </row>
        <row r="1009">
          <cell r="D1009" t="str">
            <v>白酒与葡萄酒</v>
          </cell>
          <cell r="M1009">
            <v>79.739999999999995</v>
          </cell>
          <cell r="N1009">
            <v>51.398221987273715</v>
          </cell>
          <cell r="O1009" t="str">
            <v>日常消费</v>
          </cell>
          <cell r="P1009" t="str">
            <v>食品、饮料与烟草</v>
          </cell>
          <cell r="Q1009" t="str">
            <v>饮料</v>
          </cell>
          <cell r="BC1009">
            <v>3.397508493771162E-3</v>
          </cell>
          <cell r="BD1009">
            <v>2.8438769587927942E-2</v>
          </cell>
          <cell r="BE1009">
            <v>-0.31310576907393389</v>
          </cell>
          <cell r="BF1009">
            <v>2.9879999160766602E-2</v>
          </cell>
          <cell r="BG1009">
            <v>0</v>
          </cell>
        </row>
        <row r="1010">
          <cell r="D1010" t="str">
            <v>工业机械</v>
          </cell>
          <cell r="M1010">
            <v>123.93738</v>
          </cell>
          <cell r="N1010">
            <v>79.856585712405931</v>
          </cell>
          <cell r="O1010" t="str">
            <v>工业</v>
          </cell>
          <cell r="P1010" t="str">
            <v>资本货物</v>
          </cell>
          <cell r="Q1010" t="str">
            <v>机械</v>
          </cell>
          <cell r="BC1010">
            <v>2.9804727646454175E-2</v>
          </cell>
          <cell r="BD1010">
            <v>0.15260736196319022</v>
          </cell>
          <cell r="BE1010">
            <v>-0.1930780337892197</v>
          </cell>
          <cell r="BF1010">
            <v>0</v>
          </cell>
          <cell r="BG1010">
            <v>0</v>
          </cell>
        </row>
        <row r="1011">
          <cell r="D1011" t="str">
            <v>家用电器</v>
          </cell>
          <cell r="M1011">
            <v>63.2</v>
          </cell>
          <cell r="N1011">
            <v>40.717233638775227</v>
          </cell>
          <cell r="O1011" t="str">
            <v>可选消费</v>
          </cell>
          <cell r="P1011" t="str">
            <v>耐用消费品与服装</v>
          </cell>
          <cell r="Q1011" t="str">
            <v>家庭耐用消费品</v>
          </cell>
          <cell r="BC1011">
            <v>8.9399744572158726E-3</v>
          </cell>
          <cell r="BD1011">
            <v>6.3694267515924472E-3</v>
          </cell>
          <cell r="BE1011">
            <v>-0.25590568912937794</v>
          </cell>
          <cell r="BF1011">
            <v>0.19954799652099608</v>
          </cell>
          <cell r="BG1011">
            <v>0</v>
          </cell>
        </row>
        <row r="1012">
          <cell r="D1012" t="str">
            <v>水务</v>
          </cell>
          <cell r="M1012">
            <v>122.456199294</v>
          </cell>
          <cell r="N1012">
            <v>78.844399792452833</v>
          </cell>
          <cell r="O1012" t="str">
            <v>公用事业</v>
          </cell>
          <cell r="P1012" t="str">
            <v>公用事业Ⅱ</v>
          </cell>
          <cell r="Q1012" t="str">
            <v>水务Ⅲ</v>
          </cell>
          <cell r="BC1012">
            <v>5.8616647127785132E-3</v>
          </cell>
          <cell r="BD1012">
            <v>-1.7182130584192479E-2</v>
          </cell>
          <cell r="BE1012">
            <v>-0.36657329566587998</v>
          </cell>
          <cell r="BF1012">
            <v>4.1339998245239255E-2</v>
          </cell>
          <cell r="BG1012">
            <v>0.10939200401306153</v>
          </cell>
        </row>
        <row r="1013">
          <cell r="D1013" t="str">
            <v>百货商店</v>
          </cell>
          <cell r="M1013">
            <v>61.028016279999996</v>
          </cell>
          <cell r="N1013">
            <v>39.292022762913035</v>
          </cell>
          <cell r="O1013" t="str">
            <v>可选消费</v>
          </cell>
          <cell r="P1013" t="str">
            <v>零售业</v>
          </cell>
          <cell r="Q1013" t="str">
            <v>多元化零售</v>
          </cell>
          <cell r="BC1013">
            <v>-1.0101010101010211E-2</v>
          </cell>
          <cell r="BD1013">
            <v>-4.1777777777777837E-2</v>
          </cell>
          <cell r="BE1013">
            <v>-0.41886389878149477</v>
          </cell>
          <cell r="BF1013">
            <v>4.7699999809265134E-2</v>
          </cell>
          <cell r="BG1013">
            <v>6.1859998703002933E-2</v>
          </cell>
        </row>
        <row r="1014">
          <cell r="D1014" t="str">
            <v>食品加工与肉类</v>
          </cell>
          <cell r="M1014">
            <v>95.218431617600004</v>
          </cell>
          <cell r="N1014">
            <v>61.275380641516456</v>
          </cell>
          <cell r="O1014" t="str">
            <v>日常消费</v>
          </cell>
          <cell r="P1014" t="str">
            <v>食品、饮料与烟草</v>
          </cell>
          <cell r="Q1014" t="str">
            <v>食品</v>
          </cell>
          <cell r="BC1014">
            <v>0</v>
          </cell>
          <cell r="BD1014">
            <v>0</v>
          </cell>
          <cell r="BE1014">
            <v>-0.32655246252676656</v>
          </cell>
          <cell r="BF1014">
            <v>0.28020000457763672</v>
          </cell>
          <cell r="BG1014">
            <v>2.9964001178741456E-2</v>
          </cell>
        </row>
        <row r="1015">
          <cell r="D1015" t="str">
            <v>电子元件</v>
          </cell>
          <cell r="M1015">
            <v>111.217169255</v>
          </cell>
          <cell r="N1015">
            <v>71.564707809665336</v>
          </cell>
          <cell r="O1015" t="str">
            <v>信息技术</v>
          </cell>
          <cell r="P1015" t="str">
            <v>技术硬件与设备</v>
          </cell>
          <cell r="Q1015" t="str">
            <v>电子设备、仪器和元件</v>
          </cell>
          <cell r="BC1015">
            <v>7.7369439071566454E-3</v>
          </cell>
          <cell r="BD1015">
            <v>0.12043010752688176</v>
          </cell>
          <cell r="BE1015">
            <v>0.37393287954054805</v>
          </cell>
          <cell r="BF1015">
            <v>0.19271999359130859</v>
          </cell>
          <cell r="BG1015">
            <v>0.31539600372314452</v>
          </cell>
        </row>
        <row r="1016">
          <cell r="D1016" t="str">
            <v>生物科技</v>
          </cell>
          <cell r="M1016">
            <v>125.62207534799998</v>
          </cell>
          <cell r="N1016">
            <v>80.831637939911474</v>
          </cell>
          <cell r="O1016" t="str">
            <v>医疗保健</v>
          </cell>
          <cell r="P1016" t="str">
            <v>制药、生物科技与生命科学</v>
          </cell>
          <cell r="Q1016" t="str">
            <v>生物科技Ⅲ</v>
          </cell>
          <cell r="BC1016">
            <v>-6.131010003226774E-3</v>
          </cell>
          <cell r="BD1016">
            <v>-4.5248868778280729E-3</v>
          </cell>
          <cell r="BE1016">
            <v>0.61704207942690348</v>
          </cell>
          <cell r="BF1016">
            <v>0.62560798645019533</v>
          </cell>
          <cell r="BG1016">
            <v>0.34622398376464841</v>
          </cell>
        </row>
        <row r="1017">
          <cell r="D1017" t="str">
            <v>工业机械</v>
          </cell>
          <cell r="M1017">
            <v>75.922428162499997</v>
          </cell>
          <cell r="N1017">
            <v>48.850494266595518</v>
          </cell>
          <cell r="O1017" t="str">
            <v>工业</v>
          </cell>
          <cell r="P1017" t="str">
            <v>资本货物</v>
          </cell>
          <cell r="Q1017" t="str">
            <v>机械</v>
          </cell>
          <cell r="BC1017">
            <v>0.10072376357056706</v>
          </cell>
          <cell r="BD1017">
            <v>2.470522178551383E-2</v>
          </cell>
          <cell r="BE1017">
            <v>0.36316803843128675</v>
          </cell>
          <cell r="BF1017">
            <v>0.567599983215332</v>
          </cell>
          <cell r="BG1017">
            <v>0.27923999786376952</v>
          </cell>
        </row>
        <row r="1018">
          <cell r="D1018" t="str">
            <v>纸包装</v>
          </cell>
          <cell r="M1018">
            <v>159.4896</v>
          </cell>
          <cell r="N1018">
            <v>102.59785982929927</v>
          </cell>
          <cell r="O1018" t="str">
            <v>材料</v>
          </cell>
          <cell r="P1018" t="str">
            <v>材料Ⅱ</v>
          </cell>
          <cell r="Q1018" t="str">
            <v>容器与包装</v>
          </cell>
          <cell r="BC1018">
            <v>3.3364226135310586E-2</v>
          </cell>
          <cell r="BD1018">
            <v>9.9637681159421392E-3</v>
          </cell>
          <cell r="BE1018">
            <v>-7.6964279639880936E-2</v>
          </cell>
          <cell r="BF1018">
            <v>0.66512397766113285</v>
          </cell>
          <cell r="BG1018">
            <v>0.32560798645019529</v>
          </cell>
        </row>
        <row r="1019">
          <cell r="D1019" t="str">
            <v>贸易公司与工业品经销商</v>
          </cell>
          <cell r="M1019">
            <v>224.1179170776</v>
          </cell>
          <cell r="N1019">
            <v>144.16760728362928</v>
          </cell>
          <cell r="O1019" t="str">
            <v>工业</v>
          </cell>
          <cell r="P1019" t="str">
            <v>资本货物</v>
          </cell>
          <cell r="Q1019" t="str">
            <v>贸易公司与工业品经销商Ⅲ</v>
          </cell>
          <cell r="BC1019">
            <v>3.7854889589905301E-2</v>
          </cell>
          <cell r="BD1019">
            <v>-4.7297297297297321E-2</v>
          </cell>
          <cell r="BE1019">
            <v>-0.41262498243416801</v>
          </cell>
          <cell r="BF1019">
            <v>-0.1724519920349121</v>
          </cell>
          <cell r="BG1019">
            <v>0.4407360076904297</v>
          </cell>
        </row>
        <row r="1020">
          <cell r="D1020" t="str">
            <v>建材</v>
          </cell>
          <cell r="M1020">
            <v>51.2268463443</v>
          </cell>
          <cell r="N1020">
            <v>32.949543784607272</v>
          </cell>
          <cell r="O1020" t="str">
            <v>材料</v>
          </cell>
          <cell r="P1020" t="str">
            <v>材料Ⅱ</v>
          </cell>
          <cell r="Q1020" t="str">
            <v>建材Ⅲ</v>
          </cell>
          <cell r="BC1020">
            <v>-1.3235294117647038E-2</v>
          </cell>
          <cell r="BD1020">
            <v>-0.13082901554404142</v>
          </cell>
          <cell r="BE1020">
            <v>-0.15609161456971629</v>
          </cell>
          <cell r="BF1020">
            <v>0.16990800857543945</v>
          </cell>
          <cell r="BG1020">
            <v>-5.8175997734069826E-2</v>
          </cell>
        </row>
        <row r="1021">
          <cell r="D1021" t="str">
            <v>房地产经营公司</v>
          </cell>
          <cell r="M1021">
            <v>62.400813792000001</v>
          </cell>
          <cell r="N1021">
            <v>40.122352265934047</v>
          </cell>
          <cell r="O1021" t="str">
            <v>金融</v>
          </cell>
          <cell r="P1021" t="str">
            <v>房地产</v>
          </cell>
          <cell r="Q1021" t="str">
            <v>房地产管理与开发</v>
          </cell>
          <cell r="BC1021">
            <v>0</v>
          </cell>
          <cell r="BD1021">
            <v>3.3670033670032949E-3</v>
          </cell>
          <cell r="BE1021">
            <v>-0.28913200600421912</v>
          </cell>
          <cell r="BF1021">
            <v>0.30277200698852541</v>
          </cell>
          <cell r="BG1021">
            <v>7.2803997993469233E-2</v>
          </cell>
        </row>
        <row r="1022">
          <cell r="D1022" t="str">
            <v>通信设备</v>
          </cell>
          <cell r="M1022">
            <v>72.386470847200002</v>
          </cell>
          <cell r="N1022">
            <v>46.541392901665112</v>
          </cell>
          <cell r="O1022" t="str">
            <v>信息技术</v>
          </cell>
          <cell r="P1022" t="str">
            <v>技术硬件与设备</v>
          </cell>
          <cell r="Q1022" t="str">
            <v>通信设备Ⅲ</v>
          </cell>
          <cell r="BC1022">
            <v>2.4749163879598728E-2</v>
          </cell>
          <cell r="BD1022">
            <v>-1.9206145966709279E-2</v>
          </cell>
          <cell r="BE1022">
            <v>0.27061060611170168</v>
          </cell>
          <cell r="BF1022">
            <v>0.5729999923706055</v>
          </cell>
          <cell r="BG1022">
            <v>0.1535159969329834</v>
          </cell>
        </row>
        <row r="1023">
          <cell r="D1023" t="str">
            <v>出版</v>
          </cell>
          <cell r="M1023">
            <v>194.403849724</v>
          </cell>
          <cell r="N1023">
            <v>124.9538419889511</v>
          </cell>
          <cell r="O1023" t="str">
            <v>可选消费</v>
          </cell>
          <cell r="P1023" t="str">
            <v>媒体Ⅱ</v>
          </cell>
          <cell r="Q1023" t="str">
            <v>媒体Ⅲ</v>
          </cell>
          <cell r="BC1023">
            <v>0.18037518037518038</v>
          </cell>
          <cell r="BD1023">
            <v>5.8214747736093052E-2</v>
          </cell>
          <cell r="BE1023">
            <v>-0.27405370022919723</v>
          </cell>
          <cell r="BF1023">
            <v>-5.2091999053955076E-2</v>
          </cell>
          <cell r="BG1023">
            <v>0.2608799934387207</v>
          </cell>
        </row>
        <row r="1024">
          <cell r="D1024" t="str">
            <v>休闲用品</v>
          </cell>
          <cell r="M1024">
            <v>518.46630359999995</v>
          </cell>
          <cell r="N1024">
            <v>333.16918157753179</v>
          </cell>
          <cell r="O1024" t="str">
            <v>可选消费</v>
          </cell>
          <cell r="P1024" t="str">
            <v>耐用消费品与服装</v>
          </cell>
          <cell r="Q1024" t="str">
            <v>休闲设备与用品</v>
          </cell>
          <cell r="BC1024">
            <v>1.8127638440526367E-2</v>
          </cell>
          <cell r="BD1024">
            <v>1.9393336648433644E-2</v>
          </cell>
          <cell r="BE1024">
            <v>0.92736929044656236</v>
          </cell>
          <cell r="BF1024">
            <v>0.55798801422119138</v>
          </cell>
          <cell r="BG1024">
            <v>0.45982799530029295</v>
          </cell>
        </row>
        <row r="1025">
          <cell r="D1025" t="str">
            <v>通信设备</v>
          </cell>
          <cell r="M1025">
            <v>70.272102536100007</v>
          </cell>
          <cell r="N1025">
            <v>45.150047369932125</v>
          </cell>
          <cell r="O1025" t="str">
            <v>信息技术</v>
          </cell>
          <cell r="P1025" t="str">
            <v>技术硬件与设备</v>
          </cell>
          <cell r="Q1025" t="str">
            <v>通信设备Ⅲ</v>
          </cell>
          <cell r="BC1025">
            <v>2.1022109459949322E-2</v>
          </cell>
          <cell r="BD1025">
            <v>-6.9682959048877127E-2</v>
          </cell>
          <cell r="BE1025">
            <v>5.7038836021906687E-2</v>
          </cell>
          <cell r="BF1025">
            <v>0.53746799468994144</v>
          </cell>
          <cell r="BG1025">
            <v>8.425200462341309E-2</v>
          </cell>
        </row>
        <row r="1026">
          <cell r="D1026" t="str">
            <v>通信设备</v>
          </cell>
          <cell r="M1026">
            <v>177.83761438279998</v>
          </cell>
          <cell r="N1026">
            <v>114.23190001043133</v>
          </cell>
          <cell r="O1026" t="str">
            <v>信息技术</v>
          </cell>
          <cell r="P1026" t="str">
            <v>技术硬件与设备</v>
          </cell>
          <cell r="Q1026" t="str">
            <v>通信设备Ⅲ</v>
          </cell>
          <cell r="BC1026">
            <v>-2.5893149786955182E-2</v>
          </cell>
          <cell r="BD1026">
            <v>7.253699025622512E-2</v>
          </cell>
          <cell r="BE1026">
            <v>1.3141899901928018</v>
          </cell>
          <cell r="BF1026">
            <v>0.99893997192382811</v>
          </cell>
          <cell r="BG1026">
            <v>0.41687999725341796</v>
          </cell>
        </row>
        <row r="1027">
          <cell r="D1027" t="str">
            <v>基础化工</v>
          </cell>
          <cell r="M1027">
            <v>32.426185311099999</v>
          </cell>
          <cell r="N1027">
            <v>20.828235040179631</v>
          </cell>
          <cell r="O1027" t="str">
            <v>材料</v>
          </cell>
          <cell r="P1027" t="str">
            <v>材料Ⅱ</v>
          </cell>
          <cell r="Q1027" t="str">
            <v>化工</v>
          </cell>
          <cell r="BC1027">
            <v>1.4492753623188096E-3</v>
          </cell>
          <cell r="BD1027">
            <v>-5.7553956834532427E-3</v>
          </cell>
          <cell r="BE1027">
            <v>0.29158878504672908</v>
          </cell>
          <cell r="BF1027">
            <v>0.47784000396728515</v>
          </cell>
          <cell r="BG1027">
            <v>-5.6723999977111819E-2</v>
          </cell>
        </row>
        <row r="1028">
          <cell r="D1028" t="str">
            <v>通信设备</v>
          </cell>
          <cell r="M1028">
            <v>67.603086501999996</v>
          </cell>
          <cell r="N1028">
            <v>43.413709267723561</v>
          </cell>
          <cell r="O1028" t="str">
            <v>信息技术</v>
          </cell>
          <cell r="P1028" t="str">
            <v>技术硬件与设备</v>
          </cell>
          <cell r="Q1028" t="str">
            <v>通信设备Ⅲ</v>
          </cell>
          <cell r="BC1028">
            <v>2.696272799365582E-2</v>
          </cell>
          <cell r="BD1028">
            <v>-4.2867701404286779E-2</v>
          </cell>
          <cell r="BE1028">
            <v>-0.19511968488267045</v>
          </cell>
          <cell r="BF1028">
            <v>0.52864799499511717</v>
          </cell>
          <cell r="BG1028">
            <v>0</v>
          </cell>
        </row>
        <row r="1029">
          <cell r="D1029" t="str">
            <v>通信设备</v>
          </cell>
          <cell r="M1029">
            <v>62.182678600000003</v>
          </cell>
          <cell r="N1029">
            <v>39.931954185888252</v>
          </cell>
          <cell r="O1029" t="str">
            <v>信息技术</v>
          </cell>
          <cell r="P1029" t="str">
            <v>技术硬件与设备</v>
          </cell>
          <cell r="Q1029" t="str">
            <v>通信设备Ⅲ</v>
          </cell>
          <cell r="BC1029">
            <v>4.0160642570280262E-3</v>
          </cell>
          <cell r="BD1029">
            <v>-8.0036798528058811E-2</v>
          </cell>
          <cell r="BE1029">
            <v>2.3860877354224728E-2</v>
          </cell>
          <cell r="BF1029">
            <v>0.74761199951171875</v>
          </cell>
          <cell r="BG1029">
            <v>0.22612800598144531</v>
          </cell>
        </row>
        <row r="1030">
          <cell r="D1030" t="str">
            <v>水务</v>
          </cell>
          <cell r="M1030">
            <v>68.686346185600001</v>
          </cell>
          <cell r="N1030">
            <v>44.089469062679456</v>
          </cell>
          <cell r="O1030" t="str">
            <v>公用事业</v>
          </cell>
          <cell r="P1030" t="str">
            <v>公用事业Ⅱ</v>
          </cell>
          <cell r="Q1030" t="str">
            <v>水务Ⅲ</v>
          </cell>
          <cell r="BC1030">
            <v>0</v>
          </cell>
          <cell r="BD1030">
            <v>0</v>
          </cell>
          <cell r="BE1030">
            <v>-0.3558310880347979</v>
          </cell>
          <cell r="BF1030">
            <v>0.16333200454711913</v>
          </cell>
          <cell r="BG1030">
            <v>8.6412000656127932E-2</v>
          </cell>
        </row>
        <row r="1031">
          <cell r="D1031" t="str">
            <v>复合型公用事业</v>
          </cell>
          <cell r="M1031">
            <v>75.414344999999997</v>
          </cell>
          <cell r="N1031">
            <v>48.405426771822924</v>
          </cell>
          <cell r="O1031" t="str">
            <v>公用事业</v>
          </cell>
          <cell r="P1031" t="str">
            <v>公用事业Ⅱ</v>
          </cell>
          <cell r="Q1031" t="str">
            <v>复合型公用事业Ⅲ</v>
          </cell>
          <cell r="BC1031">
            <v>2.1164021164022592E-3</v>
          </cell>
          <cell r="BD1031">
            <v>0</v>
          </cell>
          <cell r="BE1031">
            <v>-0.30362289788530117</v>
          </cell>
          <cell r="BF1031">
            <v>0.20704799652099609</v>
          </cell>
          <cell r="BG1031">
            <v>2.2632000446319581E-2</v>
          </cell>
        </row>
        <row r="1032">
          <cell r="D1032" t="str">
            <v>资产管理与托管银行</v>
          </cell>
          <cell r="M1032">
            <v>192.38311031699999</v>
          </cell>
          <cell r="N1032">
            <v>123.44544292787708</v>
          </cell>
          <cell r="O1032" t="str">
            <v>金融</v>
          </cell>
          <cell r="P1032" t="str">
            <v>多元金融</v>
          </cell>
          <cell r="Q1032" t="str">
            <v>资本市场</v>
          </cell>
          <cell r="BC1032">
            <v>5.3299492385786719E-2</v>
          </cell>
          <cell r="BD1032">
            <v>0.10176991150442465</v>
          </cell>
          <cell r="BE1032">
            <v>-6.7095904127498593E-2</v>
          </cell>
          <cell r="BF1032">
            <v>0.31648799896240232</v>
          </cell>
          <cell r="BG1032">
            <v>0.27208799362182617</v>
          </cell>
        </row>
        <row r="1033">
          <cell r="D1033" t="str">
            <v>中药</v>
          </cell>
          <cell r="M1033">
            <v>400.33216947780005</v>
          </cell>
          <cell r="N1033">
            <v>256.86101114637626</v>
          </cell>
          <cell r="O1033" t="str">
            <v>医疗保健</v>
          </cell>
          <cell r="P1033" t="str">
            <v>制药、生物科技与生命科学</v>
          </cell>
          <cell r="Q1033" t="str">
            <v>制药</v>
          </cell>
          <cell r="BC1033">
            <v>3.7826685006878608E-3</v>
          </cell>
          <cell r="BD1033">
            <v>-3.6633663366336611E-2</v>
          </cell>
          <cell r="BE1033">
            <v>0.12319630336238763</v>
          </cell>
          <cell r="BF1033">
            <v>0.38436000823974609</v>
          </cell>
          <cell r="BG1033">
            <v>0.2397719955444336</v>
          </cell>
        </row>
        <row r="1034">
          <cell r="D1034" t="str">
            <v>通信设备</v>
          </cell>
          <cell r="M1034">
            <v>54.210004925999996</v>
          </cell>
          <cell r="N1034">
            <v>34.77448526082933</v>
          </cell>
          <cell r="O1034" t="str">
            <v>信息技术</v>
          </cell>
          <cell r="P1034" t="str">
            <v>技术硬件与设备</v>
          </cell>
          <cell r="Q1034" t="str">
            <v>通信设备Ⅲ</v>
          </cell>
          <cell r="BC1034">
            <v>0.23796731587194975</v>
          </cell>
          <cell r="BD1034">
            <v>-2.1238938053097397E-2</v>
          </cell>
          <cell r="BE1034">
            <v>-4.4444851441638504E-2</v>
          </cell>
          <cell r="BF1034">
            <v>0.53602798461914059</v>
          </cell>
          <cell r="BG1034">
            <v>0</v>
          </cell>
        </row>
        <row r="1035">
          <cell r="D1035" t="str">
            <v>机动车零配件与设备</v>
          </cell>
          <cell r="M1035">
            <v>143.78552475000001</v>
          </cell>
          <cell r="N1035">
            <v>92.217782366443615</v>
          </cell>
          <cell r="O1035" t="str">
            <v>可选消费</v>
          </cell>
          <cell r="P1035" t="str">
            <v>汽车与汽车零部件</v>
          </cell>
          <cell r="Q1035" t="str">
            <v>汽车零配件</v>
          </cell>
          <cell r="BC1035">
            <v>1.025236593059943E-2</v>
          </cell>
          <cell r="BD1035">
            <v>-7.3752711496746171E-2</v>
          </cell>
          <cell r="BE1035">
            <v>-0.17937219730941698</v>
          </cell>
          <cell r="BF1035">
            <v>0.50076000213623051</v>
          </cell>
          <cell r="BG1035">
            <v>0.19567199707031249</v>
          </cell>
        </row>
        <row r="1036">
          <cell r="D1036" t="str">
            <v>家用器具与特殊消费品</v>
          </cell>
          <cell r="M1036">
            <v>35.856807999999994</v>
          </cell>
          <cell r="N1036">
            <v>22.994822252842958</v>
          </cell>
          <cell r="O1036" t="str">
            <v>可选消费</v>
          </cell>
          <cell r="P1036" t="str">
            <v>耐用消费品与服装</v>
          </cell>
          <cell r="Q1036" t="str">
            <v>家庭耐用消费品</v>
          </cell>
          <cell r="BC1036">
            <v>0.14272030651341</v>
          </cell>
          <cell r="BD1036">
            <v>0.18294496777392152</v>
          </cell>
          <cell r="BE1036">
            <v>0.24032250955521878</v>
          </cell>
          <cell r="BF1036">
            <v>0.35671199798583986</v>
          </cell>
          <cell r="BG1036">
            <v>0.23960399627685547</v>
          </cell>
        </row>
        <row r="1037">
          <cell r="D1037" t="str">
            <v>有线和卫星电视</v>
          </cell>
          <cell r="M1037">
            <v>442.53758704450001</v>
          </cell>
          <cell r="N1037">
            <v>283.78552169516837</v>
          </cell>
          <cell r="O1037" t="str">
            <v>可选消费</v>
          </cell>
          <cell r="P1037" t="str">
            <v>媒体Ⅱ</v>
          </cell>
          <cell r="Q1037" t="str">
            <v>媒体Ⅲ</v>
          </cell>
          <cell r="BC1037">
            <v>-6.0402684563758292E-3</v>
          </cell>
          <cell r="BD1037">
            <v>-2.8852459016393411E-2</v>
          </cell>
          <cell r="BE1037">
            <v>0</v>
          </cell>
          <cell r="BF1037">
            <v>0</v>
          </cell>
          <cell r="BG1037">
            <v>0</v>
          </cell>
        </row>
        <row r="1038">
          <cell r="D1038" t="str">
            <v>房地产开发</v>
          </cell>
          <cell r="M1038">
            <v>75.372124057999997</v>
          </cell>
          <cell r="N1038">
            <v>48.319739447321723</v>
          </cell>
          <cell r="O1038" t="str">
            <v>金融</v>
          </cell>
          <cell r="P1038" t="str">
            <v>房地产</v>
          </cell>
          <cell r="Q1038" t="str">
            <v>房地产管理与开发</v>
          </cell>
          <cell r="BC1038">
            <v>8.3682008368200722E-2</v>
          </cell>
          <cell r="BD1038">
            <v>6.3655030800821272E-2</v>
          </cell>
          <cell r="BE1038">
            <v>-5.6425839204318005E-2</v>
          </cell>
          <cell r="BF1038">
            <v>0.17954399108886718</v>
          </cell>
          <cell r="BG1038">
            <v>0.12130800247192383</v>
          </cell>
        </row>
        <row r="1039">
          <cell r="D1039" t="str">
            <v>电力</v>
          </cell>
          <cell r="M1039">
            <v>89.901898860800003</v>
          </cell>
          <cell r="N1039">
            <v>57.610840342611418</v>
          </cell>
          <cell r="O1039" t="str">
            <v>公用事业</v>
          </cell>
          <cell r="P1039" t="str">
            <v>公用事业Ⅱ</v>
          </cell>
          <cell r="Q1039" t="str">
            <v>电力Ⅲ</v>
          </cell>
          <cell r="BC1039">
            <v>4.785894206549117E-2</v>
          </cell>
          <cell r="BD1039">
            <v>-2.6900584795321685E-2</v>
          </cell>
          <cell r="BE1039">
            <v>7.289913573983807E-2</v>
          </cell>
          <cell r="BF1039">
            <v>0.38922000885009767</v>
          </cell>
          <cell r="BG1039">
            <v>0.15394800186157226</v>
          </cell>
        </row>
        <row r="1040">
          <cell r="D1040" t="str">
            <v>机场服务</v>
          </cell>
          <cell r="M1040">
            <v>118.48401197999999</v>
          </cell>
          <cell r="N1040">
            <v>75.916525401074509</v>
          </cell>
          <cell r="O1040" t="str">
            <v>工业</v>
          </cell>
          <cell r="P1040" t="str">
            <v>运输</v>
          </cell>
          <cell r="Q1040" t="str">
            <v>交通基础设施</v>
          </cell>
          <cell r="BC1040">
            <v>1.8788163457021676E-3</v>
          </cell>
          <cell r="BD1040">
            <v>-8.6118251928020639E-2</v>
          </cell>
          <cell r="BE1040">
            <v>-0.25566018470682728</v>
          </cell>
          <cell r="BF1040">
            <v>0.77974800109863285</v>
          </cell>
          <cell r="BG1040">
            <v>0.42103199005126951</v>
          </cell>
        </row>
        <row r="1041">
          <cell r="D1041" t="str">
            <v>西药</v>
          </cell>
          <cell r="M1041">
            <v>48.485306469600005</v>
          </cell>
          <cell r="N1041">
            <v>31.064214566393609</v>
          </cell>
          <cell r="O1041" t="str">
            <v>医疗保健</v>
          </cell>
          <cell r="P1041" t="str">
            <v>制药、生物科技与生命科学</v>
          </cell>
          <cell r="Q1041" t="str">
            <v>制药</v>
          </cell>
          <cell r="BC1041">
            <v>5.6478405315614599E-2</v>
          </cell>
          <cell r="BD1041">
            <v>-1.1398963730570073E-2</v>
          </cell>
          <cell r="BE1041">
            <v>7.8962932369716632E-2</v>
          </cell>
          <cell r="BF1041">
            <v>0.39279598236083985</v>
          </cell>
          <cell r="BG1041">
            <v>0</v>
          </cell>
        </row>
        <row r="1042">
          <cell r="D1042" t="str">
            <v>建材</v>
          </cell>
          <cell r="M1042">
            <v>137.01714033989998</v>
          </cell>
          <cell r="N1042">
            <v>87.782867634801576</v>
          </cell>
          <cell r="O1042" t="str">
            <v>材料</v>
          </cell>
          <cell r="P1042" t="str">
            <v>材料Ⅱ</v>
          </cell>
          <cell r="Q1042" t="str">
            <v>建材Ⅲ</v>
          </cell>
          <cell r="BC1042">
            <v>4.1501976284584977E-2</v>
          </cell>
          <cell r="BD1042">
            <v>-3.7807183364840192E-3</v>
          </cell>
          <cell r="BE1042">
            <v>-0.44932079414838044</v>
          </cell>
          <cell r="BF1042">
            <v>0.2770919990539551</v>
          </cell>
          <cell r="BG1042">
            <v>3.0480000376701356E-3</v>
          </cell>
        </row>
        <row r="1043">
          <cell r="D1043" t="str">
            <v>酒店、度假村与豪华游轮</v>
          </cell>
          <cell r="M1043">
            <v>113.48996000000001</v>
          </cell>
          <cell r="N1043">
            <v>72.698021008688599</v>
          </cell>
          <cell r="O1043" t="str">
            <v>可选消费</v>
          </cell>
          <cell r="P1043" t="str">
            <v>消费者服务Ⅱ</v>
          </cell>
          <cell r="Q1043" t="str">
            <v>酒店、餐馆与休闲Ⅲ</v>
          </cell>
          <cell r="BC1043">
            <v>0</v>
          </cell>
          <cell r="BD1043">
            <v>-4.3706293706292773E-3</v>
          </cell>
          <cell r="BE1043">
            <v>0.18063698876072853</v>
          </cell>
          <cell r="BF1043">
            <v>0.32601600646972656</v>
          </cell>
          <cell r="BG1043">
            <v>5.1648001670837405E-2</v>
          </cell>
        </row>
        <row r="1044">
          <cell r="D1044" t="str">
            <v>金属非金属</v>
          </cell>
          <cell r="M1044">
            <v>34.294548065500003</v>
          </cell>
          <cell r="N1044">
            <v>21.961308731283257</v>
          </cell>
          <cell r="O1044" t="str">
            <v>材料</v>
          </cell>
          <cell r="P1044" t="str">
            <v>材料Ⅱ</v>
          </cell>
          <cell r="Q1044" t="str">
            <v>金属、非金属与采矿</v>
          </cell>
          <cell r="BC1044">
            <v>4.6783625730993147E-3</v>
          </cell>
          <cell r="BD1044">
            <v>-6.4270152505446612E-2</v>
          </cell>
          <cell r="BE1044">
            <v>-0.1180698151950719</v>
          </cell>
          <cell r="BF1044">
            <v>0.11695199966430664</v>
          </cell>
          <cell r="BG1044">
            <v>0.10473600387573243</v>
          </cell>
        </row>
        <row r="1045">
          <cell r="D1045" t="str">
            <v>家用器具与特殊消费品</v>
          </cell>
          <cell r="M1045">
            <v>49.464679115199999</v>
          </cell>
          <cell r="N1045">
            <v>31.654550714109913</v>
          </cell>
          <cell r="O1045" t="str">
            <v>可选消费</v>
          </cell>
          <cell r="P1045" t="str">
            <v>耐用消费品与服装</v>
          </cell>
          <cell r="Q1045" t="str">
            <v>家庭耐用消费品</v>
          </cell>
          <cell r="BC1045">
            <v>4.4315992292870816E-2</v>
          </cell>
          <cell r="BD1045">
            <v>0.12681912681912691</v>
          </cell>
          <cell r="BE1045">
            <v>-0.29867256164765937</v>
          </cell>
          <cell r="BF1045">
            <v>0.54776401519775386</v>
          </cell>
          <cell r="BG1045">
            <v>0.23037599563598632</v>
          </cell>
        </row>
        <row r="1046">
          <cell r="D1046" t="str">
            <v>工业机械</v>
          </cell>
          <cell r="M1046">
            <v>53.034418767999995</v>
          </cell>
          <cell r="N1046">
            <v>33.926380027100464</v>
          </cell>
          <cell r="O1046" t="str">
            <v>工业</v>
          </cell>
          <cell r="P1046" t="str">
            <v>资本货物</v>
          </cell>
          <cell r="Q1046" t="str">
            <v>机械</v>
          </cell>
          <cell r="BC1046">
            <v>1.2956419316843278E-2</v>
          </cell>
          <cell r="BD1046">
            <v>-5.805038335158829E-2</v>
          </cell>
          <cell r="BE1046">
            <v>-0.35172879227915244</v>
          </cell>
          <cell r="BF1046">
            <v>0.13293600082397461</v>
          </cell>
          <cell r="BG1046">
            <v>3.313199996948242E-2</v>
          </cell>
        </row>
        <row r="1047">
          <cell r="D1047" t="str">
            <v>生命科学工具和服务</v>
          </cell>
          <cell r="M1047">
            <v>78.266031754000011</v>
          </cell>
          <cell r="N1047">
            <v>50.060873131217924</v>
          </cell>
          <cell r="O1047" t="str">
            <v>医疗保健</v>
          </cell>
          <cell r="P1047" t="str">
            <v>制药、生物科技与生命科学</v>
          </cell>
          <cell r="Q1047" t="str">
            <v>生命科学工具和服务Ⅲ</v>
          </cell>
          <cell r="BC1047">
            <v>0.12547374120194926</v>
          </cell>
          <cell r="BD1047">
            <v>-2.4862202415855406E-2</v>
          </cell>
          <cell r="BE1047">
            <v>0</v>
          </cell>
          <cell r="BF1047">
            <v>0</v>
          </cell>
          <cell r="BG1047">
            <v>0</v>
          </cell>
        </row>
        <row r="1048">
          <cell r="D1048" t="str">
            <v>金属非金属</v>
          </cell>
          <cell r="M1048">
            <v>50.127647365999998</v>
          </cell>
          <cell r="N1048">
            <v>32.05199049523015</v>
          </cell>
          <cell r="O1048" t="str">
            <v>材料</v>
          </cell>
          <cell r="P1048" t="str">
            <v>材料Ⅱ</v>
          </cell>
          <cell r="Q1048" t="str">
            <v>金属、非金属与采矿</v>
          </cell>
          <cell r="BC1048">
            <v>-5.9217877094971998E-2</v>
          </cell>
          <cell r="BD1048">
            <v>3.4398034398034315E-2</v>
          </cell>
          <cell r="BE1048">
            <v>-0.42368240930869266</v>
          </cell>
          <cell r="BF1048">
            <v>0.29965200424194338</v>
          </cell>
          <cell r="BG1048">
            <v>-8.9135999679565425E-2</v>
          </cell>
        </row>
        <row r="1049">
          <cell r="D1049" t="str">
            <v>工业机械</v>
          </cell>
          <cell r="M1049">
            <v>29.064823536000002</v>
          </cell>
          <cell r="N1049">
            <v>18.583217986599077</v>
          </cell>
          <cell r="O1049" t="str">
            <v>工业</v>
          </cell>
          <cell r="P1049" t="str">
            <v>资本货物</v>
          </cell>
          <cell r="Q1049" t="str">
            <v>机械</v>
          </cell>
          <cell r="BC1049">
            <v>3.1941031941031914E-2</v>
          </cell>
          <cell r="BD1049">
            <v>4.8689138576779097E-2</v>
          </cell>
          <cell r="BE1049">
            <v>2.4390243902439157E-2</v>
          </cell>
          <cell r="BF1049">
            <v>0.42249599456787107</v>
          </cell>
          <cell r="BG1049">
            <v>0.10360799789428711</v>
          </cell>
        </row>
        <row r="1050">
          <cell r="D1050" t="str">
            <v>建筑产品</v>
          </cell>
          <cell r="M1050">
            <v>94.440245219999994</v>
          </cell>
          <cell r="N1050">
            <v>60.36600349852057</v>
          </cell>
          <cell r="O1050" t="str">
            <v>工业</v>
          </cell>
          <cell r="P1050" t="str">
            <v>资本货物</v>
          </cell>
          <cell r="Q1050" t="str">
            <v>建筑产品Ⅲ</v>
          </cell>
          <cell r="BC1050">
            <v>1.1265164644714106E-2</v>
          </cell>
          <cell r="BD1050">
            <v>-4.0296052631578962E-2</v>
          </cell>
          <cell r="BE1050">
            <v>1.1937408961797418</v>
          </cell>
          <cell r="BF1050">
            <v>0.89380798339843748</v>
          </cell>
          <cell r="BG1050">
            <v>0.24020399093627931</v>
          </cell>
        </row>
        <row r="1051">
          <cell r="D1051" t="str">
            <v>汽车制造</v>
          </cell>
          <cell r="M1051">
            <v>1282.4995053320999</v>
          </cell>
          <cell r="N1051">
            <v>819.00413447532117</v>
          </cell>
          <cell r="O1051" t="str">
            <v>可选消费</v>
          </cell>
          <cell r="P1051" t="str">
            <v>汽车与汽车零部件</v>
          </cell>
          <cell r="Q1051" t="str">
            <v>汽车</v>
          </cell>
          <cell r="BC1051">
            <v>2.7319587628866038E-2</v>
          </cell>
          <cell r="BD1051">
            <v>-4.8233046800382116E-2</v>
          </cell>
          <cell r="BE1051">
            <v>1.0451413481021994</v>
          </cell>
          <cell r="BF1051">
            <v>0.52773601531982417</v>
          </cell>
          <cell r="BG1051">
            <v>0</v>
          </cell>
        </row>
        <row r="1052">
          <cell r="D1052" t="str">
            <v>海港与服务</v>
          </cell>
          <cell r="M1052">
            <v>236.26387960950001</v>
          </cell>
          <cell r="N1052">
            <v>150.83912512668525</v>
          </cell>
          <cell r="O1052" t="str">
            <v>工业</v>
          </cell>
          <cell r="P1052" t="str">
            <v>运输</v>
          </cell>
          <cell r="Q1052" t="str">
            <v>交通基础设施</v>
          </cell>
          <cell r="BC1052">
            <v>3.1073446327683579E-2</v>
          </cell>
          <cell r="BD1052">
            <v>2.2408963585434195E-2</v>
          </cell>
          <cell r="BE1052">
            <v>-0.34242555540907937</v>
          </cell>
          <cell r="BF1052">
            <v>0.74680801391601559</v>
          </cell>
          <cell r="BG1052">
            <v>0.20553600311279296</v>
          </cell>
        </row>
        <row r="1053">
          <cell r="D1053" t="str">
            <v>环境与设施服务</v>
          </cell>
          <cell r="M1053">
            <v>124.91975599999999</v>
          </cell>
          <cell r="N1053">
            <v>79.728654280282271</v>
          </cell>
          <cell r="O1053" t="str">
            <v>工业</v>
          </cell>
          <cell r="P1053" t="str">
            <v>商业和专业服务</v>
          </cell>
          <cell r="Q1053" t="str">
            <v>商业服务与用品</v>
          </cell>
          <cell r="BC1053">
            <v>0</v>
          </cell>
          <cell r="BD1053">
            <v>0</v>
          </cell>
          <cell r="BE1053">
            <v>1.0718528090569093</v>
          </cell>
          <cell r="BF1053">
            <v>0.72176399230957033</v>
          </cell>
          <cell r="BG1053">
            <v>0</v>
          </cell>
        </row>
        <row r="1054">
          <cell r="D1054" t="str">
            <v>西药</v>
          </cell>
          <cell r="M1054">
            <v>122.04322482880001</v>
          </cell>
          <cell r="N1054">
            <v>77.886986297998746</v>
          </cell>
          <cell r="O1054" t="str">
            <v>医疗保健</v>
          </cell>
          <cell r="P1054" t="str">
            <v>制药、生物科技与生命科学</v>
          </cell>
          <cell r="Q1054" t="str">
            <v>制药</v>
          </cell>
          <cell r="BC1054">
            <v>5.8626465661641633E-2</v>
          </cell>
          <cell r="BD1054">
            <v>6.9373942470389194E-2</v>
          </cell>
          <cell r="BE1054">
            <v>-0.38520774574534222</v>
          </cell>
          <cell r="BF1054">
            <v>-8.8176002502441411E-2</v>
          </cell>
          <cell r="BG1054">
            <v>-7.4916000366210933E-2</v>
          </cell>
        </row>
        <row r="1055">
          <cell r="D1055" t="str">
            <v>电影与娱乐</v>
          </cell>
          <cell r="M1055">
            <v>268.31125124110002</v>
          </cell>
          <cell r="N1055">
            <v>171.23396769943093</v>
          </cell>
          <cell r="O1055" t="str">
            <v>可选消费</v>
          </cell>
          <cell r="P1055" t="str">
            <v>媒体Ⅱ</v>
          </cell>
          <cell r="Q1055" t="str">
            <v>媒体Ⅲ</v>
          </cell>
          <cell r="BC1055">
            <v>-4.5384018619084629E-2</v>
          </cell>
          <cell r="BD1055">
            <v>9.3777777777777752E-2</v>
          </cell>
          <cell r="BE1055">
            <v>-5.6774397332438102E-2</v>
          </cell>
          <cell r="BF1055">
            <v>8.0279998779296868E-2</v>
          </cell>
          <cell r="BG1055">
            <v>0.36234001159667967</v>
          </cell>
        </row>
        <row r="1056">
          <cell r="D1056" t="str">
            <v>电气部件与设备</v>
          </cell>
          <cell r="M1056">
            <v>54.485748999999998</v>
          </cell>
          <cell r="N1056">
            <v>34.763171196782054</v>
          </cell>
          <cell r="O1056" t="str">
            <v>工业</v>
          </cell>
          <cell r="P1056" t="str">
            <v>资本货物</v>
          </cell>
          <cell r="Q1056" t="str">
            <v>电气设备</v>
          </cell>
          <cell r="BC1056">
            <v>4.2903225806451555E-2</v>
          </cell>
          <cell r="BD1056">
            <v>-2.7083960276858221E-2</v>
          </cell>
          <cell r="BE1056">
            <v>0</v>
          </cell>
          <cell r="BF1056">
            <v>0</v>
          </cell>
          <cell r="BG1056">
            <v>0</v>
          </cell>
        </row>
        <row r="1057">
          <cell r="D1057" t="str">
            <v>食品加工与肉类</v>
          </cell>
          <cell r="M1057">
            <v>145.215135202</v>
          </cell>
          <cell r="N1057">
            <v>92.644925384251181</v>
          </cell>
          <cell r="O1057" t="str">
            <v>日常消费</v>
          </cell>
          <cell r="P1057" t="str">
            <v>食品、饮料与烟草</v>
          </cell>
          <cell r="Q1057" t="str">
            <v>食品</v>
          </cell>
          <cell r="BC1057">
            <v>2.1645021645021644E-2</v>
          </cell>
          <cell r="BD1057">
            <v>1.8998272884283303E-2</v>
          </cell>
          <cell r="BE1057">
            <v>-0.39672792470887269</v>
          </cell>
          <cell r="BF1057">
            <v>-0.15472800254821778</v>
          </cell>
          <cell r="BG1057">
            <v>0.1017959976196289</v>
          </cell>
        </row>
        <row r="1058">
          <cell r="D1058" t="str">
            <v>家用电器</v>
          </cell>
          <cell r="M1058">
            <v>82.852055900000011</v>
          </cell>
          <cell r="N1058">
            <v>52.854741902006602</v>
          </cell>
          <cell r="O1058" t="str">
            <v>可选消费</v>
          </cell>
          <cell r="P1058" t="str">
            <v>耐用消费品与服装</v>
          </cell>
          <cell r="Q1058" t="str">
            <v>家庭耐用消费品</v>
          </cell>
          <cell r="BC1058">
            <v>2.077431539187919E-2</v>
          </cell>
          <cell r="BD1058">
            <v>5.2580331061343813E-2</v>
          </cell>
          <cell r="BE1058">
            <v>-0.23389896634605889</v>
          </cell>
          <cell r="BF1058">
            <v>-0.15973199844360353</v>
          </cell>
          <cell r="BG1058">
            <v>-1.4592000246047974E-2</v>
          </cell>
        </row>
        <row r="1059">
          <cell r="D1059" t="str">
            <v>建筑与工程</v>
          </cell>
          <cell r="M1059">
            <v>79.075863999999996</v>
          </cell>
          <cell r="N1059">
            <v>50.439665172004624</v>
          </cell>
          <cell r="O1059" t="str">
            <v>工业</v>
          </cell>
          <cell r="P1059" t="str">
            <v>资本货物</v>
          </cell>
          <cell r="Q1059" t="str">
            <v>建筑与工程Ⅲ</v>
          </cell>
          <cell r="BC1059">
            <v>3.0713640469738016E-2</v>
          </cell>
          <cell r="BD1059">
            <v>-1.722652885443577E-2</v>
          </cell>
          <cell r="BE1059">
            <v>-0.10569634161494761</v>
          </cell>
          <cell r="BF1059">
            <v>7.5455999374389654E-2</v>
          </cell>
          <cell r="BG1059">
            <v>-3.0239999294281008E-3</v>
          </cell>
        </row>
        <row r="1060">
          <cell r="D1060" t="str">
            <v>家用电器</v>
          </cell>
          <cell r="M1060">
            <v>35.011505461200002</v>
          </cell>
          <cell r="N1060">
            <v>22.331407780607101</v>
          </cell>
          <cell r="O1060" t="str">
            <v>可选消费</v>
          </cell>
          <cell r="P1060" t="str">
            <v>耐用消费品与服装</v>
          </cell>
          <cell r="Q1060" t="str">
            <v>家庭耐用消费品</v>
          </cell>
          <cell r="BC1060">
            <v>-4.5325779036827114E-2</v>
          </cell>
          <cell r="BD1060">
            <v>5.3124999999999978E-2</v>
          </cell>
          <cell r="BE1060">
            <v>-4.5325779036827114E-2</v>
          </cell>
          <cell r="BF1060">
            <v>0.17912399291992187</v>
          </cell>
          <cell r="BG1060">
            <v>4.870800018310547E-2</v>
          </cell>
        </row>
        <row r="1061">
          <cell r="D1061" t="str">
            <v>金属非金属</v>
          </cell>
          <cell r="M1061">
            <v>108.94741291499999</v>
          </cell>
          <cell r="N1061">
            <v>69.461417855471439</v>
          </cell>
          <cell r="O1061" t="str">
            <v>材料</v>
          </cell>
          <cell r="P1061" t="str">
            <v>材料Ⅱ</v>
          </cell>
          <cell r="Q1061" t="str">
            <v>金属、非金属与采矿</v>
          </cell>
          <cell r="BC1061">
            <v>1.3457556935817702E-2</v>
          </cell>
          <cell r="BD1061">
            <v>8.9593767390094572E-2</v>
          </cell>
          <cell r="BE1061">
            <v>-0.13025734331761976</v>
          </cell>
          <cell r="BF1061">
            <v>0.29007600784301757</v>
          </cell>
          <cell r="BG1061">
            <v>0.1512119960784912</v>
          </cell>
        </row>
        <row r="1062">
          <cell r="D1062" t="str">
            <v>房地产服务</v>
          </cell>
          <cell r="M1062">
            <v>205.28886466</v>
          </cell>
          <cell r="N1062">
            <v>130.84702365710066</v>
          </cell>
          <cell r="O1062" t="str">
            <v>金融</v>
          </cell>
          <cell r="P1062" t="str">
            <v>房地产</v>
          </cell>
          <cell r="Q1062" t="str">
            <v>房地产管理与开发</v>
          </cell>
          <cell r="BC1062">
            <v>4.335047759000734E-2</v>
          </cell>
          <cell r="BD1062">
            <v>0.13964686998394851</v>
          </cell>
          <cell r="BE1062">
            <v>-0.34589221627948097</v>
          </cell>
          <cell r="BF1062">
            <v>0.78182403564453129</v>
          </cell>
          <cell r="BG1062">
            <v>0.42680400848388672</v>
          </cell>
        </row>
        <row r="1063">
          <cell r="D1063" t="str">
            <v>应用软件</v>
          </cell>
          <cell r="M1063">
            <v>87.058251026999983</v>
          </cell>
          <cell r="N1063">
            <v>55.466494947164122</v>
          </cell>
          <cell r="O1063" t="str">
            <v>信息技术</v>
          </cell>
          <cell r="P1063" t="str">
            <v>软件与服务</v>
          </cell>
          <cell r="Q1063" t="str">
            <v>软件</v>
          </cell>
          <cell r="BC1063">
            <v>5.6122448979591878E-2</v>
          </cell>
          <cell r="BD1063">
            <v>4.1628545288197628E-2</v>
          </cell>
          <cell r="BE1063">
            <v>-0.26441938469321902</v>
          </cell>
          <cell r="BF1063">
            <v>0.42244800567626956</v>
          </cell>
          <cell r="BG1063">
            <v>0.36475200653076173</v>
          </cell>
        </row>
        <row r="1064">
          <cell r="D1064" t="str">
            <v>中药</v>
          </cell>
          <cell r="M1064">
            <v>64.915199999999999</v>
          </cell>
          <cell r="N1064">
            <v>41.346384010659591</v>
          </cell>
          <cell r="O1064" t="str">
            <v>医疗保健</v>
          </cell>
          <cell r="P1064" t="str">
            <v>制药、生物科技与生命科学</v>
          </cell>
          <cell r="Q1064" t="str">
            <v>制药</v>
          </cell>
          <cell r="BC1064">
            <v>2.3847376788553316E-2</v>
          </cell>
          <cell r="BD1064">
            <v>-9.2307692307691709E-3</v>
          </cell>
          <cell r="BE1064">
            <v>-0.2758243720846113</v>
          </cell>
          <cell r="BF1064">
            <v>0.14271599769592286</v>
          </cell>
          <cell r="BG1064">
            <v>0.10680000305175781</v>
          </cell>
        </row>
        <row r="1065">
          <cell r="D1065" t="str">
            <v>石油与天然气的炼制和销售</v>
          </cell>
          <cell r="M1065">
            <v>36.855269920400005</v>
          </cell>
          <cell r="N1065">
            <v>23.471395913915984</v>
          </cell>
          <cell r="O1065" t="str">
            <v>能源</v>
          </cell>
          <cell r="P1065" t="str">
            <v>能源Ⅱ</v>
          </cell>
          <cell r="Q1065" t="str">
            <v>石油、天然气与供消费用燃料</v>
          </cell>
          <cell r="BC1065">
            <v>0</v>
          </cell>
          <cell r="BD1065">
            <v>0</v>
          </cell>
          <cell r="BE1065">
            <v>-0.3821593285302638</v>
          </cell>
          <cell r="BF1065">
            <v>0.12003600120544433</v>
          </cell>
          <cell r="BG1065">
            <v>-2.8032000064849853E-2</v>
          </cell>
        </row>
        <row r="1066">
          <cell r="D1066" t="str">
            <v>食品加工与肉类</v>
          </cell>
          <cell r="M1066">
            <v>102.1288882708</v>
          </cell>
          <cell r="N1066">
            <v>65.027287432552711</v>
          </cell>
          <cell r="O1066" t="str">
            <v>日常消费</v>
          </cell>
          <cell r="P1066" t="str">
            <v>食品、饮料与烟草</v>
          </cell>
          <cell r="Q1066" t="str">
            <v>食品</v>
          </cell>
          <cell r="BC1066">
            <v>-3.4638554216867401E-2</v>
          </cell>
          <cell r="BD1066">
            <v>1.6653449643140434E-2</v>
          </cell>
          <cell r="BE1066">
            <v>-9.7040879131703145E-2</v>
          </cell>
          <cell r="BF1066">
            <v>0.16352399826049804</v>
          </cell>
          <cell r="BG1066">
            <v>0.15927599906921386</v>
          </cell>
        </row>
        <row r="1067">
          <cell r="D1067" t="str">
            <v>服装、服饰与奢侈品</v>
          </cell>
          <cell r="M1067">
            <v>48.448000000000008</v>
          </cell>
          <cell r="N1067">
            <v>30.845416602050836</v>
          </cell>
          <cell r="O1067" t="str">
            <v>可选消费</v>
          </cell>
          <cell r="P1067" t="str">
            <v>耐用消费品与服装</v>
          </cell>
          <cell r="Q1067" t="str">
            <v>纺织品、服装与奢侈品</v>
          </cell>
          <cell r="BC1067">
            <v>0</v>
          </cell>
          <cell r="BD1067">
            <v>0</v>
          </cell>
          <cell r="BE1067">
            <v>-5.3749999999999964E-2</v>
          </cell>
          <cell r="BF1067">
            <v>0.4814759826660156</v>
          </cell>
          <cell r="BG1067">
            <v>7.5756001472473147E-2</v>
          </cell>
        </row>
        <row r="1068">
          <cell r="D1068" t="str">
            <v>住宅建筑</v>
          </cell>
          <cell r="M1068">
            <v>131.80262516459996</v>
          </cell>
          <cell r="N1068">
            <v>83.904319188545344</v>
          </cell>
          <cell r="O1068" t="str">
            <v>可选消费</v>
          </cell>
          <cell r="P1068" t="str">
            <v>耐用消费品与服装</v>
          </cell>
          <cell r="Q1068" t="str">
            <v>家庭耐用消费品</v>
          </cell>
          <cell r="BC1068">
            <v>0</v>
          </cell>
          <cell r="BD1068">
            <v>3.6927621861152143E-2</v>
          </cell>
          <cell r="BE1068">
            <v>-5.3908355795148299E-2</v>
          </cell>
          <cell r="BF1068">
            <v>0.47947200775146487</v>
          </cell>
          <cell r="BG1068">
            <v>4.5264000892639163E-2</v>
          </cell>
        </row>
        <row r="1069">
          <cell r="D1069" t="str">
            <v>钢铁</v>
          </cell>
          <cell r="M1069">
            <v>55.072658016000005</v>
          </cell>
          <cell r="N1069">
            <v>35.056176927078056</v>
          </cell>
          <cell r="O1069" t="str">
            <v>材料</v>
          </cell>
          <cell r="P1069" t="str">
            <v>材料Ⅱ</v>
          </cell>
          <cell r="Q1069" t="str">
            <v>金属、非金属与采矿</v>
          </cell>
          <cell r="BC1069">
            <v>3.5225048923679003E-2</v>
          </cell>
          <cell r="BD1069">
            <v>-8.7931034482758588E-2</v>
          </cell>
          <cell r="BE1069">
            <v>0.1547450981117981</v>
          </cell>
          <cell r="BF1069">
            <v>0.3611640167236328</v>
          </cell>
          <cell r="BG1069">
            <v>0.17562000274658204</v>
          </cell>
        </row>
        <row r="1070">
          <cell r="D1070" t="str">
            <v>西药</v>
          </cell>
          <cell r="M1070">
            <v>39.542079999999999</v>
          </cell>
          <cell r="N1070">
            <v>25.169384784733332</v>
          </cell>
          <cell r="O1070" t="str">
            <v>医疗保健</v>
          </cell>
          <cell r="P1070" t="str">
            <v>制药、生物科技与生命科学</v>
          </cell>
          <cell r="Q1070" t="str">
            <v>制药</v>
          </cell>
          <cell r="BC1070">
            <v>4.0537240537240449E-2</v>
          </cell>
          <cell r="BD1070">
            <v>-3.1040363843092712E-2</v>
          </cell>
          <cell r="BE1070">
            <v>0</v>
          </cell>
          <cell r="BF1070">
            <v>0</v>
          </cell>
          <cell r="BG1070">
            <v>0</v>
          </cell>
        </row>
        <row r="1071">
          <cell r="D1071" t="str">
            <v>电气部件与设备</v>
          </cell>
          <cell r="M1071">
            <v>92.240120119600007</v>
          </cell>
          <cell r="N1071">
            <v>58.698140369948099</v>
          </cell>
          <cell r="O1071" t="str">
            <v>工业</v>
          </cell>
          <cell r="P1071" t="str">
            <v>资本货物</v>
          </cell>
          <cell r="Q1071" t="str">
            <v>电气设备</v>
          </cell>
          <cell r="BC1071">
            <v>2.0887728459530044E-2</v>
          </cell>
          <cell r="BD1071">
            <v>-2.7363184079601852E-2</v>
          </cell>
          <cell r="BE1071">
            <v>-9.6773533193812419E-2</v>
          </cell>
          <cell r="BF1071">
            <v>0.23922000885009764</v>
          </cell>
          <cell r="BG1071">
            <v>0.22606800079345704</v>
          </cell>
        </row>
        <row r="1072">
          <cell r="D1072" t="str">
            <v>建材</v>
          </cell>
          <cell r="M1072">
            <v>119.9554631325</v>
          </cell>
          <cell r="N1072">
            <v>76.323155525228884</v>
          </cell>
          <cell r="O1072" t="str">
            <v>材料</v>
          </cell>
          <cell r="P1072" t="str">
            <v>材料Ⅱ</v>
          </cell>
          <cell r="Q1072" t="str">
            <v>建材Ⅲ</v>
          </cell>
          <cell r="BC1072">
            <v>-2.0782396088019552E-2</v>
          </cell>
          <cell r="BD1072">
            <v>0.17621145374449343</v>
          </cell>
          <cell r="BE1072">
            <v>-0.27010628325943287</v>
          </cell>
          <cell r="BF1072">
            <v>0.12074399948120117</v>
          </cell>
          <cell r="BG1072">
            <v>-8.2200002670288087E-3</v>
          </cell>
        </row>
        <row r="1073">
          <cell r="D1073" t="str">
            <v>石油天然气设备与服务</v>
          </cell>
          <cell r="M1073">
            <v>616.48968639999998</v>
          </cell>
          <cell r="N1073">
            <v>392.22233248149689</v>
          </cell>
          <cell r="O1073" t="str">
            <v>能源</v>
          </cell>
          <cell r="P1073" t="str">
            <v>能源Ⅱ</v>
          </cell>
          <cell r="Q1073" t="str">
            <v>能源设备与服务</v>
          </cell>
          <cell r="BC1073">
            <v>-2.3431594860166327E-2</v>
          </cell>
          <cell r="BD1073">
            <v>-3.0030030030030058E-2</v>
          </cell>
          <cell r="BE1073">
            <v>-0.42559002146868269</v>
          </cell>
          <cell r="BF1073">
            <v>-0.1255799961090088</v>
          </cell>
          <cell r="BG1073">
            <v>-7.6020002365112305E-2</v>
          </cell>
        </row>
        <row r="1074">
          <cell r="D1074" t="str">
            <v>复合型公用事业</v>
          </cell>
          <cell r="M1074">
            <v>85.205720369800005</v>
          </cell>
          <cell r="N1074">
            <v>54.1865387060095</v>
          </cell>
          <cell r="O1074" t="str">
            <v>公用事业</v>
          </cell>
          <cell r="P1074" t="str">
            <v>公用事业Ⅱ</v>
          </cell>
          <cell r="Q1074" t="str">
            <v>复合型公用事业Ⅲ</v>
          </cell>
          <cell r="BC1074">
            <v>0.10824372759856643</v>
          </cell>
          <cell r="BD1074">
            <v>1.0457516339869289E-2</v>
          </cell>
          <cell r="BE1074">
            <v>-0.16387236343969702</v>
          </cell>
          <cell r="BF1074">
            <v>0.73262397766113285</v>
          </cell>
          <cell r="BG1074">
            <v>0.32396400451660157</v>
          </cell>
        </row>
        <row r="1075">
          <cell r="D1075" t="str">
            <v>西药</v>
          </cell>
          <cell r="M1075">
            <v>119.18417210370001</v>
          </cell>
          <cell r="N1075">
            <v>75.789399218706322</v>
          </cell>
          <cell r="O1075" t="str">
            <v>医疗保健</v>
          </cell>
          <cell r="P1075" t="str">
            <v>制药、生物科技与生命科学</v>
          </cell>
          <cell r="Q1075" t="str">
            <v>制药</v>
          </cell>
          <cell r="BC1075">
            <v>4.6694060515502425E-3</v>
          </cell>
          <cell r="BD1075">
            <v>-0.11252268602540835</v>
          </cell>
          <cell r="BE1075">
            <v>0.20063208550434211</v>
          </cell>
          <cell r="BF1075">
            <v>0</v>
          </cell>
          <cell r="BG1075">
            <v>0</v>
          </cell>
        </row>
        <row r="1076">
          <cell r="D1076" t="str">
            <v>中药</v>
          </cell>
          <cell r="M1076">
            <v>103.6533416945</v>
          </cell>
          <cell r="N1076">
            <v>65.910449585380633</v>
          </cell>
          <cell r="O1076" t="str">
            <v>医疗保健</v>
          </cell>
          <cell r="P1076" t="str">
            <v>制药、生物科技与生命科学</v>
          </cell>
          <cell r="Q1076" t="str">
            <v>制药</v>
          </cell>
          <cell r="BC1076">
            <v>-3.8143674507311186E-3</v>
          </cell>
          <cell r="BD1076">
            <v>-6.5593321407274877E-2</v>
          </cell>
          <cell r="BE1076">
            <v>-0.14735653866162879</v>
          </cell>
          <cell r="BF1076">
            <v>5.7323999404907226E-2</v>
          </cell>
          <cell r="BG1076">
            <v>0.30184799194335937</v>
          </cell>
        </row>
        <row r="1077">
          <cell r="D1077" t="str">
            <v>石油与天然气的炼制和销售</v>
          </cell>
          <cell r="M1077">
            <v>72.019200000000012</v>
          </cell>
          <cell r="N1077">
            <v>45.791127955617412</v>
          </cell>
          <cell r="O1077" t="str">
            <v>能源</v>
          </cell>
          <cell r="P1077" t="str">
            <v>能源Ⅱ</v>
          </cell>
          <cell r="Q1077" t="str">
            <v>石油、天然气与供消费用燃料</v>
          </cell>
          <cell r="BC1077">
            <v>-1.2309920347574216E-2</v>
          </cell>
          <cell r="BD1077">
            <v>-4.8150732728541486E-2</v>
          </cell>
          <cell r="BE1077">
            <v>0.36372797596447687</v>
          </cell>
          <cell r="BF1077">
            <v>0.40083599090576172</v>
          </cell>
          <cell r="BG1077">
            <v>0.24626399993896483</v>
          </cell>
        </row>
        <row r="1078">
          <cell r="D1078" t="str">
            <v>金属非金属</v>
          </cell>
          <cell r="M1078">
            <v>92.428546026000006</v>
          </cell>
          <cell r="N1078">
            <v>58.761958793387102</v>
          </cell>
          <cell r="O1078" t="str">
            <v>材料</v>
          </cell>
          <cell r="P1078" t="str">
            <v>材料Ⅱ</v>
          </cell>
          <cell r="Q1078" t="str">
            <v>金属、非金属与采矿</v>
          </cell>
          <cell r="BC1078">
            <v>0</v>
          </cell>
          <cell r="BD1078">
            <v>2.7512633352049523E-2</v>
          </cell>
          <cell r="BE1078">
            <v>0.14364271178913907</v>
          </cell>
          <cell r="BF1078">
            <v>0.41991600036621096</v>
          </cell>
          <cell r="BG1078">
            <v>0</v>
          </cell>
        </row>
        <row r="1079">
          <cell r="D1079" t="str">
            <v>轮胎与橡胶</v>
          </cell>
          <cell r="M1079">
            <v>31.476240399999998</v>
          </cell>
          <cell r="N1079">
            <v>20.010475247250554</v>
          </cell>
          <cell r="O1079" t="str">
            <v>可选消费</v>
          </cell>
          <cell r="P1079" t="str">
            <v>汽车与汽车零部件</v>
          </cell>
          <cell r="Q1079" t="str">
            <v>汽车零配件</v>
          </cell>
          <cell r="BC1079">
            <v>9.3283582089550242E-4</v>
          </cell>
          <cell r="BD1079">
            <v>-1.8604651162790302E-3</v>
          </cell>
          <cell r="BE1079">
            <v>-6.6680911095905793E-2</v>
          </cell>
          <cell r="BF1079">
            <v>0.4652640151977539</v>
          </cell>
          <cell r="BG1079">
            <v>0</v>
          </cell>
        </row>
        <row r="1080">
          <cell r="D1080" t="str">
            <v>水务</v>
          </cell>
          <cell r="M1080">
            <v>48.435400000000001</v>
          </cell>
          <cell r="N1080">
            <v>30.791525512292825</v>
          </cell>
          <cell r="O1080" t="str">
            <v>公用事业</v>
          </cell>
          <cell r="P1080" t="str">
            <v>公用事业Ⅱ</v>
          </cell>
          <cell r="Q1080" t="str">
            <v>水务Ⅲ</v>
          </cell>
          <cell r="BC1080">
            <v>2.5769506084466671E-2</v>
          </cell>
          <cell r="BD1080">
            <v>4.3699927166788027E-2</v>
          </cell>
          <cell r="BE1080">
            <v>-5.3699783358663093E-2</v>
          </cell>
          <cell r="BF1080">
            <v>0.32739601135253904</v>
          </cell>
          <cell r="BG1080">
            <v>0.19628400802612306</v>
          </cell>
        </row>
        <row r="1081">
          <cell r="D1081" t="str">
            <v>电气部件与设备</v>
          </cell>
          <cell r="M1081">
            <v>156.11287977999999</v>
          </cell>
          <cell r="N1081">
            <v>99.229446289818469</v>
          </cell>
          <cell r="O1081" t="str">
            <v>工业</v>
          </cell>
          <cell r="P1081" t="str">
            <v>资本货物</v>
          </cell>
          <cell r="Q1081" t="str">
            <v>电气设备</v>
          </cell>
          <cell r="BC1081">
            <v>7.5996990218209298E-2</v>
          </cell>
          <cell r="BD1081">
            <v>1.9244476122594539E-2</v>
          </cell>
          <cell r="BE1081">
            <v>-0.12293216575323249</v>
          </cell>
          <cell r="BF1081">
            <v>0.17599199295043946</v>
          </cell>
          <cell r="BG1081">
            <v>0.12297599792480468</v>
          </cell>
        </row>
        <row r="1082">
          <cell r="D1082" t="str">
            <v>环境与设施服务</v>
          </cell>
          <cell r="M1082">
            <v>111.13960306279999</v>
          </cell>
          <cell r="N1082">
            <v>70.643226758706007</v>
          </cell>
          <cell r="O1082" t="str">
            <v>工业</v>
          </cell>
          <cell r="P1082" t="str">
            <v>商业和专业服务</v>
          </cell>
          <cell r="Q1082" t="str">
            <v>商业服务与用品</v>
          </cell>
          <cell r="BC1082">
            <v>0.10508474576271172</v>
          </cell>
          <cell r="BD1082">
            <v>0.11452991452991453</v>
          </cell>
          <cell r="BE1082">
            <v>-0.34852114291504144</v>
          </cell>
          <cell r="BF1082">
            <v>0.15663599967956543</v>
          </cell>
          <cell r="BG1082">
            <v>0</v>
          </cell>
        </row>
        <row r="1083">
          <cell r="D1083" t="str">
            <v>建筑与工程</v>
          </cell>
          <cell r="M1083">
            <v>100.2639463222</v>
          </cell>
          <cell r="N1083">
            <v>63.728732885084412</v>
          </cell>
          <cell r="O1083" t="str">
            <v>工业</v>
          </cell>
          <cell r="P1083" t="str">
            <v>资本货物</v>
          </cell>
          <cell r="Q1083" t="str">
            <v>建筑与工程Ⅲ</v>
          </cell>
          <cell r="BC1083">
            <v>9.5668729176582479E-2</v>
          </cell>
          <cell r="BD1083">
            <v>6.5588106689986256E-3</v>
          </cell>
          <cell r="BE1083">
            <v>-0.16538372005695406</v>
          </cell>
          <cell r="BF1083">
            <v>7.5647997856140139E-2</v>
          </cell>
          <cell r="BG1083">
            <v>0.26656799316406249</v>
          </cell>
        </row>
        <row r="1084">
          <cell r="D1084" t="str">
            <v>通信设备</v>
          </cell>
          <cell r="M1084">
            <v>64.60098222149999</v>
          </cell>
          <cell r="N1084">
            <v>41.037093572571038</v>
          </cell>
          <cell r="O1084" t="str">
            <v>信息技术</v>
          </cell>
          <cell r="P1084" t="str">
            <v>技术硬件与设备</v>
          </cell>
          <cell r="Q1084" t="str">
            <v>通信设备Ⅲ</v>
          </cell>
          <cell r="BC1084">
            <v>0</v>
          </cell>
          <cell r="BD1084">
            <v>0</v>
          </cell>
          <cell r="BE1084">
            <v>0.50825416713714822</v>
          </cell>
          <cell r="BF1084">
            <v>0.61267200469970706</v>
          </cell>
          <cell r="BG1084">
            <v>0.28006799697875978</v>
          </cell>
        </row>
        <row r="1085">
          <cell r="D1085" t="str">
            <v>电气部件与设备</v>
          </cell>
          <cell r="M1085">
            <v>56.700891000000006</v>
          </cell>
          <cell r="N1085">
            <v>36.003829008600007</v>
          </cell>
          <cell r="O1085" t="str">
            <v>工业</v>
          </cell>
          <cell r="P1085" t="str">
            <v>资本货物</v>
          </cell>
          <cell r="Q1085" t="str">
            <v>电气设备</v>
          </cell>
          <cell r="BC1085">
            <v>5.1452784503632047E-2</v>
          </cell>
          <cell r="BD1085">
            <v>8.4269662921348409E-2</v>
          </cell>
          <cell r="BE1085">
            <v>2.4164511903836051E-2</v>
          </cell>
          <cell r="BF1085">
            <v>0.48242401123046874</v>
          </cell>
          <cell r="BG1085">
            <v>0</v>
          </cell>
        </row>
        <row r="1086">
          <cell r="D1086" t="str">
            <v>信息科技咨询与其它服务</v>
          </cell>
          <cell r="M1086">
            <v>96.857820000000004</v>
          </cell>
          <cell r="N1086">
            <v>61.474494493888457</v>
          </cell>
          <cell r="O1086" t="str">
            <v>信息技术</v>
          </cell>
          <cell r="P1086" t="str">
            <v>软件与服务</v>
          </cell>
          <cell r="Q1086" t="str">
            <v>信息技术服务</v>
          </cell>
          <cell r="BC1086">
            <v>-6.4728682170542701E-2</v>
          </cell>
          <cell r="BD1086">
            <v>-0.15333333333333338</v>
          </cell>
          <cell r="BE1086">
            <v>1.3809056865151528</v>
          </cell>
          <cell r="BF1086">
            <v>1.2149639892578126</v>
          </cell>
          <cell r="BG1086">
            <v>0</v>
          </cell>
        </row>
        <row r="1087">
          <cell r="D1087" t="str">
            <v>电子元件</v>
          </cell>
          <cell r="M1087">
            <v>94.341555811199996</v>
          </cell>
          <cell r="N1087">
            <v>59.859672675575474</v>
          </cell>
          <cell r="O1087" t="str">
            <v>信息技术</v>
          </cell>
          <cell r="P1087" t="str">
            <v>技术硬件与设备</v>
          </cell>
          <cell r="Q1087" t="str">
            <v>电子设备、仪器和元件</v>
          </cell>
          <cell r="BC1087">
            <v>7.9858030168589045E-3</v>
          </cell>
          <cell r="BD1087">
            <v>1.3380909901873199E-2</v>
          </cell>
          <cell r="BE1087">
            <v>-0.23087339201083279</v>
          </cell>
          <cell r="BF1087">
            <v>0.14852399826049806</v>
          </cell>
          <cell r="BG1087">
            <v>3.730799913406372E-2</v>
          </cell>
        </row>
        <row r="1088">
          <cell r="D1088" t="str">
            <v>房地产开发</v>
          </cell>
          <cell r="M1088">
            <v>125.93775675300003</v>
          </cell>
          <cell r="N1088">
            <v>79.901810481332348</v>
          </cell>
          <cell r="O1088" t="str">
            <v>金融</v>
          </cell>
          <cell r="P1088" t="str">
            <v>房地产</v>
          </cell>
          <cell r="Q1088" t="str">
            <v>房地产管理与开发</v>
          </cell>
          <cell r="BC1088">
            <v>2.5778732545649861E-2</v>
          </cell>
          <cell r="BD1088">
            <v>-2.4514811031664807E-2</v>
          </cell>
          <cell r="BE1088">
            <v>-0.30494035187197249</v>
          </cell>
          <cell r="BF1088">
            <v>0.19244400024414063</v>
          </cell>
          <cell r="BG1088">
            <v>0.17506799697875977</v>
          </cell>
        </row>
        <row r="1089">
          <cell r="D1089" t="str">
            <v>工业机械</v>
          </cell>
          <cell r="M1089">
            <v>49.770204</v>
          </cell>
          <cell r="N1089">
            <v>31.557826380655992</v>
          </cell>
          <cell r="O1089" t="str">
            <v>工业</v>
          </cell>
          <cell r="P1089" t="str">
            <v>资本货物</v>
          </cell>
          <cell r="Q1089" t="str">
            <v>机械</v>
          </cell>
          <cell r="BC1089">
            <v>5.3182214472537001E-2</v>
          </cell>
          <cell r="BD1089">
            <v>8.3472454090149951E-3</v>
          </cell>
          <cell r="BE1089">
            <v>9.7787254973689175E-2</v>
          </cell>
          <cell r="BF1089">
            <v>0.49827598571777343</v>
          </cell>
          <cell r="BG1089">
            <v>0</v>
          </cell>
        </row>
        <row r="1090">
          <cell r="D1090" t="str">
            <v>电气部件与设备</v>
          </cell>
          <cell r="M1090">
            <v>82.687568505999991</v>
          </cell>
          <cell r="N1090">
            <v>52.422071250610919</v>
          </cell>
          <cell r="O1090" t="str">
            <v>工业</v>
          </cell>
          <cell r="P1090" t="str">
            <v>资本货物</v>
          </cell>
          <cell r="Q1090" t="str">
            <v>电气设备</v>
          </cell>
          <cell r="BC1090">
            <v>2.7738264580369758E-2</v>
          </cell>
          <cell r="BD1090">
            <v>-2.6936026936026959E-2</v>
          </cell>
          <cell r="BE1090">
            <v>-0.4575869685672212</v>
          </cell>
          <cell r="BF1090">
            <v>3.3612000942230227E-2</v>
          </cell>
          <cell r="BG1090">
            <v>0.11022000312805176</v>
          </cell>
        </row>
        <row r="1091">
          <cell r="D1091" t="str">
            <v>基础化工</v>
          </cell>
          <cell r="M1091">
            <v>36.806759164500001</v>
          </cell>
          <cell r="N1091">
            <v>23.331302705108293</v>
          </cell>
          <cell r="O1091" t="str">
            <v>材料</v>
          </cell>
          <cell r="P1091" t="str">
            <v>材料Ⅱ</v>
          </cell>
          <cell r="Q1091" t="str">
            <v>化工</v>
          </cell>
          <cell r="BC1091">
            <v>0.10138888888888882</v>
          </cell>
          <cell r="BD1091">
            <v>0.21625766871165647</v>
          </cell>
          <cell r="BE1091">
            <v>0.18107582088312105</v>
          </cell>
          <cell r="BF1091">
            <v>0.40433998107910157</v>
          </cell>
          <cell r="BG1091">
            <v>5.3748002052307127E-2</v>
          </cell>
        </row>
        <row r="1092">
          <cell r="D1092" t="str">
            <v>工业机械</v>
          </cell>
          <cell r="M1092">
            <v>57.811542319800004</v>
          </cell>
          <cell r="N1092">
            <v>36.633034750423512</v>
          </cell>
          <cell r="O1092" t="str">
            <v>工业</v>
          </cell>
          <cell r="P1092" t="str">
            <v>资本货物</v>
          </cell>
          <cell r="Q1092" t="str">
            <v>机械</v>
          </cell>
          <cell r="BC1092">
            <v>9.3036211699164442E-2</v>
          </cell>
          <cell r="BD1092">
            <v>0.12371134020618557</v>
          </cell>
          <cell r="BE1092">
            <v>-8.5406909716078061E-2</v>
          </cell>
          <cell r="BF1092">
            <v>6.3611998558044433E-2</v>
          </cell>
          <cell r="BG1092">
            <v>8.3184003829956055E-2</v>
          </cell>
        </row>
        <row r="1093">
          <cell r="D1093" t="str">
            <v>食品加工与肉类</v>
          </cell>
          <cell r="M1093">
            <v>284.09191151420004</v>
          </cell>
          <cell r="N1093">
            <v>180.0064711968443</v>
          </cell>
          <cell r="O1093" t="str">
            <v>日常消费</v>
          </cell>
          <cell r="P1093" t="str">
            <v>食品、饮料与烟草</v>
          </cell>
          <cell r="Q1093" t="str">
            <v>食品</v>
          </cell>
          <cell r="BC1093">
            <v>0</v>
          </cell>
          <cell r="BD1093">
            <v>0</v>
          </cell>
          <cell r="BE1093">
            <v>3.3076334706668105E-2</v>
          </cell>
          <cell r="BF1093">
            <v>0.33884399414062499</v>
          </cell>
          <cell r="BG1093">
            <v>6.276000142097473E-3</v>
          </cell>
        </row>
        <row r="1094">
          <cell r="D1094" t="str">
            <v>食品加工与肉类</v>
          </cell>
          <cell r="M1094">
            <v>53.556095999999997</v>
          </cell>
          <cell r="N1094">
            <v>33.921304695136961</v>
          </cell>
          <cell r="O1094" t="str">
            <v>日常消费</v>
          </cell>
          <cell r="P1094" t="str">
            <v>食品、饮料与烟草</v>
          </cell>
          <cell r="Q1094" t="str">
            <v>食品</v>
          </cell>
          <cell r="BC1094">
            <v>3.1959629941126909E-2</v>
          </cell>
          <cell r="BD1094">
            <v>4.603580562659839E-2</v>
          </cell>
          <cell r="BE1094">
            <v>-4.984429826589605E-2</v>
          </cell>
          <cell r="BF1094">
            <v>0</v>
          </cell>
          <cell r="BG1094">
            <v>0</v>
          </cell>
        </row>
        <row r="1095">
          <cell r="D1095" t="str">
            <v>电脑硬件</v>
          </cell>
          <cell r="M1095">
            <v>160.76892770820001</v>
          </cell>
          <cell r="N1095">
            <v>101.7935833015387</v>
          </cell>
          <cell r="O1095" t="str">
            <v>信息技术</v>
          </cell>
          <cell r="P1095" t="str">
            <v>技术硬件与设备</v>
          </cell>
          <cell r="Q1095" t="str">
            <v>电脑与外围设备</v>
          </cell>
          <cell r="BC1095">
            <v>7.4277456647398848E-2</v>
          </cell>
          <cell r="BD1095">
            <v>-2.6198585276395073E-2</v>
          </cell>
          <cell r="BE1095">
            <v>-0.31605838621141169</v>
          </cell>
          <cell r="BF1095">
            <v>0.53908798217773435</v>
          </cell>
          <cell r="BG1095">
            <v>0.4058639907836914</v>
          </cell>
        </row>
        <row r="1096">
          <cell r="D1096" t="str">
            <v>消费电子产品</v>
          </cell>
          <cell r="M1096">
            <v>141.57611428739997</v>
          </cell>
          <cell r="N1096">
            <v>89.564592712434745</v>
          </cell>
          <cell r="O1096" t="str">
            <v>可选消费</v>
          </cell>
          <cell r="P1096" t="str">
            <v>耐用消费品与服装</v>
          </cell>
          <cell r="Q1096" t="str">
            <v>家庭耐用消费品</v>
          </cell>
          <cell r="BC1096">
            <v>1.1971830985915489E-2</v>
          </cell>
          <cell r="BD1096">
            <v>-0.14157706093189962</v>
          </cell>
          <cell r="BE1096">
            <v>0.29360671213487749</v>
          </cell>
          <cell r="BF1096">
            <v>0.53139598846435543</v>
          </cell>
          <cell r="BG1096">
            <v>0.13298399925231932</v>
          </cell>
        </row>
        <row r="1097">
          <cell r="D1097" t="str">
            <v>信息科技咨询与其它服务</v>
          </cell>
          <cell r="M1097">
            <v>163.89557933280003</v>
          </cell>
          <cell r="N1097">
            <v>103.64024815120852</v>
          </cell>
          <cell r="O1097" t="str">
            <v>信息技术</v>
          </cell>
          <cell r="P1097" t="str">
            <v>软件与服务</v>
          </cell>
          <cell r="Q1097" t="str">
            <v>信息技术服务</v>
          </cell>
          <cell r="BC1097">
            <v>-3.8669760247486101E-3</v>
          </cell>
          <cell r="BD1097">
            <v>-6.213592233009714E-2</v>
          </cell>
          <cell r="BE1097">
            <v>-0.38292606740812102</v>
          </cell>
          <cell r="BF1097">
            <v>0.36023998260498047</v>
          </cell>
          <cell r="BG1097">
            <v>0</v>
          </cell>
        </row>
        <row r="1098">
          <cell r="D1098" t="str">
            <v>西药</v>
          </cell>
          <cell r="M1098">
            <v>57.110711645000002</v>
          </cell>
          <cell r="N1098">
            <v>36.101942762375003</v>
          </cell>
          <cell r="O1098" t="str">
            <v>医疗保健</v>
          </cell>
          <cell r="P1098" t="str">
            <v>制药、生物科技与生命科学</v>
          </cell>
          <cell r="Q1098" t="str">
            <v>制药</v>
          </cell>
          <cell r="BC1098">
            <v>1.1328527291452051E-2</v>
          </cell>
          <cell r="BD1098">
            <v>-7.271010387157692E-2</v>
          </cell>
          <cell r="BE1098">
            <v>-2.3856858846918509E-2</v>
          </cell>
          <cell r="BF1098">
            <v>0.42894001007080079</v>
          </cell>
          <cell r="BG1098">
            <v>9.8291997909545903E-2</v>
          </cell>
        </row>
        <row r="1099">
          <cell r="D1099" t="str">
            <v>房地产开发</v>
          </cell>
          <cell r="M1099">
            <v>71.885106862800001</v>
          </cell>
          <cell r="N1099">
            <v>45.409919673512533</v>
          </cell>
          <cell r="O1099" t="str">
            <v>金融</v>
          </cell>
          <cell r="P1099" t="str">
            <v>房地产</v>
          </cell>
          <cell r="Q1099" t="str">
            <v>房地产管理与开发</v>
          </cell>
          <cell r="BC1099">
            <v>7.1070234113712341E-2</v>
          </cell>
          <cell r="BD1099">
            <v>0.10431034482758629</v>
          </cell>
          <cell r="BE1099">
            <v>-0.24201110873485901</v>
          </cell>
          <cell r="BF1099">
            <v>0.11843999862670898</v>
          </cell>
          <cell r="BG1099">
            <v>0.12357600212097168</v>
          </cell>
        </row>
        <row r="1100">
          <cell r="D1100" t="str">
            <v>信息科技咨询与其它服务</v>
          </cell>
          <cell r="M1100">
            <v>121.69553102340001</v>
          </cell>
          <cell r="N1100">
            <v>76.842365032298162</v>
          </cell>
          <cell r="O1100" t="str">
            <v>信息技术</v>
          </cell>
          <cell r="P1100" t="str">
            <v>软件与服务</v>
          </cell>
          <cell r="Q1100" t="str">
            <v>信息技术服务</v>
          </cell>
          <cell r="BC1100">
            <v>0</v>
          </cell>
          <cell r="BD1100">
            <v>-0.19861431870669746</v>
          </cell>
          <cell r="BE1100">
            <v>-9.9480968858131513E-2</v>
          </cell>
          <cell r="BF1100">
            <v>0.4843560028076172</v>
          </cell>
          <cell r="BG1100">
            <v>0.29412000656127929</v>
          </cell>
        </row>
        <row r="1101">
          <cell r="D1101" t="str">
            <v>电子设备和仪器</v>
          </cell>
          <cell r="M1101">
            <v>913.9797613180001</v>
          </cell>
          <cell r="N1101">
            <v>576.93497126718148</v>
          </cell>
          <cell r="O1101" t="str">
            <v>信息技术</v>
          </cell>
          <cell r="P1101" t="str">
            <v>技术硬件与设备</v>
          </cell>
          <cell r="Q1101" t="str">
            <v>电子设备、仪器和元件</v>
          </cell>
          <cell r="BC1101">
            <v>1.167315175097286E-2</v>
          </cell>
          <cell r="BD1101">
            <v>-3.8314176245209915E-3</v>
          </cell>
          <cell r="BE1101">
            <v>-0.349369565975511</v>
          </cell>
          <cell r="BF1101">
            <v>8.6436004638671876E-2</v>
          </cell>
          <cell r="BG1101">
            <v>4.4303998947143555E-2</v>
          </cell>
        </row>
        <row r="1102">
          <cell r="D1102" t="str">
            <v>贸易公司与工业品经销商</v>
          </cell>
          <cell r="M1102">
            <v>107.69121042339999</v>
          </cell>
          <cell r="N1102">
            <v>67.968337696698924</v>
          </cell>
          <cell r="O1102" t="str">
            <v>工业</v>
          </cell>
          <cell r="P1102" t="str">
            <v>资本货物</v>
          </cell>
          <cell r="Q1102" t="str">
            <v>贸易公司与工业品经销商Ⅲ</v>
          </cell>
          <cell r="BC1102">
            <v>4.6583850931676022E-3</v>
          </cell>
          <cell r="BD1102">
            <v>-2.5602409638554209E-2</v>
          </cell>
          <cell r="BE1102">
            <v>-0.52831622722668592</v>
          </cell>
          <cell r="BF1102">
            <v>0.22746000289916993</v>
          </cell>
          <cell r="BG1102">
            <v>0.10489199638366699</v>
          </cell>
        </row>
        <row r="1103">
          <cell r="D1103" t="str">
            <v>航空货运与物流</v>
          </cell>
          <cell r="M1103">
            <v>86.135742000000008</v>
          </cell>
          <cell r="N1103">
            <v>54.360563200947915</v>
          </cell>
          <cell r="O1103" t="str">
            <v>工业</v>
          </cell>
          <cell r="P1103" t="str">
            <v>运输</v>
          </cell>
          <cell r="Q1103" t="str">
            <v>航空货运与物流Ⅲ</v>
          </cell>
          <cell r="BC1103">
            <v>1.7543859649122917E-2</v>
          </cell>
          <cell r="BD1103">
            <v>-5.0909090909090855E-2</v>
          </cell>
          <cell r="BE1103">
            <v>-0.16821897620581008</v>
          </cell>
          <cell r="BF1103">
            <v>0.32168399810791015</v>
          </cell>
          <cell r="BG1103">
            <v>0</v>
          </cell>
        </row>
        <row r="1104">
          <cell r="D1104" t="str">
            <v>基础化工</v>
          </cell>
          <cell r="M1104">
            <v>102.96000000000001</v>
          </cell>
          <cell r="N1104">
            <v>64.975719571328071</v>
          </cell>
          <cell r="O1104" t="str">
            <v>材料</v>
          </cell>
          <cell r="P1104" t="str">
            <v>材料Ⅱ</v>
          </cell>
          <cell r="Q1104" t="str">
            <v>化工</v>
          </cell>
          <cell r="BC1104">
            <v>4.2134831460674503E-3</v>
          </cell>
          <cell r="BD1104">
            <v>3.1002162941600686E-2</v>
          </cell>
          <cell r="BE1104">
            <v>1.9503844261733467</v>
          </cell>
          <cell r="BF1104">
            <v>0</v>
          </cell>
          <cell r="BG1104">
            <v>0</v>
          </cell>
        </row>
        <row r="1105">
          <cell r="D1105" t="str">
            <v>电子设备和仪器</v>
          </cell>
          <cell r="M1105">
            <v>29.52</v>
          </cell>
          <cell r="N1105">
            <v>18.622431401437499</v>
          </cell>
          <cell r="O1105" t="str">
            <v>信息技术</v>
          </cell>
          <cell r="P1105" t="str">
            <v>技术硬件与设备</v>
          </cell>
          <cell r="Q1105" t="str">
            <v>电子设备、仪器和元件</v>
          </cell>
          <cell r="BC1105">
            <v>5.3126277073969174E-3</v>
          </cell>
          <cell r="BD1105">
            <v>-3.6805011746280258E-2</v>
          </cell>
          <cell r="BE1105">
            <v>-9.4831243217026184E-2</v>
          </cell>
          <cell r="BF1105">
            <v>0.16974000930786132</v>
          </cell>
          <cell r="BG1105">
            <v>0</v>
          </cell>
        </row>
        <row r="1106">
          <cell r="D1106" t="str">
            <v>金属非金属</v>
          </cell>
          <cell r="M1106">
            <v>71.251999919999989</v>
          </cell>
          <cell r="N1106">
            <v>44.943515751196912</v>
          </cell>
          <cell r="O1106" t="str">
            <v>材料</v>
          </cell>
          <cell r="P1106" t="str">
            <v>材料Ⅱ</v>
          </cell>
          <cell r="Q1106" t="str">
            <v>金属、非金属与采矿</v>
          </cell>
          <cell r="BC1106">
            <v>2.3485784919653831E-2</v>
          </cell>
          <cell r="BD1106">
            <v>1.9076923076922998E-2</v>
          </cell>
          <cell r="BE1106">
            <v>-0.21952196068532615</v>
          </cell>
          <cell r="BF1106">
            <v>0.2054759979248047</v>
          </cell>
          <cell r="BG1106">
            <v>-4.1448001861572263E-2</v>
          </cell>
        </row>
        <row r="1107">
          <cell r="D1107" t="str">
            <v>通信设备</v>
          </cell>
          <cell r="M1107">
            <v>92.511487582800001</v>
          </cell>
          <cell r="N1107">
            <v>58.339910487211071</v>
          </cell>
          <cell r="O1107" t="str">
            <v>信息技术</v>
          </cell>
          <cell r="P1107" t="str">
            <v>技术硬件与设备</v>
          </cell>
          <cell r="Q1107" t="str">
            <v>通信设备Ⅲ</v>
          </cell>
          <cell r="BC1107">
            <v>1.3585351447135288E-2</v>
          </cell>
          <cell r="BD1107">
            <v>1.2389380530973501E-2</v>
          </cell>
          <cell r="BE1107">
            <v>-0.33167631091562294</v>
          </cell>
          <cell r="BF1107">
            <v>-8.0519998073577889E-3</v>
          </cell>
          <cell r="BG1107">
            <v>0.17702400207519531</v>
          </cell>
        </row>
        <row r="1108">
          <cell r="D1108" t="str">
            <v>金属非金属</v>
          </cell>
          <cell r="M1108">
            <v>48.169082255500008</v>
          </cell>
          <cell r="N1108">
            <v>30.364076219200616</v>
          </cell>
          <cell r="O1108" t="str">
            <v>材料</v>
          </cell>
          <cell r="P1108" t="str">
            <v>材料Ⅱ</v>
          </cell>
          <cell r="Q1108" t="str">
            <v>金属、非金属与采矿</v>
          </cell>
          <cell r="BC1108">
            <v>0</v>
          </cell>
          <cell r="BD1108">
            <v>-0.10299295774647887</v>
          </cell>
          <cell r="BE1108">
            <v>-0.35506329113924057</v>
          </cell>
          <cell r="BF1108">
            <v>9.4907999038696289E-2</v>
          </cell>
          <cell r="BG1108">
            <v>0.19913999557495118</v>
          </cell>
        </row>
        <row r="1109">
          <cell r="D1109" t="str">
            <v>电气部件与设备</v>
          </cell>
          <cell r="M1109">
            <v>52.934931456000001</v>
          </cell>
          <cell r="N1109">
            <v>33.366057958475103</v>
          </cell>
          <cell r="O1109" t="str">
            <v>工业</v>
          </cell>
          <cell r="P1109" t="str">
            <v>资本货物</v>
          </cell>
          <cell r="Q1109" t="str">
            <v>电气设备</v>
          </cell>
          <cell r="BC1109">
            <v>6.4516129032258077E-2</v>
          </cell>
          <cell r="BD1109">
            <v>9.4965675057208238E-2</v>
          </cell>
          <cell r="BE1109">
            <v>5.4451382650838882E-2</v>
          </cell>
          <cell r="BF1109">
            <v>0.45998401641845704</v>
          </cell>
          <cell r="BG1109">
            <v>8.1996002197265619E-2</v>
          </cell>
        </row>
        <row r="1110">
          <cell r="D1110" t="str">
            <v>工业机械</v>
          </cell>
          <cell r="M1110">
            <v>39.090000000000003</v>
          </cell>
          <cell r="N1110">
            <v>24.622316497747917</v>
          </cell>
          <cell r="O1110" t="str">
            <v>工业</v>
          </cell>
          <cell r="P1110" t="str">
            <v>资本货物</v>
          </cell>
          <cell r="Q1110" t="str">
            <v>机械</v>
          </cell>
          <cell r="BC1110">
            <v>5.9062584665402519E-2</v>
          </cell>
          <cell r="BD1110">
            <v>-9.3249826026443883E-2</v>
          </cell>
          <cell r="BE1110">
            <v>0</v>
          </cell>
          <cell r="BF1110">
            <v>0</v>
          </cell>
          <cell r="BG1110">
            <v>0</v>
          </cell>
        </row>
        <row r="1111">
          <cell r="D1111" t="str">
            <v>食品加工与肉类</v>
          </cell>
          <cell r="M1111">
            <v>53.810039971800002</v>
          </cell>
          <cell r="N1111">
            <v>33.854870041260114</v>
          </cell>
          <cell r="O1111" t="str">
            <v>日常消费</v>
          </cell>
          <cell r="P1111" t="str">
            <v>食品、饮料与烟草</v>
          </cell>
          <cell r="Q1111" t="str">
            <v>食品</v>
          </cell>
          <cell r="BC1111">
            <v>2.025950375597543E-2</v>
          </cell>
          <cell r="BD1111">
            <v>-4.3941979522184343E-2</v>
          </cell>
          <cell r="BE1111">
            <v>0.23327536276676</v>
          </cell>
          <cell r="BF1111">
            <v>0.40439998626708984</v>
          </cell>
          <cell r="BG1111">
            <v>0</v>
          </cell>
        </row>
        <row r="1112">
          <cell r="D1112" t="str">
            <v>酒店、度假村与豪华游轮</v>
          </cell>
          <cell r="M1112">
            <v>64.46114399999999</v>
          </cell>
          <cell r="N1112">
            <v>40.549462148099998</v>
          </cell>
          <cell r="O1112" t="str">
            <v>可选消费</v>
          </cell>
          <cell r="P1112" t="str">
            <v>消费者服务Ⅱ</v>
          </cell>
          <cell r="Q1112" t="str">
            <v>酒店、餐馆与休闲Ⅲ</v>
          </cell>
          <cell r="BC1112">
            <v>-3.1199220019499541E-2</v>
          </cell>
          <cell r="BD1112">
            <v>-4.5469100224143508E-2</v>
          </cell>
          <cell r="BE1112">
            <v>3.140213729281768</v>
          </cell>
          <cell r="BF1112">
            <v>0</v>
          </cell>
          <cell r="BG1112">
            <v>0</v>
          </cell>
        </row>
        <row r="1113">
          <cell r="D1113" t="str">
            <v>机动车零配件与设备</v>
          </cell>
          <cell r="M1113">
            <v>63.264937202300011</v>
          </cell>
          <cell r="N1113">
            <v>39.783872670696518</v>
          </cell>
          <cell r="O1113" t="str">
            <v>可选消费</v>
          </cell>
          <cell r="P1113" t="str">
            <v>汽车与汽车零部件</v>
          </cell>
          <cell r="Q1113" t="str">
            <v>汽车零配件</v>
          </cell>
          <cell r="BC1113">
            <v>0.23587786259541998</v>
          </cell>
          <cell r="BD1113">
            <v>0.31626016260162604</v>
          </cell>
          <cell r="BE1113">
            <v>-9.9966152553182738E-2</v>
          </cell>
          <cell r="BF1113">
            <v>9.919199943542481E-2</v>
          </cell>
          <cell r="BG1113">
            <v>0.18173999786376954</v>
          </cell>
        </row>
        <row r="1114">
          <cell r="D1114" t="str">
            <v>工业机械</v>
          </cell>
          <cell r="M1114">
            <v>40.507200000000005</v>
          </cell>
          <cell r="N1114">
            <v>25.472465246631515</v>
          </cell>
          <cell r="O1114" t="str">
            <v>工业</v>
          </cell>
          <cell r="P1114" t="str">
            <v>资本货物</v>
          </cell>
          <cell r="Q1114" t="str">
            <v>机械</v>
          </cell>
          <cell r="BC1114">
            <v>8.785046728971975E-2</v>
          </cell>
          <cell r="BD1114">
            <v>0.11068702290076336</v>
          </cell>
          <cell r="BE1114">
            <v>0.23764936257075098</v>
          </cell>
          <cell r="BF1114">
            <v>0.33889198303222656</v>
          </cell>
          <cell r="BG1114">
            <v>0.18881999969482421</v>
          </cell>
        </row>
        <row r="1115">
          <cell r="D1115" t="str">
            <v>纸制品</v>
          </cell>
          <cell r="M1115">
            <v>57.833466909099997</v>
          </cell>
          <cell r="N1115">
            <v>36.34144638068426</v>
          </cell>
          <cell r="O1115" t="str">
            <v>材料</v>
          </cell>
          <cell r="P1115" t="str">
            <v>材料Ⅱ</v>
          </cell>
          <cell r="Q1115" t="str">
            <v>纸与林木产品</v>
          </cell>
          <cell r="BC1115">
            <v>8.1775700934579351E-2</v>
          </cell>
          <cell r="BD1115">
            <v>6.1926605504587055E-2</v>
          </cell>
          <cell r="BE1115">
            <v>-0.12969924812030081</v>
          </cell>
          <cell r="BF1115">
            <v>0.12964799880981445</v>
          </cell>
          <cell r="BG1115">
            <v>-0.10737600326538085</v>
          </cell>
        </row>
        <row r="1116">
          <cell r="D1116" t="str">
            <v>基础化工</v>
          </cell>
          <cell r="M1116">
            <v>64.991259460000009</v>
          </cell>
          <cell r="N1116">
            <v>40.820916527324691</v>
          </cell>
          <cell r="O1116" t="str">
            <v>材料</v>
          </cell>
          <cell r="P1116" t="str">
            <v>材料Ⅱ</v>
          </cell>
          <cell r="Q1116" t="str">
            <v>化工</v>
          </cell>
          <cell r="BC1116">
            <v>4.3541364296081639E-3</v>
          </cell>
          <cell r="BD1116">
            <v>0.12337662337662333</v>
          </cell>
          <cell r="BE1116">
            <v>-0.10319500619585578</v>
          </cell>
          <cell r="BF1116">
            <v>0.35059200286865233</v>
          </cell>
          <cell r="BG1116">
            <v>9.6960000991821282E-2</v>
          </cell>
        </row>
        <row r="1117">
          <cell r="D1117" t="str">
            <v>海运</v>
          </cell>
          <cell r="M1117">
            <v>177.14953854130002</v>
          </cell>
          <cell r="N1117">
            <v>111.2632839867029</v>
          </cell>
          <cell r="O1117" t="str">
            <v>工业</v>
          </cell>
          <cell r="P1117" t="str">
            <v>运输</v>
          </cell>
          <cell r="Q1117" t="str">
            <v>海运Ⅲ</v>
          </cell>
          <cell r="BC1117">
            <v>0</v>
          </cell>
          <cell r="BD1117">
            <v>0</v>
          </cell>
          <cell r="BE1117">
            <v>-0.5540145985401459</v>
          </cell>
          <cell r="BF1117">
            <v>0.16281600952148437</v>
          </cell>
          <cell r="BG1117">
            <v>0.17209199905395509</v>
          </cell>
        </row>
        <row r="1118">
          <cell r="D1118" t="str">
            <v>电气部件与设备</v>
          </cell>
          <cell r="M1118">
            <v>71.482008932500008</v>
          </cell>
          <cell r="N1118">
            <v>44.880026887172534</v>
          </cell>
          <cell r="O1118" t="str">
            <v>工业</v>
          </cell>
          <cell r="P1118" t="str">
            <v>资本货物</v>
          </cell>
          <cell r="Q1118" t="str">
            <v>电气设备</v>
          </cell>
          <cell r="BC1118">
            <v>1.1500862564692311E-2</v>
          </cell>
          <cell r="BD1118">
            <v>1.1500862564692311E-2</v>
          </cell>
          <cell r="BE1118">
            <v>-8.5175094664439635E-2</v>
          </cell>
          <cell r="BF1118">
            <v>0.31083599090576169</v>
          </cell>
          <cell r="BG1118">
            <v>0.12342000007629395</v>
          </cell>
        </row>
        <row r="1119">
          <cell r="D1119" t="str">
            <v>电子元件</v>
          </cell>
          <cell r="M1119">
            <v>43.456456504999998</v>
          </cell>
          <cell r="N1119">
            <v>27.279686335350924</v>
          </cell>
          <cell r="O1119" t="str">
            <v>信息技术</v>
          </cell>
          <cell r="P1119" t="str">
            <v>技术硬件与设备</v>
          </cell>
          <cell r="Q1119" t="str">
            <v>电子设备、仪器和元件</v>
          </cell>
          <cell r="BC1119">
            <v>2.9411764705882318E-2</v>
          </cell>
          <cell r="BD1119">
            <v>5.4794520547945258E-2</v>
          </cell>
          <cell r="BE1119">
            <v>-5.9829059829059748E-2</v>
          </cell>
          <cell r="BF1119">
            <v>3.231600046157837E-2</v>
          </cell>
          <cell r="BG1119">
            <v>5.2679997682571408E-3</v>
          </cell>
        </row>
        <row r="1120">
          <cell r="D1120" t="str">
            <v>医疗保健设备</v>
          </cell>
          <cell r="M1120">
            <v>309.30937015559994</v>
          </cell>
          <cell r="N1120">
            <v>194.16629766559299</v>
          </cell>
          <cell r="O1120" t="str">
            <v>医疗保健</v>
          </cell>
          <cell r="P1120" t="str">
            <v>医疗保健设备与服务</v>
          </cell>
          <cell r="Q1120" t="str">
            <v>医疗保健设备与用品</v>
          </cell>
          <cell r="BC1120">
            <v>-2.8211448918104662E-2</v>
          </cell>
          <cell r="BD1120">
            <v>5.3131493024636371E-2</v>
          </cell>
          <cell r="BE1120">
            <v>1.4191653998480295E-2</v>
          </cell>
          <cell r="BF1120">
            <v>0.38194801330566408</v>
          </cell>
          <cell r="BG1120">
            <v>0.12586799621582032</v>
          </cell>
        </row>
        <row r="1121">
          <cell r="D1121" t="str">
            <v>通信设备</v>
          </cell>
          <cell r="M1121">
            <v>102.6825582</v>
          </cell>
          <cell r="N1121">
            <v>64.456740624870505</v>
          </cell>
          <cell r="O1121" t="str">
            <v>信息技术</v>
          </cell>
          <cell r="P1121" t="str">
            <v>技术硬件与设备</v>
          </cell>
          <cell r="Q1121" t="str">
            <v>通信设备Ⅲ</v>
          </cell>
          <cell r="BC1121">
            <v>2.5332097621254258E-2</v>
          </cell>
          <cell r="BD1121">
            <v>-7.9844746326587265E-2</v>
          </cell>
          <cell r="BE1121">
            <v>0.15981420341344477</v>
          </cell>
          <cell r="BF1121">
            <v>0</v>
          </cell>
          <cell r="BG1121">
            <v>0</v>
          </cell>
        </row>
        <row r="1122">
          <cell r="D1122" t="str">
            <v>机动车零配件与设备</v>
          </cell>
          <cell r="M1122">
            <v>50.394518099999999</v>
          </cell>
          <cell r="N1122">
            <v>31.624405886066551</v>
          </cell>
          <cell r="O1122" t="str">
            <v>可选消费</v>
          </cell>
          <cell r="P1122" t="str">
            <v>汽车与汽车零部件</v>
          </cell>
          <cell r="Q1122" t="str">
            <v>汽车零配件</v>
          </cell>
          <cell r="BC1122">
            <v>6.9240196078431307E-2</v>
          </cell>
          <cell r="BD1122">
            <v>1.4534883720930232E-2</v>
          </cell>
          <cell r="BE1122">
            <v>-0.11644066176237586</v>
          </cell>
          <cell r="BF1122">
            <v>0.23391599655151368</v>
          </cell>
          <cell r="BG1122">
            <v>2.3412001132965089E-2</v>
          </cell>
        </row>
        <row r="1123">
          <cell r="D1123" t="str">
            <v>应用软件</v>
          </cell>
          <cell r="M1123">
            <v>173.51194501250001</v>
          </cell>
          <cell r="N1123">
            <v>108.88188158967461</v>
          </cell>
          <cell r="O1123" t="str">
            <v>信息技术</v>
          </cell>
          <cell r="P1123" t="str">
            <v>软件与服务</v>
          </cell>
          <cell r="Q1123" t="str">
            <v>软件</v>
          </cell>
          <cell r="BC1123">
            <v>-4.0777917189460163E-3</v>
          </cell>
          <cell r="BD1123">
            <v>-4.3674698795180808E-2</v>
          </cell>
          <cell r="BE1123">
            <v>-0.47401858762516225</v>
          </cell>
          <cell r="BF1123">
            <v>0.34970401763916015</v>
          </cell>
          <cell r="BG1123">
            <v>0</v>
          </cell>
        </row>
        <row r="1124">
          <cell r="D1124" t="str">
            <v>电子设备和仪器</v>
          </cell>
          <cell r="M1124">
            <v>119.45861703999999</v>
          </cell>
          <cell r="N1124">
            <v>74.940409394614733</v>
          </cell>
          <cell r="O1124" t="str">
            <v>信息技术</v>
          </cell>
          <cell r="P1124" t="str">
            <v>技术硬件与设备</v>
          </cell>
          <cell r="Q1124" t="str">
            <v>电子设备、仪器和元件</v>
          </cell>
          <cell r="BC1124">
            <v>-1.3473053892215548E-2</v>
          </cell>
          <cell r="BD1124">
            <v>6.1068702290076396E-3</v>
          </cell>
          <cell r="BE1124">
            <v>-2.4833592052756429E-2</v>
          </cell>
          <cell r="BF1124">
            <v>0.25603200912475588</v>
          </cell>
          <cell r="BG1124">
            <v>0</v>
          </cell>
        </row>
        <row r="1125">
          <cell r="D1125" t="str">
            <v>工业机械</v>
          </cell>
          <cell r="M1125">
            <v>36.095999999999997</v>
          </cell>
          <cell r="N1125">
            <v>22.639056482668515</v>
          </cell>
          <cell r="O1125" t="str">
            <v>工业</v>
          </cell>
          <cell r="P1125" t="str">
            <v>资本货物</v>
          </cell>
          <cell r="Q1125" t="str">
            <v>机械</v>
          </cell>
          <cell r="BC1125">
            <v>7.3677160080374707E-3</v>
          </cell>
          <cell r="BD1125">
            <v>-7.9559363525091839E-2</v>
          </cell>
          <cell r="BE1125">
            <v>-7.3678581039755497E-2</v>
          </cell>
          <cell r="BF1125">
            <v>0</v>
          </cell>
          <cell r="BG1125">
            <v>0</v>
          </cell>
        </row>
        <row r="1126">
          <cell r="D1126" t="str">
            <v>建筑产品</v>
          </cell>
          <cell r="M1126">
            <v>43.951999999999998</v>
          </cell>
          <cell r="N1126">
            <v>27.565552881194023</v>
          </cell>
          <cell r="O1126" t="str">
            <v>工业</v>
          </cell>
          <cell r="P1126" t="str">
            <v>资本货物</v>
          </cell>
          <cell r="Q1126" t="str">
            <v>建筑产品Ⅲ</v>
          </cell>
          <cell r="BC1126">
            <v>3.6007580543272175E-2</v>
          </cell>
          <cell r="BD1126">
            <v>-3.0395136778115935E-3</v>
          </cell>
          <cell r="BE1126">
            <v>-5.6702817429244816E-2</v>
          </cell>
          <cell r="BF1126">
            <v>0.25214399337768556</v>
          </cell>
          <cell r="BG1126">
            <v>8.3999997004866598E-5</v>
          </cell>
        </row>
        <row r="1127">
          <cell r="D1127" t="str">
            <v>化肥与农用化工</v>
          </cell>
          <cell r="M1127">
            <v>68.459040000000002</v>
          </cell>
          <cell r="N1127">
            <v>42.929247325739993</v>
          </cell>
          <cell r="O1127" t="str">
            <v>材料</v>
          </cell>
          <cell r="P1127" t="str">
            <v>材料Ⅱ</v>
          </cell>
          <cell r="Q1127" t="str">
            <v>化工</v>
          </cell>
          <cell r="BC1127">
            <v>6.0000000000000039E-2</v>
          </cell>
          <cell r="BD1127">
            <v>-4.5363575717144743E-2</v>
          </cell>
          <cell r="BE1127">
            <v>-0.15481822569187337</v>
          </cell>
          <cell r="BF1127">
            <v>0.32658000946044924</v>
          </cell>
          <cell r="BG1127">
            <v>0</v>
          </cell>
        </row>
        <row r="1128">
          <cell r="D1128" t="str">
            <v>基础化工</v>
          </cell>
          <cell r="M1128">
            <v>28.622400000000003</v>
          </cell>
          <cell r="N1128">
            <v>17.94327230988636</v>
          </cell>
          <cell r="O1128" t="str">
            <v>材料</v>
          </cell>
          <cell r="P1128" t="str">
            <v>材料Ⅱ</v>
          </cell>
          <cell r="Q1128" t="str">
            <v>化工</v>
          </cell>
          <cell r="BC1128">
            <v>5.0980392156862772E-2</v>
          </cell>
          <cell r="BD1128">
            <v>2.9940119760479733E-3</v>
          </cell>
          <cell r="BE1128">
            <v>-0.10414458011075044</v>
          </cell>
          <cell r="BF1128">
            <v>0.24058799743652343</v>
          </cell>
          <cell r="BG1128">
            <v>0</v>
          </cell>
        </row>
        <row r="1129">
          <cell r="D1129" t="str">
            <v>中药</v>
          </cell>
          <cell r="M1129">
            <v>50.231199999999994</v>
          </cell>
          <cell r="N1129">
            <v>31.481241494938267</v>
          </cell>
          <cell r="O1129" t="str">
            <v>医疗保健</v>
          </cell>
          <cell r="P1129" t="str">
            <v>制药、生物科技与生命科学</v>
          </cell>
          <cell r="Q1129" t="str">
            <v>制药</v>
          </cell>
          <cell r="BC1129">
            <v>4.1420118343195441E-3</v>
          </cell>
          <cell r="BD1129">
            <v>-3.0839520274129222E-2</v>
          </cell>
          <cell r="BE1129">
            <v>-0.15319361277445112</v>
          </cell>
          <cell r="BF1129">
            <v>4.3572001457214356E-2</v>
          </cell>
          <cell r="BG1129">
            <v>0.1702440071105957</v>
          </cell>
        </row>
        <row r="1130">
          <cell r="D1130" t="str">
            <v>西药</v>
          </cell>
          <cell r="M1130">
            <v>52.604999999999997</v>
          </cell>
          <cell r="N1130">
            <v>32.954969568353192</v>
          </cell>
          <cell r="O1130" t="str">
            <v>医疗保健</v>
          </cell>
          <cell r="P1130" t="str">
            <v>制药、生物科技与生命科学</v>
          </cell>
          <cell r="Q1130" t="str">
            <v>制药</v>
          </cell>
          <cell r="BC1130">
            <v>2.6338893766461712E-2</v>
          </cell>
          <cell r="BD1130">
            <v>9.4991364421415751E-3</v>
          </cell>
          <cell r="BE1130">
            <v>3.1121778746794455E-3</v>
          </cell>
          <cell r="BF1130">
            <v>0.5418360137939453</v>
          </cell>
          <cell r="BG1130">
            <v>0.12685199737548827</v>
          </cell>
        </row>
        <row r="1131">
          <cell r="D1131" t="str">
            <v>互联网软件与服务</v>
          </cell>
          <cell r="M1131">
            <v>213.95360000000002</v>
          </cell>
          <cell r="N1131">
            <v>133.97471400994908</v>
          </cell>
          <cell r="O1131" t="str">
            <v>信息技术</v>
          </cell>
          <cell r="P1131" t="str">
            <v>软件与服务</v>
          </cell>
          <cell r="Q1131" t="str">
            <v>互联网软件与服务Ⅲ</v>
          </cell>
          <cell r="BC1131">
            <v>5.1282051282052011E-3</v>
          </cell>
          <cell r="BD1131">
            <v>-4.3902439024390172E-2</v>
          </cell>
          <cell r="BE1131">
            <v>0.75941379886491645</v>
          </cell>
          <cell r="BF1131">
            <v>0.93331199645996099</v>
          </cell>
          <cell r="BG1131">
            <v>0</v>
          </cell>
        </row>
        <row r="1132">
          <cell r="D1132" t="str">
            <v>建筑与工程</v>
          </cell>
          <cell r="M1132">
            <v>72.712110533299992</v>
          </cell>
          <cell r="N1132">
            <v>45.529593900942452</v>
          </cell>
          <cell r="O1132" t="str">
            <v>工业</v>
          </cell>
          <cell r="P1132" t="str">
            <v>资本货物</v>
          </cell>
          <cell r="Q1132" t="str">
            <v>建筑与工程Ⅲ</v>
          </cell>
          <cell r="BC1132">
            <v>0</v>
          </cell>
          <cell r="BD1132">
            <v>0</v>
          </cell>
          <cell r="BE1132">
            <v>-1.6532960773498303E-2</v>
          </cell>
          <cell r="BF1132">
            <v>0.38469600677490234</v>
          </cell>
          <cell r="BG1132">
            <v>0.16899599075317384</v>
          </cell>
        </row>
        <row r="1133">
          <cell r="D1133" t="str">
            <v>电子设备和仪器</v>
          </cell>
          <cell r="M1133">
            <v>46.513912500000004</v>
          </cell>
          <cell r="N1133">
            <v>29.115793654828177</v>
          </cell>
          <cell r="O1133" t="str">
            <v>信息技术</v>
          </cell>
          <cell r="P1133" t="str">
            <v>技术硬件与设备</v>
          </cell>
          <cell r="Q1133" t="str">
            <v>电子设备、仪器和元件</v>
          </cell>
          <cell r="BC1133">
            <v>9.0820943762120188E-2</v>
          </cell>
          <cell r="BD1133">
            <v>-3.6264991433466676E-2</v>
          </cell>
          <cell r="BE1133">
            <v>0.36639661073825508</v>
          </cell>
          <cell r="BF1133">
            <v>0</v>
          </cell>
          <cell r="BG1133">
            <v>0</v>
          </cell>
        </row>
        <row r="1134">
          <cell r="D1134" t="str">
            <v>西药</v>
          </cell>
          <cell r="M1134">
            <v>79.355367205099995</v>
          </cell>
          <cell r="N1134">
            <v>49.645694033692223</v>
          </cell>
          <cell r="O1134" t="str">
            <v>医疗保健</v>
          </cell>
          <cell r="P1134" t="str">
            <v>制药、生物科技与生命科学</v>
          </cell>
          <cell r="Q1134" t="str">
            <v>制药</v>
          </cell>
          <cell r="BC1134">
            <v>-2.5963488843813269E-2</v>
          </cell>
          <cell r="BD1134">
            <v>-0.1452474190103239</v>
          </cell>
          <cell r="BE1134">
            <v>1.5881393413176164E-2</v>
          </cell>
          <cell r="BF1134">
            <v>0.67692001342773434</v>
          </cell>
          <cell r="BG1134">
            <v>0.43341598510742185</v>
          </cell>
        </row>
        <row r="1135">
          <cell r="D1135" t="str">
            <v>水务</v>
          </cell>
          <cell r="M1135">
            <v>39.178323000000006</v>
          </cell>
          <cell r="N1135">
            <v>24.50955138261002</v>
          </cell>
          <cell r="O1135" t="str">
            <v>公用事业</v>
          </cell>
          <cell r="P1135" t="str">
            <v>公用事业Ⅱ</v>
          </cell>
          <cell r="Q1135" t="str">
            <v>水务Ⅲ</v>
          </cell>
          <cell r="BC1135">
            <v>2.3271276595744777E-2</v>
          </cell>
          <cell r="BD1135">
            <v>-0.10989010989010982</v>
          </cell>
          <cell r="BE1135">
            <v>8.4577391442155384E-2</v>
          </cell>
          <cell r="BF1135">
            <v>0</v>
          </cell>
          <cell r="BG1135">
            <v>0</v>
          </cell>
        </row>
        <row r="1136">
          <cell r="D1136" t="str">
            <v>电子元件</v>
          </cell>
          <cell r="M1136">
            <v>134.3272526472</v>
          </cell>
          <cell r="N1136">
            <v>84.013634398177388</v>
          </cell>
          <cell r="O1136" t="str">
            <v>信息技术</v>
          </cell>
          <cell r="P1136" t="str">
            <v>技术硬件与设备</v>
          </cell>
          <cell r="Q1136" t="str">
            <v>电子设备、仪器和元件</v>
          </cell>
          <cell r="BC1136">
            <v>4.3946188340807192E-2</v>
          </cell>
          <cell r="BD1136">
            <v>-0.17034925160370626</v>
          </cell>
          <cell r="BE1136">
            <v>0.18208588245210935</v>
          </cell>
          <cell r="BF1136">
            <v>0.25971599578857424</v>
          </cell>
          <cell r="BG1136">
            <v>0.28467599868774413</v>
          </cell>
        </row>
        <row r="1137">
          <cell r="D1137" t="str">
            <v>燃气</v>
          </cell>
          <cell r="M1137">
            <v>173.20478818499998</v>
          </cell>
          <cell r="N1137">
            <v>108.32843140025626</v>
          </cell>
          <cell r="O1137" t="str">
            <v>公用事业</v>
          </cell>
          <cell r="P1137" t="str">
            <v>公用事业Ⅱ</v>
          </cell>
          <cell r="Q1137" t="str">
            <v>燃气Ⅲ</v>
          </cell>
          <cell r="BC1137">
            <v>1.5918958031837835E-2</v>
          </cell>
          <cell r="BD1137">
            <v>-2.2284122562674116E-2</v>
          </cell>
          <cell r="BE1137">
            <v>-1.4341546259657272E-2</v>
          </cell>
          <cell r="BF1137">
            <v>0.52797599792480465</v>
          </cell>
          <cell r="BG1137">
            <v>0.17142000198364257</v>
          </cell>
        </row>
        <row r="1138">
          <cell r="D1138" t="str">
            <v>基础化工</v>
          </cell>
          <cell r="M1138">
            <v>164.096</v>
          </cell>
          <cell r="N1138">
            <v>102.62884601395557</v>
          </cell>
          <cell r="O1138" t="str">
            <v>材料</v>
          </cell>
          <cell r="P1138" t="str">
            <v>材料Ⅱ</v>
          </cell>
          <cell r="Q1138" t="str">
            <v>化工</v>
          </cell>
          <cell r="BC1138">
            <v>-2.1374045801526669E-2</v>
          </cell>
          <cell r="BD1138">
            <v>6.2794348508634279E-3</v>
          </cell>
          <cell r="BE1138">
            <v>-0.23277785649728155</v>
          </cell>
          <cell r="BF1138">
            <v>0.27115200042724608</v>
          </cell>
          <cell r="BG1138">
            <v>-3.2519999146461485E-3</v>
          </cell>
        </row>
        <row r="1139">
          <cell r="D1139" t="str">
            <v>电气部件与设备</v>
          </cell>
          <cell r="M1139">
            <v>41.670400000000001</v>
          </cell>
          <cell r="N1139">
            <v>26.057570325200004</v>
          </cell>
          <cell r="O1139" t="str">
            <v>工业</v>
          </cell>
          <cell r="P1139" t="str">
            <v>资本货物</v>
          </cell>
          <cell r="Q1139" t="str">
            <v>电气设备</v>
          </cell>
          <cell r="BC1139">
            <v>7.4710627849877198E-2</v>
          </cell>
          <cell r="BD1139">
            <v>-0.14413407821229041</v>
          </cell>
          <cell r="BE1139">
            <v>-6.5308221815965933E-2</v>
          </cell>
          <cell r="BF1139">
            <v>0</v>
          </cell>
          <cell r="BG1139">
            <v>0</v>
          </cell>
        </row>
        <row r="1140">
          <cell r="D1140" t="str">
            <v>生物科技</v>
          </cell>
          <cell r="M1140">
            <v>246.58624799999998</v>
          </cell>
          <cell r="N1140">
            <v>154.18243095320415</v>
          </cell>
          <cell r="O1140" t="str">
            <v>医疗保健</v>
          </cell>
          <cell r="P1140" t="str">
            <v>制药、生物科技与生命科学</v>
          </cell>
          <cell r="Q1140" t="str">
            <v>生物科技Ⅲ</v>
          </cell>
          <cell r="BC1140">
            <v>0</v>
          </cell>
          <cell r="BD1140">
            <v>0</v>
          </cell>
          <cell r="BE1140">
            <v>4.8552051048865694</v>
          </cell>
          <cell r="BF1140">
            <v>1.9782719421386719</v>
          </cell>
          <cell r="BG1140">
            <v>0</v>
          </cell>
        </row>
        <row r="1141">
          <cell r="D1141" t="str">
            <v>贸易公司与工业品经销商</v>
          </cell>
          <cell r="M1141">
            <v>141.02828147039997</v>
          </cell>
          <cell r="N1141">
            <v>88.169742736456911</v>
          </cell>
          <cell r="O1141" t="str">
            <v>工业</v>
          </cell>
          <cell r="P1141" t="str">
            <v>资本货物</v>
          </cell>
          <cell r="Q1141" t="str">
            <v>贸易公司与工业品经销商Ⅲ</v>
          </cell>
          <cell r="BC1141">
            <v>7.0021881838074257E-2</v>
          </cell>
          <cell r="BD1141">
            <v>-8.5981308411214957E-2</v>
          </cell>
          <cell r="BE1141">
            <v>0.18978102189781004</v>
          </cell>
          <cell r="BF1141">
            <v>0.19083599090576173</v>
          </cell>
          <cell r="BG1141">
            <v>4.102799892425537E-2</v>
          </cell>
        </row>
        <row r="1142">
          <cell r="D1142" t="str">
            <v>金属非金属</v>
          </cell>
          <cell r="M1142">
            <v>62.793937372400009</v>
          </cell>
          <cell r="N1142">
            <v>39.25807144650895</v>
          </cell>
          <cell r="O1142" t="str">
            <v>材料</v>
          </cell>
          <cell r="P1142" t="str">
            <v>材料Ⅱ</v>
          </cell>
          <cell r="Q1142" t="str">
            <v>金属、非金属与采矿</v>
          </cell>
          <cell r="BC1142">
            <v>2.1645021645021181E-3</v>
          </cell>
          <cell r="BD1142">
            <v>-6.0851926977687591E-2</v>
          </cell>
          <cell r="BE1142">
            <v>-1.2231395369117982E-2</v>
          </cell>
          <cell r="BF1142">
            <v>0.50065200805664067</v>
          </cell>
          <cell r="BG1142">
            <v>0.13268400192260743</v>
          </cell>
        </row>
        <row r="1143">
          <cell r="D1143" t="str">
            <v>化肥与农用化工</v>
          </cell>
          <cell r="M1143">
            <v>34.1042776102</v>
          </cell>
          <cell r="N1143">
            <v>21.315993011755552</v>
          </cell>
          <cell r="O1143" t="str">
            <v>材料</v>
          </cell>
          <cell r="P1143" t="str">
            <v>材料Ⅱ</v>
          </cell>
          <cell r="Q1143" t="str">
            <v>化工</v>
          </cell>
          <cell r="BC1143">
            <v>4.5287637698898313E-2</v>
          </cell>
          <cell r="BD1143">
            <v>0.26518518518518508</v>
          </cell>
          <cell r="BE1143">
            <v>-0.10541539741078378</v>
          </cell>
          <cell r="BF1143">
            <v>0.4238880157470703</v>
          </cell>
          <cell r="BG1143">
            <v>-1.932000070810318E-3</v>
          </cell>
        </row>
        <row r="1144">
          <cell r="D1144" t="str">
            <v>电力</v>
          </cell>
          <cell r="M1144">
            <v>74.371694258499986</v>
          </cell>
          <cell r="N1144">
            <v>46.479948478779903</v>
          </cell>
          <cell r="O1144" t="str">
            <v>公用事业</v>
          </cell>
          <cell r="P1144" t="str">
            <v>公用事业Ⅱ</v>
          </cell>
          <cell r="Q1144" t="str">
            <v>电力Ⅲ</v>
          </cell>
          <cell r="BC1144">
            <v>0</v>
          </cell>
          <cell r="BD1144">
            <v>-4.356060606060614E-2</v>
          </cell>
          <cell r="BE1144">
            <v>-0.31712393062071703</v>
          </cell>
          <cell r="BF1144">
            <v>0.32861999511718748</v>
          </cell>
          <cell r="BG1144">
            <v>0.1118280029296875</v>
          </cell>
        </row>
        <row r="1145">
          <cell r="D1145" t="str">
            <v>复合型公用事业</v>
          </cell>
          <cell r="M1145">
            <v>27.59369272</v>
          </cell>
          <cell r="N1145">
            <v>17.239575523556667</v>
          </cell>
          <cell r="O1145" t="str">
            <v>公用事业</v>
          </cell>
          <cell r="P1145" t="str">
            <v>公用事业Ⅱ</v>
          </cell>
          <cell r="Q1145" t="str">
            <v>复合型公用事业Ⅲ</v>
          </cell>
          <cell r="BC1145">
            <v>6.7292644757433587E-2</v>
          </cell>
          <cell r="BD1145">
            <v>9.2948717948717952E-2</v>
          </cell>
          <cell r="BE1145">
            <v>0.26765798131174107</v>
          </cell>
          <cell r="BF1145">
            <v>0.30746400833129883</v>
          </cell>
          <cell r="BG1145">
            <v>8.9952001571655268E-2</v>
          </cell>
        </row>
        <row r="1146">
          <cell r="D1146" t="str">
            <v>机动车零配件与设备</v>
          </cell>
          <cell r="M1146">
            <v>55.907747999999998</v>
          </cell>
          <cell r="N1146">
            <v>34.919225164403699</v>
          </cell>
          <cell r="O1146" t="str">
            <v>可选消费</v>
          </cell>
          <cell r="P1146" t="str">
            <v>汽车与汽车零部件</v>
          </cell>
          <cell r="Q1146" t="str">
            <v>汽车零配件</v>
          </cell>
          <cell r="BC1146">
            <v>7.2158749248346324E-2</v>
          </cell>
          <cell r="BD1146">
            <v>1.3068181818181639E-2</v>
          </cell>
          <cell r="BE1146">
            <v>-0.14977881003267501</v>
          </cell>
          <cell r="BF1146">
            <v>0.44098800659179688</v>
          </cell>
          <cell r="BG1146">
            <v>0.1532040023803711</v>
          </cell>
        </row>
        <row r="1147">
          <cell r="D1147" t="str">
            <v>服装、服饰与奢侈品</v>
          </cell>
          <cell r="M1147">
            <v>64.188871250000005</v>
          </cell>
          <cell r="N1147">
            <v>40.055160194583991</v>
          </cell>
          <cell r="O1147" t="str">
            <v>可选消费</v>
          </cell>
          <cell r="P1147" t="str">
            <v>耐用消费品与服装</v>
          </cell>
          <cell r="Q1147" t="str">
            <v>纺织品、服装与奢侈品</v>
          </cell>
          <cell r="BC1147">
            <v>4.0547798066595003E-2</v>
          </cell>
          <cell r="BD1147">
            <v>-2.8335005015045198E-2</v>
          </cell>
          <cell r="BE1147">
            <v>0</v>
          </cell>
          <cell r="BF1147">
            <v>0</v>
          </cell>
          <cell r="BG1147">
            <v>0</v>
          </cell>
        </row>
        <row r="1148">
          <cell r="D1148" t="str">
            <v>工业机械</v>
          </cell>
          <cell r="M1148">
            <v>48.513348670199996</v>
          </cell>
          <cell r="N1148">
            <v>30.267390181924739</v>
          </cell>
          <cell r="O1148" t="str">
            <v>工业</v>
          </cell>
          <cell r="P1148" t="str">
            <v>资本货物</v>
          </cell>
          <cell r="Q1148" t="str">
            <v>机械</v>
          </cell>
          <cell r="BC1148">
            <v>8.7857142857142884E-2</v>
          </cell>
          <cell r="BD1148">
            <v>2.2490768714333725E-2</v>
          </cell>
          <cell r="BE1148">
            <v>0.44180069018782542</v>
          </cell>
          <cell r="BF1148">
            <v>0.10687199592590332</v>
          </cell>
          <cell r="BG1148">
            <v>0</v>
          </cell>
        </row>
        <row r="1149">
          <cell r="D1149" t="str">
            <v>西药</v>
          </cell>
          <cell r="M1149">
            <v>43.34</v>
          </cell>
          <cell r="N1149">
            <v>27.03195682888272</v>
          </cell>
          <cell r="O1149" t="str">
            <v>医疗保健</v>
          </cell>
          <cell r="P1149" t="str">
            <v>制药、生物科技与生命科学</v>
          </cell>
          <cell r="Q1149" t="str">
            <v>制药</v>
          </cell>
          <cell r="BC1149">
            <v>1.849283402681586E-3</v>
          </cell>
          <cell r="BD1149">
            <v>-7.1153021860265606E-2</v>
          </cell>
          <cell r="BE1149">
            <v>3.5220127649440373E-2</v>
          </cell>
          <cell r="BF1149">
            <v>0</v>
          </cell>
          <cell r="BG1149">
            <v>0</v>
          </cell>
        </row>
        <row r="1150">
          <cell r="D1150" t="str">
            <v>大卖场与超市</v>
          </cell>
          <cell r="M1150">
            <v>261.4748551536</v>
          </cell>
          <cell r="N1150">
            <v>163.06053912244056</v>
          </cell>
          <cell r="O1150" t="str">
            <v>日常消费</v>
          </cell>
          <cell r="P1150" t="str">
            <v>食品与主要用品零售Ⅱ</v>
          </cell>
          <cell r="Q1150" t="str">
            <v>食品与主要用品零售Ⅲ</v>
          </cell>
          <cell r="BC1150">
            <v>0.11290322580645154</v>
          </cell>
          <cell r="BD1150">
            <v>4.4016506189821225E-2</v>
          </cell>
          <cell r="BE1150">
            <v>-0.16258153949891477</v>
          </cell>
          <cell r="BF1150">
            <v>0.28270799636840821</v>
          </cell>
          <cell r="BG1150">
            <v>4.1939997673034669E-2</v>
          </cell>
        </row>
        <row r="1151">
          <cell r="D1151" t="str">
            <v>电力</v>
          </cell>
          <cell r="M1151">
            <v>41.128468034400001</v>
          </cell>
          <cell r="N1151">
            <v>25.641056671841834</v>
          </cell>
          <cell r="O1151" t="str">
            <v>公用事业</v>
          </cell>
          <cell r="P1151" t="str">
            <v>公用事业Ⅱ</v>
          </cell>
          <cell r="Q1151" t="str">
            <v>电力Ⅲ</v>
          </cell>
          <cell r="BC1151">
            <v>4.4996642041638675E-2</v>
          </cell>
          <cell r="BD1151">
            <v>4.0106951871657727E-2</v>
          </cell>
          <cell r="BE1151">
            <v>-0.22818981428717094</v>
          </cell>
          <cell r="BF1151">
            <v>0.12972000122070312</v>
          </cell>
          <cell r="BG1151">
            <v>6.9480001926422123E-3</v>
          </cell>
        </row>
        <row r="1152">
          <cell r="D1152" t="str">
            <v>药品零售</v>
          </cell>
          <cell r="M1152">
            <v>272.41536038359999</v>
          </cell>
          <cell r="N1152">
            <v>169.81605211810481</v>
          </cell>
          <cell r="O1152" t="str">
            <v>日常消费</v>
          </cell>
          <cell r="P1152" t="str">
            <v>食品与主要用品零售Ⅱ</v>
          </cell>
          <cell r="Q1152" t="str">
            <v>食品与主要用品零售Ⅲ</v>
          </cell>
          <cell r="BC1152">
            <v>-9.580838323353302E-3</v>
          </cell>
          <cell r="BD1152">
            <v>-0.11598075895243194</v>
          </cell>
          <cell r="BE1152">
            <v>-0.38283582089552243</v>
          </cell>
          <cell r="BF1152">
            <v>3.8412001132965085E-2</v>
          </cell>
          <cell r="BG1152">
            <v>6.2628002166748048E-2</v>
          </cell>
        </row>
        <row r="1153">
          <cell r="D1153" t="str">
            <v>煤炭与消费用燃料</v>
          </cell>
          <cell r="M1153">
            <v>75.212500000000006</v>
          </cell>
          <cell r="N1153">
            <v>46.856571309457223</v>
          </cell>
          <cell r="O1153" t="str">
            <v>能源</v>
          </cell>
          <cell r="P1153" t="str">
            <v>能源Ⅱ</v>
          </cell>
          <cell r="Q1153" t="str">
            <v>石油、天然气与供消费用燃料</v>
          </cell>
          <cell r="BC1153">
            <v>5.4844606946984004E-3</v>
          </cell>
          <cell r="BD1153">
            <v>-8.9403973509933773E-2</v>
          </cell>
          <cell r="BE1153">
            <v>4.1419085185294947E-2</v>
          </cell>
          <cell r="BF1153">
            <v>0.3942599868774414</v>
          </cell>
          <cell r="BG1153">
            <v>0</v>
          </cell>
        </row>
        <row r="1154">
          <cell r="D1154" t="str">
            <v>电子设备和仪器</v>
          </cell>
          <cell r="M1154">
            <v>42.147398580000001</v>
          </cell>
          <cell r="N1154">
            <v>26.251212075575928</v>
          </cell>
          <cell r="O1154" t="str">
            <v>信息技术</v>
          </cell>
          <cell r="P1154" t="str">
            <v>技术硬件与设备</v>
          </cell>
          <cell r="Q1154" t="str">
            <v>电子设备、仪器和元件</v>
          </cell>
          <cell r="BC1154">
            <v>-3.6286019210245449E-2</v>
          </cell>
          <cell r="BD1154">
            <v>5.1222351571594819E-2</v>
          </cell>
          <cell r="BE1154">
            <v>-0.16192230011990988</v>
          </cell>
          <cell r="BF1154">
            <v>0.20766000747680663</v>
          </cell>
          <cell r="BG1154">
            <v>0</v>
          </cell>
        </row>
        <row r="1155">
          <cell r="D1155" t="str">
            <v>环境与设施服务</v>
          </cell>
          <cell r="M1155">
            <v>96.322887328999997</v>
          </cell>
          <cell r="N1155">
            <v>59.974950940341344</v>
          </cell>
          <cell r="O1155" t="str">
            <v>工业</v>
          </cell>
          <cell r="P1155" t="str">
            <v>商业和专业服务</v>
          </cell>
          <cell r="Q1155" t="str">
            <v>商业服务与用品</v>
          </cell>
          <cell r="BC1155">
            <v>5.2606746874262721E-2</v>
          </cell>
          <cell r="BD1155">
            <v>-2.6826608505997905E-2</v>
          </cell>
          <cell r="BE1155">
            <v>0.14216315245482689</v>
          </cell>
          <cell r="BF1155">
            <v>0.28851600646972658</v>
          </cell>
          <cell r="BG1155">
            <v>0</v>
          </cell>
        </row>
        <row r="1156">
          <cell r="D1156" t="str">
            <v>家用电器</v>
          </cell>
          <cell r="M1156">
            <v>65.62751999999999</v>
          </cell>
          <cell r="N1156">
            <v>40.861357717209877</v>
          </cell>
          <cell r="O1156" t="str">
            <v>可选消费</v>
          </cell>
          <cell r="P1156" t="str">
            <v>耐用消费品与服装</v>
          </cell>
          <cell r="Q1156" t="str">
            <v>家庭耐用消费品</v>
          </cell>
          <cell r="BC1156">
            <v>0.13365155131264905</v>
          </cell>
          <cell r="BD1156">
            <v>0.1571254567600486</v>
          </cell>
          <cell r="BE1156">
            <v>0.35134950312817065</v>
          </cell>
          <cell r="BF1156">
            <v>0.52324798583984378</v>
          </cell>
          <cell r="BG1156">
            <v>8.4636001586914061E-2</v>
          </cell>
        </row>
        <row r="1157">
          <cell r="D1157" t="str">
            <v>工业机械</v>
          </cell>
          <cell r="M1157">
            <v>233.34798541360001</v>
          </cell>
          <cell r="N1157">
            <v>145.26826022186003</v>
          </cell>
          <cell r="O1157" t="str">
            <v>工业</v>
          </cell>
          <cell r="P1157" t="str">
            <v>资本货物</v>
          </cell>
          <cell r="Q1157" t="str">
            <v>机械</v>
          </cell>
          <cell r="BC1157">
            <v>1.124744376278131E-2</v>
          </cell>
          <cell r="BD1157">
            <v>3.0208333333333431E-2</v>
          </cell>
          <cell r="BE1157">
            <v>4.1617874159998437E-2</v>
          </cell>
          <cell r="BF1157">
            <v>0.24204000473022461</v>
          </cell>
          <cell r="BG1157">
            <v>0.11090399742126465</v>
          </cell>
        </row>
        <row r="1158">
          <cell r="D1158" t="str">
            <v>电子设备和仪器</v>
          </cell>
          <cell r="M1158">
            <v>48.904138847999995</v>
          </cell>
          <cell r="N1158">
            <v>30.42627470128442</v>
          </cell>
          <cell r="O1158" t="str">
            <v>信息技术</v>
          </cell>
          <cell r="P1158" t="str">
            <v>技术硬件与设备</v>
          </cell>
          <cell r="Q1158" t="str">
            <v>电子设备、仪器和元件</v>
          </cell>
          <cell r="BC1158">
            <v>3.5335689045935641E-3</v>
          </cell>
          <cell r="BD1158">
            <v>-3.7940379403794071E-2</v>
          </cell>
          <cell r="BE1158">
            <v>-0.23614246793602456</v>
          </cell>
          <cell r="BF1158">
            <v>7.1160001754760741E-2</v>
          </cell>
          <cell r="BG1158">
            <v>0.13969200134277343</v>
          </cell>
        </row>
        <row r="1159">
          <cell r="D1159" t="str">
            <v>电气部件与设备</v>
          </cell>
          <cell r="M1159">
            <v>36.885958000000002</v>
          </cell>
          <cell r="N1159">
            <v>22.947351037484566</v>
          </cell>
          <cell r="O1159" t="str">
            <v>工业</v>
          </cell>
          <cell r="P1159" t="str">
            <v>资本货物</v>
          </cell>
          <cell r="Q1159" t="str">
            <v>电气设备</v>
          </cell>
          <cell r="BC1159">
            <v>1.3349514563106726E-2</v>
          </cell>
          <cell r="BD1159">
            <v>-6.7039106145251368E-2</v>
          </cell>
          <cell r="BE1159">
            <v>-0.32841712686805818</v>
          </cell>
          <cell r="BF1159">
            <v>0.1061520004272461</v>
          </cell>
          <cell r="BG1159">
            <v>3.1403999328613284E-2</v>
          </cell>
        </row>
        <row r="1160">
          <cell r="D1160" t="str">
            <v>煤炭与消费用燃料</v>
          </cell>
          <cell r="M1160">
            <v>164.24035012000002</v>
          </cell>
          <cell r="N1160">
            <v>102.12622787638888</v>
          </cell>
          <cell r="O1160" t="str">
            <v>能源</v>
          </cell>
          <cell r="P1160" t="str">
            <v>能源Ⅱ</v>
          </cell>
          <cell r="Q1160" t="str">
            <v>石油、天然气与供消费用燃料</v>
          </cell>
          <cell r="BC1160">
            <v>-2.7607361963190143E-2</v>
          </cell>
          <cell r="BD1160">
            <v>-0.16137566137566134</v>
          </cell>
          <cell r="BE1160">
            <v>-0.13975576662143829</v>
          </cell>
          <cell r="BF1160">
            <v>0.57710399627685549</v>
          </cell>
          <cell r="BG1160">
            <v>6.9264001846313483E-2</v>
          </cell>
        </row>
        <row r="1161">
          <cell r="D1161" t="str">
            <v>机动车零配件与设备</v>
          </cell>
          <cell r="M1161">
            <v>48.610816</v>
          </cell>
          <cell r="N1161">
            <v>30.210468677339509</v>
          </cell>
          <cell r="O1161" t="str">
            <v>可选消费</v>
          </cell>
          <cell r="P1161" t="str">
            <v>汽车与汽车零部件</v>
          </cell>
          <cell r="Q1161" t="str">
            <v>汽车零配件</v>
          </cell>
          <cell r="BC1161">
            <v>0.25089179548156948</v>
          </cell>
          <cell r="BD1161">
            <v>0.16759156492785793</v>
          </cell>
          <cell r="BE1161">
            <v>0.18870056497175142</v>
          </cell>
          <cell r="BF1161">
            <v>0.42762001037597658</v>
          </cell>
          <cell r="BG1161">
            <v>2.5188000202178956E-2</v>
          </cell>
        </row>
        <row r="1162">
          <cell r="D1162" t="str">
            <v>百货商店</v>
          </cell>
          <cell r="M1162">
            <v>72.622465329699992</v>
          </cell>
          <cell r="N1162">
            <v>45.130610424528712</v>
          </cell>
          <cell r="O1162" t="str">
            <v>可选消费</v>
          </cell>
          <cell r="P1162" t="str">
            <v>零售业</v>
          </cell>
          <cell r="Q1162" t="str">
            <v>多元化零售</v>
          </cell>
          <cell r="BC1162">
            <v>3.1437125748502992E-2</v>
          </cell>
          <cell r="BD1162">
            <v>-2.4079320113314439E-2</v>
          </cell>
          <cell r="BE1162">
            <v>-0.11527259498410028</v>
          </cell>
          <cell r="BF1162">
            <v>0.18933599472045898</v>
          </cell>
          <cell r="BG1162">
            <v>0.105108003616333</v>
          </cell>
        </row>
        <row r="1163">
          <cell r="D1163" t="str">
            <v>大卖场与超市</v>
          </cell>
          <cell r="M1163">
            <v>360.7904527796</v>
          </cell>
          <cell r="N1163">
            <v>224.19491073614137</v>
          </cell>
          <cell r="O1163" t="str">
            <v>日常消费</v>
          </cell>
          <cell r="P1163" t="str">
            <v>食品与主要用品零售Ⅱ</v>
          </cell>
          <cell r="Q1163" t="str">
            <v>食品与主要用品零售Ⅲ</v>
          </cell>
          <cell r="BC1163">
            <v>3.8641686182669804E-2</v>
          </cell>
          <cell r="BD1163">
            <v>7.7764277035236792E-2</v>
          </cell>
          <cell r="BE1163">
            <v>-0.18426686949447629</v>
          </cell>
          <cell r="BF1163">
            <v>0.19500000000000001</v>
          </cell>
          <cell r="BG1163">
            <v>9.5483999252319332E-2</v>
          </cell>
        </row>
        <row r="1164">
          <cell r="D1164" t="str">
            <v>教育服务</v>
          </cell>
          <cell r="M1164">
            <v>80.961414375000004</v>
          </cell>
          <cell r="N1164">
            <v>50.30734496336725</v>
          </cell>
          <cell r="O1164" t="str">
            <v>可选消费</v>
          </cell>
          <cell r="P1164" t="str">
            <v>消费者服务Ⅱ</v>
          </cell>
          <cell r="Q1164" t="str">
            <v>综合消费者服务Ⅲ</v>
          </cell>
          <cell r="BC1164">
            <v>1.7915309446254093E-2</v>
          </cell>
          <cell r="BD1164">
            <v>-4.405016824717032E-2</v>
          </cell>
          <cell r="BE1164">
            <v>-0.32124239791485665</v>
          </cell>
          <cell r="BF1164">
            <v>0.37718399047851564</v>
          </cell>
          <cell r="BG1164">
            <v>0.38166000366210939</v>
          </cell>
        </row>
        <row r="1165">
          <cell r="D1165" t="str">
            <v>信息科技咨询与其它服务</v>
          </cell>
          <cell r="M1165">
            <v>359.02548367770004</v>
          </cell>
          <cell r="N1165">
            <v>222.96409881521151</v>
          </cell>
          <cell r="O1165" t="str">
            <v>信息技术</v>
          </cell>
          <cell r="P1165" t="str">
            <v>软件与服务</v>
          </cell>
          <cell r="Q1165" t="str">
            <v>信息技术服务</v>
          </cell>
          <cell r="BC1165">
            <v>0</v>
          </cell>
          <cell r="BD1165">
            <v>-7.0858283433133704E-2</v>
          </cell>
          <cell r="BE1165">
            <v>-0.13930996304699247</v>
          </cell>
          <cell r="BF1165">
            <v>0.34335601806640625</v>
          </cell>
          <cell r="BG1165">
            <v>0.30837600708007812</v>
          </cell>
        </row>
        <row r="1166">
          <cell r="D1166" t="str">
            <v>商业印刷</v>
          </cell>
          <cell r="M1166">
            <v>117.75481365180001</v>
          </cell>
          <cell r="N1166">
            <v>73.12760972944146</v>
          </cell>
          <cell r="O1166" t="str">
            <v>工业</v>
          </cell>
          <cell r="P1166" t="str">
            <v>商业和专业服务</v>
          </cell>
          <cell r="Q1166" t="str">
            <v>商业服务与用品</v>
          </cell>
          <cell r="BC1166">
            <v>-4.4569067296340172E-2</v>
          </cell>
          <cell r="BD1166">
            <v>-1.5422578655152456E-3</v>
          </cell>
          <cell r="BE1166">
            <v>0.25031196141244311</v>
          </cell>
          <cell r="BF1166">
            <v>0.31913999557495115</v>
          </cell>
          <cell r="BG1166">
            <v>0.36020401000976565</v>
          </cell>
        </row>
        <row r="1167">
          <cell r="D1167" t="str">
            <v>电子元件</v>
          </cell>
          <cell r="M1167">
            <v>81.196748505499997</v>
          </cell>
          <cell r="N1167">
            <v>50.411579851416668</v>
          </cell>
          <cell r="O1167" t="str">
            <v>信息技术</v>
          </cell>
          <cell r="P1167" t="str">
            <v>技术硬件与设备</v>
          </cell>
          <cell r="Q1167" t="str">
            <v>电子设备、仪器和元件</v>
          </cell>
          <cell r="BC1167">
            <v>6.1269146608314957E-2</v>
          </cell>
          <cell r="BD1167">
            <v>8.9887640449438075E-2</v>
          </cell>
          <cell r="BE1167">
            <v>-0.21900161030595819</v>
          </cell>
          <cell r="BF1167">
            <v>0.34779598236083986</v>
          </cell>
          <cell r="BG1167">
            <v>2.3459999561309813E-2</v>
          </cell>
        </row>
        <row r="1168">
          <cell r="D1168" t="str">
            <v>农产品</v>
          </cell>
          <cell r="M1168">
            <v>31.551861971000005</v>
          </cell>
          <cell r="N1168">
            <v>19.588750044629631</v>
          </cell>
          <cell r="O1168" t="str">
            <v>日常消费</v>
          </cell>
          <cell r="P1168" t="str">
            <v>食品、饮料与烟草</v>
          </cell>
          <cell r="Q1168" t="str">
            <v>食品</v>
          </cell>
          <cell r="BC1168">
            <v>-5.0991501416430517E-2</v>
          </cell>
          <cell r="BD1168">
            <v>7.5187969924811757E-3</v>
          </cell>
          <cell r="BE1168">
            <v>-0.19752725155172304</v>
          </cell>
          <cell r="BF1168">
            <v>0.27955200195312502</v>
          </cell>
          <cell r="BG1168">
            <v>1.0859999656677246E-2</v>
          </cell>
        </row>
        <row r="1169">
          <cell r="D1169" t="str">
            <v>电子元件</v>
          </cell>
          <cell r="M1169">
            <v>92.684799999999996</v>
          </cell>
          <cell r="N1169">
            <v>57.540266552011261</v>
          </cell>
          <cell r="O1169" t="str">
            <v>信息技术</v>
          </cell>
          <cell r="P1169" t="str">
            <v>技术硬件与设备</v>
          </cell>
          <cell r="Q1169" t="str">
            <v>电子设备、仪器和元件</v>
          </cell>
          <cell r="BC1169">
            <v>-5.357142857142806E-3</v>
          </cell>
          <cell r="BD1169">
            <v>-9.6017069701280072E-3</v>
          </cell>
          <cell r="BE1169">
            <v>3.8687338544574901E-2</v>
          </cell>
          <cell r="BF1169">
            <v>0</v>
          </cell>
          <cell r="BG1169">
            <v>0</v>
          </cell>
        </row>
        <row r="1170">
          <cell r="D1170" t="str">
            <v>白酒与葡萄酒</v>
          </cell>
          <cell r="M1170">
            <v>243.54535920000001</v>
          </cell>
          <cell r="N1170">
            <v>151.18291599766667</v>
          </cell>
          <cell r="O1170" t="str">
            <v>日常消费</v>
          </cell>
          <cell r="P1170" t="str">
            <v>食品、饮料与烟草</v>
          </cell>
          <cell r="Q1170" t="str">
            <v>饮料</v>
          </cell>
          <cell r="BC1170">
            <v>1.2250712250712241E-2</v>
          </cell>
          <cell r="BD1170">
            <v>-1.0306406685236698E-2</v>
          </cell>
          <cell r="BE1170">
            <v>-8.2714192433155379E-2</v>
          </cell>
          <cell r="BF1170">
            <v>0.17614799499511719</v>
          </cell>
          <cell r="BG1170">
            <v>-7.0464000701904297E-2</v>
          </cell>
        </row>
        <row r="1171">
          <cell r="D1171" t="str">
            <v>钢铁</v>
          </cell>
          <cell r="M1171">
            <v>46.611650000000004</v>
          </cell>
          <cell r="N1171">
            <v>28.926385385481488</v>
          </cell>
          <cell r="O1171" t="str">
            <v>材料</v>
          </cell>
          <cell r="P1171" t="str">
            <v>材料Ⅱ</v>
          </cell>
          <cell r="Q1171" t="str">
            <v>金属、非金属与采矿</v>
          </cell>
          <cell r="BC1171">
            <v>1.3043478260869596E-2</v>
          </cell>
          <cell r="BD1171">
            <v>1.0407632263660104E-2</v>
          </cell>
          <cell r="BE1171">
            <v>-0.16934024429534511</v>
          </cell>
          <cell r="BF1171">
            <v>0.11142000198364257</v>
          </cell>
          <cell r="BG1171">
            <v>-2.222399950027466E-2</v>
          </cell>
        </row>
        <row r="1172">
          <cell r="D1172" t="str">
            <v>工业机械</v>
          </cell>
          <cell r="M1172">
            <v>83.206105007200009</v>
          </cell>
          <cell r="N1172">
            <v>51.635807455727061</v>
          </cell>
          <cell r="O1172" t="str">
            <v>工业</v>
          </cell>
          <cell r="P1172" t="str">
            <v>资本货物</v>
          </cell>
          <cell r="Q1172" t="str">
            <v>机械</v>
          </cell>
          <cell r="BC1172">
            <v>-2.5691056910569079E-2</v>
          </cell>
          <cell r="BD1172">
            <v>-2.2193211488250642E-2</v>
          </cell>
          <cell r="BE1172">
            <v>-0.21012391247034007</v>
          </cell>
          <cell r="BF1172">
            <v>0.34063201904296875</v>
          </cell>
          <cell r="BG1172">
            <v>0</v>
          </cell>
        </row>
        <row r="1173">
          <cell r="D1173" t="str">
            <v>纺织品</v>
          </cell>
          <cell r="M1173">
            <v>36.227160479999995</v>
          </cell>
          <cell r="N1173">
            <v>22.473950515029994</v>
          </cell>
          <cell r="O1173" t="str">
            <v>可选消费</v>
          </cell>
          <cell r="P1173" t="str">
            <v>耐用消费品与服装</v>
          </cell>
          <cell r="Q1173" t="str">
            <v>纺织品、服装与奢侈品</v>
          </cell>
          <cell r="BC1173">
            <v>1.6034985422740441E-2</v>
          </cell>
          <cell r="BD1173">
            <v>4.9698795180722906E-2</v>
          </cell>
          <cell r="BE1173">
            <v>0.1169530144126259</v>
          </cell>
          <cell r="BF1173">
            <v>0.29704799652099612</v>
          </cell>
          <cell r="BG1173">
            <v>6.6276001930236819E-2</v>
          </cell>
        </row>
        <row r="1174">
          <cell r="D1174" t="str">
            <v>信息科技咨询与其它服务</v>
          </cell>
          <cell r="M1174">
            <v>115.00851203100001</v>
          </cell>
          <cell r="N1174">
            <v>71.34410477573536</v>
          </cell>
          <cell r="O1174" t="str">
            <v>信息技术</v>
          </cell>
          <cell r="P1174" t="str">
            <v>软件与服务</v>
          </cell>
          <cell r="Q1174" t="str">
            <v>信息技术服务</v>
          </cell>
          <cell r="BC1174">
            <v>0</v>
          </cell>
          <cell r="BD1174">
            <v>0</v>
          </cell>
          <cell r="BE1174">
            <v>1.4033402602041798</v>
          </cell>
          <cell r="BF1174">
            <v>0.94778396606445314</v>
          </cell>
          <cell r="BG1174">
            <v>0</v>
          </cell>
        </row>
        <row r="1175">
          <cell r="D1175" t="str">
            <v>工业机械</v>
          </cell>
          <cell r="M1175">
            <v>121.27769805449999</v>
          </cell>
          <cell r="N1175">
            <v>75.184164813008621</v>
          </cell>
          <cell r="O1175" t="str">
            <v>工业</v>
          </cell>
          <cell r="P1175" t="str">
            <v>资本货物</v>
          </cell>
          <cell r="Q1175" t="str">
            <v>机械</v>
          </cell>
          <cell r="BC1175">
            <v>7.0175438596491196E-2</v>
          </cell>
          <cell r="BD1175">
            <v>-2.9934518241347081E-2</v>
          </cell>
          <cell r="BE1175">
            <v>-0.32945836294848796</v>
          </cell>
          <cell r="BF1175">
            <v>0.20837999343872071</v>
          </cell>
          <cell r="BG1175">
            <v>-0.15355199813842774</v>
          </cell>
        </row>
        <row r="1176">
          <cell r="D1176" t="str">
            <v>建筑产品</v>
          </cell>
          <cell r="M1176">
            <v>45.698399999999999</v>
          </cell>
          <cell r="N1176">
            <v>28.321687989435183</v>
          </cell>
          <cell r="O1176" t="str">
            <v>工业</v>
          </cell>
          <cell r="P1176" t="str">
            <v>资本货物</v>
          </cell>
          <cell r="Q1176" t="str">
            <v>建筑产品Ⅲ</v>
          </cell>
          <cell r="BC1176">
            <v>-3.1337437045327488E-2</v>
          </cell>
          <cell r="BD1176">
            <v>-4.6003450258770466E-3</v>
          </cell>
          <cell r="BE1176">
            <v>-0.10072670824846197</v>
          </cell>
          <cell r="BF1176">
            <v>0.28384799957275392</v>
          </cell>
          <cell r="BG1176">
            <v>0</v>
          </cell>
        </row>
        <row r="1177">
          <cell r="D1177" t="str">
            <v>房地产开发</v>
          </cell>
          <cell r="M1177">
            <v>366.71671824840001</v>
          </cell>
          <cell r="N1177">
            <v>227.23817720378662</v>
          </cell>
          <cell r="O1177" t="str">
            <v>金融</v>
          </cell>
          <cell r="P1177" t="str">
            <v>房地产</v>
          </cell>
          <cell r="Q1177" t="str">
            <v>房地产管理与开发</v>
          </cell>
          <cell r="BC1177">
            <v>3.0690537084399002E-2</v>
          </cell>
          <cell r="BD1177">
            <v>2.8061224489796002E-2</v>
          </cell>
          <cell r="BE1177">
            <v>-0.51725820901425157</v>
          </cell>
          <cell r="BF1177">
            <v>0.21236400604248046</v>
          </cell>
          <cell r="BG1177">
            <v>5.5043997764587405E-2</v>
          </cell>
        </row>
        <row r="1178">
          <cell r="D1178" t="str">
            <v>西药</v>
          </cell>
          <cell r="M1178">
            <v>411.13546515090002</v>
          </cell>
          <cell r="N1178">
            <v>254.76194795103206</v>
          </cell>
          <cell r="O1178" t="str">
            <v>医疗保健</v>
          </cell>
          <cell r="P1178" t="str">
            <v>制药、生物科技与生命科学</v>
          </cell>
          <cell r="Q1178" t="str">
            <v>制药</v>
          </cell>
          <cell r="BC1178">
            <v>-1.0329244673983225E-2</v>
          </cell>
          <cell r="BD1178">
            <v>-1.5414258188824677E-2</v>
          </cell>
          <cell r="BE1178">
            <v>8.552631578947421E-3</v>
          </cell>
          <cell r="BF1178">
            <v>1.0274639892578126</v>
          </cell>
          <cell r="BG1178">
            <v>0.26881200790405274</v>
          </cell>
        </row>
        <row r="1179">
          <cell r="D1179" t="str">
            <v>石油天然气设备与服务</v>
          </cell>
          <cell r="M1179">
            <v>28.640224771900002</v>
          </cell>
          <cell r="N1179">
            <v>17.746995118134645</v>
          </cell>
          <cell r="O1179" t="str">
            <v>能源</v>
          </cell>
          <cell r="P1179" t="str">
            <v>能源Ⅱ</v>
          </cell>
          <cell r="Q1179" t="str">
            <v>能源设备与服务</v>
          </cell>
          <cell r="BC1179">
            <v>0</v>
          </cell>
          <cell r="BD1179">
            <v>0</v>
          </cell>
          <cell r="BE1179">
            <v>-0.44298230721636073</v>
          </cell>
          <cell r="BF1179">
            <v>-0.21314399719238281</v>
          </cell>
          <cell r="BG1179">
            <v>6.8736000061035155E-2</v>
          </cell>
        </row>
        <row r="1180">
          <cell r="D1180" t="str">
            <v>房地产开发</v>
          </cell>
          <cell r="M1180">
            <v>69.820373184600001</v>
          </cell>
          <cell r="N1180">
            <v>43.259678751535958</v>
          </cell>
          <cell r="O1180" t="str">
            <v>金融</v>
          </cell>
          <cell r="P1180" t="str">
            <v>房地产</v>
          </cell>
          <cell r="Q1180" t="str">
            <v>房地产管理与开发</v>
          </cell>
          <cell r="BC1180">
            <v>3.5785288270377677E-2</v>
          </cell>
          <cell r="BD1180">
            <v>4.4088176352705358E-2</v>
          </cell>
          <cell r="BE1180">
            <v>-0.3310377077958655</v>
          </cell>
          <cell r="BF1180">
            <v>0.24903600692749023</v>
          </cell>
          <cell r="BG1180">
            <v>0.14415599822998046</v>
          </cell>
        </row>
        <row r="1181">
          <cell r="D1181" t="str">
            <v>电力</v>
          </cell>
          <cell r="M1181">
            <v>64.897559999999999</v>
          </cell>
          <cell r="N1181">
            <v>40.192578821578259</v>
          </cell>
          <cell r="O1181" t="str">
            <v>公用事业</v>
          </cell>
          <cell r="P1181" t="str">
            <v>公用事业Ⅱ</v>
          </cell>
          <cell r="Q1181" t="str">
            <v>电力Ⅲ</v>
          </cell>
          <cell r="BC1181">
            <v>1.6861219195849531E-2</v>
          </cell>
          <cell r="BD1181">
            <v>3.9787798408488041E-2</v>
          </cell>
          <cell r="BE1181">
            <v>-5.3041567801662302E-3</v>
          </cell>
          <cell r="BF1181">
            <v>0.47247600555419922</v>
          </cell>
          <cell r="BG1181">
            <v>0.11126399993896484</v>
          </cell>
        </row>
        <row r="1182">
          <cell r="D1182" t="str">
            <v>西药</v>
          </cell>
          <cell r="M1182">
            <v>102.78399999999999</v>
          </cell>
          <cell r="N1182">
            <v>63.625787885827165</v>
          </cell>
          <cell r="O1182" t="str">
            <v>医疗保健</v>
          </cell>
          <cell r="P1182" t="str">
            <v>制药、生物科技与生命科学</v>
          </cell>
          <cell r="Q1182" t="str">
            <v>制药</v>
          </cell>
          <cell r="BC1182">
            <v>1.903553299492379E-2</v>
          </cell>
          <cell r="BD1182">
            <v>-7.0063694267515977E-2</v>
          </cell>
          <cell r="BE1182">
            <v>7.7295879696160461E-2</v>
          </cell>
          <cell r="BF1182">
            <v>0.48550800323486326</v>
          </cell>
          <cell r="BG1182">
            <v>0.24242399215698243</v>
          </cell>
        </row>
        <row r="1183">
          <cell r="D1183" t="str">
            <v>纸制品</v>
          </cell>
          <cell r="M1183">
            <v>31.097936449800002</v>
          </cell>
          <cell r="N1183">
            <v>19.247788004966964</v>
          </cell>
          <cell r="O1183" t="str">
            <v>材料</v>
          </cell>
          <cell r="P1183" t="str">
            <v>材料Ⅱ</v>
          </cell>
          <cell r="Q1183" t="str">
            <v>纸与林木产品</v>
          </cell>
          <cell r="BC1183">
            <v>4.9395161290322599E-2</v>
          </cell>
          <cell r="BD1183">
            <v>3.9960039960039995E-2</v>
          </cell>
          <cell r="BE1183">
            <v>5.9044743245790586E-2</v>
          </cell>
          <cell r="BF1183">
            <v>0.30715200424194333</v>
          </cell>
          <cell r="BG1183">
            <v>5.2091999053955076E-2</v>
          </cell>
        </row>
        <row r="1184">
          <cell r="D1184" t="str">
            <v>基础化工</v>
          </cell>
          <cell r="M1184">
            <v>111.34810368240001</v>
          </cell>
          <cell r="N1184">
            <v>68.915405013404055</v>
          </cell>
          <cell r="O1184" t="str">
            <v>材料</v>
          </cell>
          <cell r="P1184" t="str">
            <v>材料Ⅱ</v>
          </cell>
          <cell r="Q1184" t="str">
            <v>化工</v>
          </cell>
          <cell r="BC1184">
            <v>1.9103600293901526E-2</v>
          </cell>
          <cell r="BD1184">
            <v>-5.5177111716621291E-2</v>
          </cell>
          <cell r="BE1184">
            <v>-0.17438002250809848</v>
          </cell>
          <cell r="BF1184">
            <v>0.29521200180053708</v>
          </cell>
          <cell r="BG1184">
            <v>-1.9644000530242921E-2</v>
          </cell>
        </row>
        <row r="1185">
          <cell r="D1185" t="str">
            <v>应用软件</v>
          </cell>
          <cell r="M1185">
            <v>236.086192662</v>
          </cell>
          <cell r="N1185">
            <v>146.08688610576269</v>
          </cell>
          <cell r="O1185" t="str">
            <v>信息技术</v>
          </cell>
          <cell r="P1185" t="str">
            <v>软件与服务</v>
          </cell>
          <cell r="Q1185" t="str">
            <v>软件</v>
          </cell>
          <cell r="BC1185">
            <v>5.2014995313964363E-2</v>
          </cell>
          <cell r="BD1185">
            <v>2.5816769476810494E-2</v>
          </cell>
          <cell r="BE1185">
            <v>-0.28843919880848401</v>
          </cell>
          <cell r="BF1185">
            <v>1.4078039550781249</v>
          </cell>
          <cell r="BG1185">
            <v>0.83691596984863281</v>
          </cell>
        </row>
        <row r="1186">
          <cell r="D1186" t="str">
            <v>工业机械</v>
          </cell>
          <cell r="M1186">
            <v>75.909599999999983</v>
          </cell>
          <cell r="N1186">
            <v>46.971118356047398</v>
          </cell>
          <cell r="O1186" t="str">
            <v>工业</v>
          </cell>
          <cell r="P1186" t="str">
            <v>资本货物</v>
          </cell>
          <cell r="Q1186" t="str">
            <v>机械</v>
          </cell>
          <cell r="BC1186">
            <v>-4.5461232896866315E-2</v>
          </cell>
          <cell r="BD1186">
            <v>0.11669535283993104</v>
          </cell>
          <cell r="BE1186">
            <v>0</v>
          </cell>
          <cell r="BF1186">
            <v>0</v>
          </cell>
          <cell r="BG1186">
            <v>0</v>
          </cell>
        </row>
        <row r="1187">
          <cell r="D1187" t="str">
            <v>贸易公司与工业品经销商</v>
          </cell>
          <cell r="M1187">
            <v>140.33249999999998</v>
          </cell>
          <cell r="N1187">
            <v>86.816025638602724</v>
          </cell>
          <cell r="O1187" t="str">
            <v>工业</v>
          </cell>
          <cell r="P1187" t="str">
            <v>资本货物</v>
          </cell>
          <cell r="Q1187" t="str">
            <v>贸易公司与工业品经销商Ⅲ</v>
          </cell>
          <cell r="BC1187">
            <v>6.6153846153846105E-2</v>
          </cell>
          <cell r="BD1187">
            <v>-3.7900874635568571E-2</v>
          </cell>
          <cell r="BE1187">
            <v>0.43004539826661153</v>
          </cell>
          <cell r="BF1187">
            <v>1.4214120483398438</v>
          </cell>
          <cell r="BG1187">
            <v>0.63779998779296876</v>
          </cell>
        </row>
        <row r="1188">
          <cell r="D1188" t="str">
            <v>重型电气设备</v>
          </cell>
          <cell r="M1188">
            <v>51.732000000000006</v>
          </cell>
          <cell r="N1188">
            <v>32.003460636844444</v>
          </cell>
          <cell r="O1188" t="str">
            <v>工业</v>
          </cell>
          <cell r="P1188" t="str">
            <v>资本货物</v>
          </cell>
          <cell r="Q1188" t="str">
            <v>电气设备</v>
          </cell>
          <cell r="BC1188">
            <v>3.1413612565444355E-3</v>
          </cell>
          <cell r="BD1188">
            <v>-6.3538611925708727E-2</v>
          </cell>
          <cell r="BE1188">
            <v>3.1884649549803634E-2</v>
          </cell>
          <cell r="BF1188">
            <v>0.67544403076171877</v>
          </cell>
          <cell r="BG1188">
            <v>0.18975599288940428</v>
          </cell>
        </row>
        <row r="1189">
          <cell r="D1189" t="str">
            <v>基础化工</v>
          </cell>
          <cell r="M1189">
            <v>22.794240000000002</v>
          </cell>
          <cell r="N1189">
            <v>14.097667393200618</v>
          </cell>
          <cell r="O1189" t="str">
            <v>材料</v>
          </cell>
          <cell r="P1189" t="str">
            <v>材料Ⅱ</v>
          </cell>
          <cell r="Q1189" t="str">
            <v>化工</v>
          </cell>
          <cell r="BC1189">
            <v>7.9239302694137422E-3</v>
          </cell>
          <cell r="BD1189">
            <v>-5.0746268656716394E-2</v>
          </cell>
          <cell r="BE1189">
            <v>-0.19391634980988587</v>
          </cell>
          <cell r="BF1189">
            <v>0.14450400352478027</v>
          </cell>
          <cell r="BG1189">
            <v>-4.1435999870300291E-2</v>
          </cell>
        </row>
        <row r="1190">
          <cell r="D1190" t="str">
            <v>食品加工与肉类</v>
          </cell>
          <cell r="M1190">
            <v>124.20547965359999</v>
          </cell>
          <cell r="N1190">
            <v>76.805445181188901</v>
          </cell>
          <cell r="O1190" t="str">
            <v>日常消费</v>
          </cell>
          <cell r="P1190" t="str">
            <v>食品、饮料与烟草</v>
          </cell>
          <cell r="Q1190" t="str">
            <v>食品</v>
          </cell>
          <cell r="BC1190">
            <v>9.5986038394415274E-2</v>
          </cell>
          <cell r="BD1190">
            <v>7.0758738277919925E-2</v>
          </cell>
          <cell r="BE1190">
            <v>0.54145943887959691</v>
          </cell>
          <cell r="BF1190">
            <v>0.3987120056152344</v>
          </cell>
          <cell r="BG1190">
            <v>5.5799999237060548E-2</v>
          </cell>
        </row>
        <row r="1191">
          <cell r="D1191" t="str">
            <v>食品加工与肉类</v>
          </cell>
          <cell r="M1191">
            <v>37.4973603165</v>
          </cell>
          <cell r="N1191">
            <v>23.186546052927778</v>
          </cell>
          <cell r="O1191" t="str">
            <v>日常消费</v>
          </cell>
          <cell r="P1191" t="str">
            <v>食品、饮料与烟草</v>
          </cell>
          <cell r="Q1191" t="str">
            <v>食品</v>
          </cell>
          <cell r="BC1191">
            <v>-2.1885521885522015E-2</v>
          </cell>
          <cell r="BD1191">
            <v>-1.5254237288135719E-2</v>
          </cell>
          <cell r="BE1191">
            <v>-0.3016826923076924</v>
          </cell>
          <cell r="BF1191">
            <v>-1.2960000336170196E-3</v>
          </cell>
          <cell r="BG1191">
            <v>-0.1291800022125244</v>
          </cell>
        </row>
        <row r="1192">
          <cell r="D1192" t="str">
            <v>通信设备</v>
          </cell>
          <cell r="M1192">
            <v>122.68046184800001</v>
          </cell>
          <cell r="N1192">
            <v>75.858110829546732</v>
          </cell>
          <cell r="O1192" t="str">
            <v>信息技术</v>
          </cell>
          <cell r="P1192" t="str">
            <v>技术硬件与设备</v>
          </cell>
          <cell r="Q1192" t="str">
            <v>通信设备Ⅲ</v>
          </cell>
          <cell r="BC1192">
            <v>-2.3894862604540118E-3</v>
          </cell>
          <cell r="BD1192">
            <v>9.2523364485981363E-2</v>
          </cell>
          <cell r="BE1192">
            <v>0.31570080118079585</v>
          </cell>
          <cell r="BF1192">
            <v>0.31033199310302734</v>
          </cell>
          <cell r="BG1192">
            <v>0.13094400405883788</v>
          </cell>
        </row>
        <row r="1193">
          <cell r="D1193" t="str">
            <v>电子元件</v>
          </cell>
          <cell r="M1193">
            <v>87.062981438999998</v>
          </cell>
          <cell r="N1193">
            <v>53.834242501841175</v>
          </cell>
          <cell r="O1193" t="str">
            <v>信息技术</v>
          </cell>
          <cell r="P1193" t="str">
            <v>技术硬件与设备</v>
          </cell>
          <cell r="Q1193" t="str">
            <v>电子设备、仪器和元件</v>
          </cell>
          <cell r="BC1193">
            <v>2.8270509977827138E-2</v>
          </cell>
          <cell r="BD1193">
            <v>-1.2772751463544356E-2</v>
          </cell>
          <cell r="BE1193">
            <v>-0.29383224658091833</v>
          </cell>
          <cell r="BF1193">
            <v>0.38506801605224611</v>
          </cell>
          <cell r="BG1193">
            <v>0.18944400787353516</v>
          </cell>
        </row>
        <row r="1194">
          <cell r="D1194" t="str">
            <v>电子设备和仪器</v>
          </cell>
          <cell r="M1194">
            <v>59.351999999999997</v>
          </cell>
          <cell r="N1194">
            <v>36.686472199299168</v>
          </cell>
          <cell r="O1194" t="str">
            <v>信息技术</v>
          </cell>
          <cell r="P1194" t="str">
            <v>技术硬件与设备</v>
          </cell>
          <cell r="Q1194" t="str">
            <v>电子设备、仪器和元件</v>
          </cell>
          <cell r="BC1194">
            <v>8.3936007012930053E-2</v>
          </cell>
          <cell r="BD1194">
            <v>0.12588208513544277</v>
          </cell>
          <cell r="BE1194">
            <v>0</v>
          </cell>
          <cell r="BF1194">
            <v>0</v>
          </cell>
          <cell r="BG1194">
            <v>0</v>
          </cell>
        </row>
        <row r="1195">
          <cell r="D1195" t="str">
            <v>基础化工</v>
          </cell>
          <cell r="M1195">
            <v>37.637991257000003</v>
          </cell>
          <cell r="N1195">
            <v>23.264043538930558</v>
          </cell>
          <cell r="O1195" t="str">
            <v>材料</v>
          </cell>
          <cell r="P1195" t="str">
            <v>材料Ⅱ</v>
          </cell>
          <cell r="Q1195" t="str">
            <v>化工</v>
          </cell>
          <cell r="BC1195">
            <v>3.0364372469635519E-2</v>
          </cell>
          <cell r="BD1195">
            <v>3.0364372469635519E-2</v>
          </cell>
          <cell r="BE1195">
            <v>-0.16059118446793347</v>
          </cell>
          <cell r="BF1195">
            <v>0.41955600738525389</v>
          </cell>
          <cell r="BG1195">
            <v>3.3671998977661134E-2</v>
          </cell>
        </row>
        <row r="1196">
          <cell r="D1196" t="str">
            <v>环境与设施服务</v>
          </cell>
          <cell r="M1196">
            <v>155.87561099549998</v>
          </cell>
          <cell r="N1196">
            <v>96.334844806468993</v>
          </cell>
          <cell r="O1196" t="str">
            <v>工业</v>
          </cell>
          <cell r="P1196" t="str">
            <v>商业和专业服务</v>
          </cell>
          <cell r="Q1196" t="str">
            <v>商业服务与用品</v>
          </cell>
          <cell r="BC1196">
            <v>0.10996462264150933</v>
          </cell>
          <cell r="BD1196">
            <v>1.9220357336220923E-2</v>
          </cell>
          <cell r="BE1196">
            <v>0.39041421949419103</v>
          </cell>
          <cell r="BF1196">
            <v>0.74316001892089845</v>
          </cell>
          <cell r="BG1196">
            <v>0</v>
          </cell>
        </row>
        <row r="1197">
          <cell r="D1197" t="str">
            <v>电子设备和仪器</v>
          </cell>
          <cell r="M1197">
            <v>44.743013700000006</v>
          </cell>
          <cell r="N1197">
            <v>27.649912820270494</v>
          </cell>
          <cell r="O1197" t="str">
            <v>信息技术</v>
          </cell>
          <cell r="P1197" t="str">
            <v>技术硬件与设备</v>
          </cell>
          <cell r="Q1197" t="str">
            <v>电子设备、仪器和元件</v>
          </cell>
          <cell r="BC1197">
            <v>0.11937244201909959</v>
          </cell>
          <cell r="BD1197">
            <v>4.8562300319488806E-2</v>
          </cell>
          <cell r="BE1197">
            <v>6.7690676374141556E-2</v>
          </cell>
          <cell r="BF1197">
            <v>0.56042400360107425</v>
          </cell>
          <cell r="BG1197">
            <v>0</v>
          </cell>
        </row>
        <row r="1198">
          <cell r="D1198" t="str">
            <v>钢铁</v>
          </cell>
          <cell r="M1198">
            <v>102.76800732</v>
          </cell>
          <cell r="N1198">
            <v>63.505330329128093</v>
          </cell>
          <cell r="O1198" t="str">
            <v>材料</v>
          </cell>
          <cell r="P1198" t="str">
            <v>材料Ⅱ</v>
          </cell>
          <cell r="Q1198" t="str">
            <v>金属、非金属与采矿</v>
          </cell>
          <cell r="BC1198">
            <v>0.21148036253776425</v>
          </cell>
          <cell r="BD1198">
            <v>0.2225609756097561</v>
          </cell>
          <cell r="BE1198">
            <v>-9.3067940326263546E-2</v>
          </cell>
          <cell r="BF1198">
            <v>0.33795600891113281</v>
          </cell>
          <cell r="BG1198">
            <v>-3.4344000816345213E-2</v>
          </cell>
        </row>
        <row r="1199">
          <cell r="D1199" t="str">
            <v>应用软件</v>
          </cell>
          <cell r="M1199">
            <v>309.43985762019997</v>
          </cell>
          <cell r="N1199">
            <v>191.19113558609851</v>
          </cell>
          <cell r="O1199" t="str">
            <v>信息技术</v>
          </cell>
          <cell r="P1199" t="str">
            <v>软件与服务</v>
          </cell>
          <cell r="Q1199" t="str">
            <v>软件</v>
          </cell>
          <cell r="BC1199">
            <v>4.5410860163383006E-2</v>
          </cell>
          <cell r="BD1199">
            <v>-6.6210045662100266E-3</v>
          </cell>
          <cell r="BE1199">
            <v>-0.28312128276276816</v>
          </cell>
          <cell r="BF1199">
            <v>0.41448001861572265</v>
          </cell>
          <cell r="BG1199">
            <v>0.31226400375366209</v>
          </cell>
        </row>
        <row r="1200">
          <cell r="D1200" t="str">
            <v>林木产品</v>
          </cell>
          <cell r="M1200">
            <v>54.222792000000005</v>
          </cell>
          <cell r="N1200">
            <v>33.501720534125006</v>
          </cell>
          <cell r="O1200" t="str">
            <v>材料</v>
          </cell>
          <cell r="P1200" t="str">
            <v>材料Ⅱ</v>
          </cell>
          <cell r="Q1200" t="str">
            <v>纸与林木产品</v>
          </cell>
          <cell r="BC1200">
            <v>1.0054844606947094E-2</v>
          </cell>
          <cell r="BD1200">
            <v>0.1843515541264738</v>
          </cell>
          <cell r="BE1200">
            <v>-0.38440111420612805</v>
          </cell>
          <cell r="BF1200">
            <v>-0.3277199935913086</v>
          </cell>
          <cell r="BG1200">
            <v>0.2445479965209961</v>
          </cell>
        </row>
        <row r="1201">
          <cell r="D1201" t="str">
            <v>钢铁</v>
          </cell>
          <cell r="M1201">
            <v>33.877079999999992</v>
          </cell>
          <cell r="N1201">
            <v>20.925547601720368</v>
          </cell>
          <cell r="O1201" t="str">
            <v>材料</v>
          </cell>
          <cell r="P1201" t="str">
            <v>材料Ⅱ</v>
          </cell>
          <cell r="Q1201" t="str">
            <v>金属、非金属与采矿</v>
          </cell>
          <cell r="BC1201">
            <v>5.4517133956386236E-2</v>
          </cell>
          <cell r="BD1201">
            <v>7.2900158478605384E-2</v>
          </cell>
          <cell r="BE1201">
            <v>-8.8329545739731966E-2</v>
          </cell>
          <cell r="BF1201">
            <v>0.39930000305175783</v>
          </cell>
          <cell r="BG1201">
            <v>0.15632399559020996</v>
          </cell>
        </row>
        <row r="1202">
          <cell r="D1202" t="str">
            <v>食品加工与肉类</v>
          </cell>
          <cell r="M1202">
            <v>54.380151269999999</v>
          </cell>
          <cell r="N1202">
            <v>33.588616104229516</v>
          </cell>
          <cell r="O1202" t="str">
            <v>日常消费</v>
          </cell>
          <cell r="P1202" t="str">
            <v>食品、饮料与烟草</v>
          </cell>
          <cell r="Q1202" t="str">
            <v>食品</v>
          </cell>
          <cell r="BC1202">
            <v>4.9146757679180808E-2</v>
          </cell>
          <cell r="BD1202">
            <v>-7.1299093655589216E-2</v>
          </cell>
          <cell r="BE1202">
            <v>0.18527094941363129</v>
          </cell>
          <cell r="BF1202">
            <v>0.38660400390624999</v>
          </cell>
          <cell r="BG1202">
            <v>0.12864000320434571</v>
          </cell>
        </row>
        <row r="1203">
          <cell r="D1203" t="str">
            <v>服装、服饰与奢侈品</v>
          </cell>
          <cell r="M1203">
            <v>372.58620000000002</v>
          </cell>
          <cell r="N1203">
            <v>229.99998183375126</v>
          </cell>
          <cell r="O1203" t="str">
            <v>可选消费</v>
          </cell>
          <cell r="P1203" t="str">
            <v>耐用消费品与服装</v>
          </cell>
          <cell r="Q1203" t="str">
            <v>纺织品、服装与奢侈品</v>
          </cell>
          <cell r="BC1203">
            <v>-3.8805970149253785E-2</v>
          </cell>
          <cell r="BD1203">
            <v>-3.5928143712574794E-2</v>
          </cell>
          <cell r="BE1203">
            <v>0.30536468634281733</v>
          </cell>
          <cell r="BF1203">
            <v>0.88294799804687496</v>
          </cell>
          <cell r="BG1203">
            <v>0.27562799453735354</v>
          </cell>
        </row>
        <row r="1204">
          <cell r="D1204" t="str">
            <v>电子设备和仪器</v>
          </cell>
          <cell r="M1204">
            <v>48.801516706400001</v>
          </cell>
          <cell r="N1204">
            <v>30.124814507657415</v>
          </cell>
          <cell r="O1204" t="str">
            <v>信息技术</v>
          </cell>
          <cell r="P1204" t="str">
            <v>技术硬件与设备</v>
          </cell>
          <cell r="Q1204" t="str">
            <v>电子设备、仪器和元件</v>
          </cell>
          <cell r="BC1204">
            <v>0.13024664647338821</v>
          </cell>
          <cell r="BD1204">
            <v>-1.2102874432677772E-2</v>
          </cell>
          <cell r="BE1204">
            <v>0.21771561771561782</v>
          </cell>
          <cell r="BF1204">
            <v>0.24236400604248046</v>
          </cell>
          <cell r="BG1204">
            <v>0.10492799758911132</v>
          </cell>
        </row>
        <row r="1205">
          <cell r="D1205" t="str">
            <v>钢铁</v>
          </cell>
          <cell r="M1205">
            <v>65.64160275750001</v>
          </cell>
          <cell r="N1205">
            <v>40.516838151120403</v>
          </cell>
          <cell r="O1205" t="str">
            <v>材料</v>
          </cell>
          <cell r="P1205" t="str">
            <v>材料Ⅱ</v>
          </cell>
          <cell r="Q1205" t="str">
            <v>金属、非金属与采矿</v>
          </cell>
          <cell r="BC1205">
            <v>-4.0241448692152062E-3</v>
          </cell>
          <cell r="BD1205">
            <v>-1.9801980198019733E-2</v>
          </cell>
          <cell r="BE1205">
            <v>-0.23797711017333739</v>
          </cell>
          <cell r="BF1205">
            <v>0.32798400878906248</v>
          </cell>
          <cell r="BG1205">
            <v>6.7596001625061033E-2</v>
          </cell>
        </row>
        <row r="1206">
          <cell r="D1206" t="str">
            <v>石油天然气设备与服务</v>
          </cell>
          <cell r="M1206">
            <v>56.273966000000001</v>
          </cell>
          <cell r="N1206">
            <v>34.730118051901478</v>
          </cell>
          <cell r="O1206" t="str">
            <v>能源</v>
          </cell>
          <cell r="P1206" t="str">
            <v>能源Ⅱ</v>
          </cell>
          <cell r="Q1206" t="str">
            <v>能源设备与服务</v>
          </cell>
          <cell r="BC1206">
            <v>-1.2957317073170728E-2</v>
          </cell>
          <cell r="BD1206">
            <v>-0.11844792375765829</v>
          </cell>
          <cell r="BE1206">
            <v>8.376486951063257E-2</v>
          </cell>
          <cell r="BF1206">
            <v>0.2257080078125</v>
          </cell>
          <cell r="BG1206">
            <v>0</v>
          </cell>
        </row>
        <row r="1207">
          <cell r="D1207" t="str">
            <v>电气部件与设备</v>
          </cell>
          <cell r="M1207">
            <v>127.75100892659999</v>
          </cell>
          <cell r="N1207">
            <v>78.830006115901483</v>
          </cell>
          <cell r="O1207" t="str">
            <v>工业</v>
          </cell>
          <cell r="P1207" t="str">
            <v>资本货物</v>
          </cell>
          <cell r="Q1207" t="str">
            <v>电气设备</v>
          </cell>
          <cell r="BC1207">
            <v>4.2643923240937255E-3</v>
          </cell>
          <cell r="BD1207">
            <v>-8.0975609756097564E-2</v>
          </cell>
          <cell r="BE1207">
            <v>-0.30842801210045317</v>
          </cell>
          <cell r="BF1207">
            <v>1.9920000433921812E-3</v>
          </cell>
          <cell r="BG1207">
            <v>0.1151039981842041</v>
          </cell>
        </row>
        <row r="1208">
          <cell r="D1208" t="str">
            <v>大卖场与超市</v>
          </cell>
          <cell r="M1208">
            <v>42.2617801966</v>
          </cell>
          <cell r="N1208">
            <v>26.073982034010481</v>
          </cell>
          <cell r="O1208" t="str">
            <v>日常消费</v>
          </cell>
          <cell r="P1208" t="str">
            <v>食品与主要用品零售Ⅱ</v>
          </cell>
          <cell r="Q1208" t="str">
            <v>食品与主要用品零售Ⅲ</v>
          </cell>
          <cell r="BC1208">
            <v>9.077155824508262E-3</v>
          </cell>
          <cell r="BD1208">
            <v>-6.3202247191011265E-2</v>
          </cell>
          <cell r="BE1208">
            <v>0.16119207822322837</v>
          </cell>
          <cell r="BF1208">
            <v>0.3027359962463379</v>
          </cell>
          <cell r="BG1208">
            <v>9.4091997146606446E-2</v>
          </cell>
        </row>
        <row r="1209">
          <cell r="D1209" t="str">
            <v>大卖场与超市</v>
          </cell>
          <cell r="M1209">
            <v>72.759999999999991</v>
          </cell>
          <cell r="N1209">
            <v>44.864374455054012</v>
          </cell>
          <cell r="O1209" t="str">
            <v>日常消费</v>
          </cell>
          <cell r="P1209" t="str">
            <v>食品与主要用品零售Ⅱ</v>
          </cell>
          <cell r="Q1209" t="str">
            <v>食品与主要用品零售Ⅲ</v>
          </cell>
          <cell r="BC1209">
            <v>0</v>
          </cell>
          <cell r="BD1209">
            <v>-0.10234899328859066</v>
          </cell>
          <cell r="BE1209">
            <v>-0.25534095528890366</v>
          </cell>
          <cell r="BF1209">
            <v>0.36022800445556641</v>
          </cell>
          <cell r="BG1209">
            <v>0</v>
          </cell>
        </row>
        <row r="1210">
          <cell r="D1210" t="str">
            <v>化肥与农用化工</v>
          </cell>
          <cell r="M1210">
            <v>141.91905000000003</v>
          </cell>
          <cell r="N1210">
            <v>87.505488743050009</v>
          </cell>
          <cell r="O1210" t="str">
            <v>材料</v>
          </cell>
          <cell r="P1210" t="str">
            <v>材料Ⅱ</v>
          </cell>
          <cell r="Q1210" t="str">
            <v>化工</v>
          </cell>
          <cell r="BC1210">
            <v>4.8507462686567186E-2</v>
          </cell>
          <cell r="BD1210">
            <v>-0.18879907621247111</v>
          </cell>
          <cell r="BE1210">
            <v>0.29342365167646167</v>
          </cell>
          <cell r="BF1210">
            <v>0.83293197631835936</v>
          </cell>
          <cell r="BG1210">
            <v>0.28303199768066406</v>
          </cell>
        </row>
        <row r="1211">
          <cell r="D1211" t="str">
            <v>家用电器</v>
          </cell>
          <cell r="M1211">
            <v>48.465098351999998</v>
          </cell>
          <cell r="N1211">
            <v>29.86780989861305</v>
          </cell>
          <cell r="O1211" t="str">
            <v>可选消费</v>
          </cell>
          <cell r="P1211" t="str">
            <v>耐用消费品与服装</v>
          </cell>
          <cell r="Q1211" t="str">
            <v>家庭耐用消费品</v>
          </cell>
          <cell r="BC1211">
            <v>0.11392405063291136</v>
          </cell>
          <cell r="BD1211">
            <v>3.0395136778114855E-3</v>
          </cell>
          <cell r="BE1211">
            <v>0.39795512863660565</v>
          </cell>
          <cell r="BF1211">
            <v>0.36520801544189452</v>
          </cell>
          <cell r="BG1211">
            <v>0.22405199050903321</v>
          </cell>
        </row>
        <row r="1212">
          <cell r="D1212" t="str">
            <v>煤炭与消费用燃料</v>
          </cell>
          <cell r="M1212">
            <v>154.08532825910001</v>
          </cell>
          <cell r="N1212">
            <v>94.951559352603397</v>
          </cell>
          <cell r="O1212" t="str">
            <v>能源</v>
          </cell>
          <cell r="P1212" t="str">
            <v>能源Ⅱ</v>
          </cell>
          <cell r="Q1212" t="str">
            <v>石油、天然气与供消费用燃料</v>
          </cell>
          <cell r="BC1212">
            <v>-1.7932489451476786E-2</v>
          </cell>
          <cell r="BD1212">
            <v>4.0223463687150976E-2</v>
          </cell>
          <cell r="BE1212">
            <v>-0.25704619968038933</v>
          </cell>
          <cell r="BF1212">
            <v>0.46465198516845702</v>
          </cell>
          <cell r="BG1212">
            <v>-9.1920000314712532E-3</v>
          </cell>
        </row>
        <row r="1213">
          <cell r="D1213" t="str">
            <v>家用电器</v>
          </cell>
          <cell r="M1213">
            <v>70.680864437400004</v>
          </cell>
          <cell r="N1213">
            <v>43.544764010740138</v>
          </cell>
          <cell r="O1213" t="str">
            <v>可选消费</v>
          </cell>
          <cell r="P1213" t="str">
            <v>耐用消费品与服装</v>
          </cell>
          <cell r="Q1213" t="str">
            <v>家庭耐用消费品</v>
          </cell>
          <cell r="BC1213">
            <v>-5.0581689428425836E-3</v>
          </cell>
          <cell r="BD1213">
            <v>2.03769740193595E-3</v>
          </cell>
          <cell r="BE1213">
            <v>8.068019824185739E-2</v>
          </cell>
          <cell r="BF1213">
            <v>0.45456001281738279</v>
          </cell>
          <cell r="BG1213">
            <v>0</v>
          </cell>
        </row>
        <row r="1214">
          <cell r="D1214" t="str">
            <v>电气部件与设备</v>
          </cell>
          <cell r="M1214">
            <v>70.992000000000004</v>
          </cell>
          <cell r="N1214">
            <v>43.733540332770836</v>
          </cell>
          <cell r="O1214" t="str">
            <v>工业</v>
          </cell>
          <cell r="P1214" t="str">
            <v>资本货物</v>
          </cell>
          <cell r="Q1214" t="str">
            <v>电气设备</v>
          </cell>
          <cell r="BC1214">
            <v>1.0013060513713559E-2</v>
          </cell>
          <cell r="BD1214">
            <v>1.3543031891655689E-2</v>
          </cell>
          <cell r="BE1214">
            <v>0.49845220571428572</v>
          </cell>
          <cell r="BF1214">
            <v>0</v>
          </cell>
          <cell r="BG1214">
            <v>0</v>
          </cell>
        </row>
        <row r="1215">
          <cell r="D1215" t="str">
            <v>电子元件</v>
          </cell>
          <cell r="M1215">
            <v>95.164439999999999</v>
          </cell>
          <cell r="N1215">
            <v>58.607443508880003</v>
          </cell>
          <cell r="O1215" t="str">
            <v>信息技术</v>
          </cell>
          <cell r="P1215" t="str">
            <v>技术硬件与设备</v>
          </cell>
          <cell r="Q1215" t="str">
            <v>电子设备、仪器和元件</v>
          </cell>
          <cell r="BC1215">
            <v>0.12046444121915811</v>
          </cell>
          <cell r="BD1215">
            <v>6.1898211829436105E-2</v>
          </cell>
          <cell r="BE1215">
            <v>-0.20681224411032592</v>
          </cell>
          <cell r="BF1215">
            <v>7.9991998672485354E-2</v>
          </cell>
          <cell r="BG1215">
            <v>-4.8215999603271484E-2</v>
          </cell>
        </row>
        <row r="1216">
          <cell r="D1216" t="str">
            <v>基础化工</v>
          </cell>
          <cell r="M1216">
            <v>34.628791999999997</v>
          </cell>
          <cell r="N1216">
            <v>21.315438099833333</v>
          </cell>
          <cell r="O1216" t="str">
            <v>材料</v>
          </cell>
          <cell r="P1216" t="str">
            <v>材料Ⅱ</v>
          </cell>
          <cell r="Q1216" t="str">
            <v>化工</v>
          </cell>
          <cell r="BC1216">
            <v>8.39630562552459E-4</v>
          </cell>
          <cell r="BD1216">
            <v>-3.5988677719369207E-2</v>
          </cell>
          <cell r="BE1216">
            <v>-7.5889769654067921E-2</v>
          </cell>
          <cell r="BF1216">
            <v>0.41040000915527342</v>
          </cell>
          <cell r="BG1216">
            <v>0</v>
          </cell>
        </row>
        <row r="1217">
          <cell r="D1217" t="str">
            <v>石油天然气设备与服务</v>
          </cell>
          <cell r="M1217">
            <v>168.48651719280002</v>
          </cell>
          <cell r="N1217">
            <v>103.68557157356534</v>
          </cell>
          <cell r="O1217" t="str">
            <v>能源</v>
          </cell>
          <cell r="P1217" t="str">
            <v>能源Ⅱ</v>
          </cell>
          <cell r="Q1217" t="str">
            <v>能源设备与服务</v>
          </cell>
          <cell r="BC1217">
            <v>4.144464179988154E-2</v>
          </cell>
          <cell r="BD1217">
            <v>5.688282138794974E-4</v>
          </cell>
          <cell r="BE1217">
            <v>-0.56361264381152221</v>
          </cell>
          <cell r="BF1217">
            <v>-0.44114398956298828</v>
          </cell>
          <cell r="BG1217">
            <v>6.1835999488830569E-2</v>
          </cell>
        </row>
        <row r="1218">
          <cell r="D1218" t="str">
            <v>化肥与农用化工</v>
          </cell>
          <cell r="M1218">
            <v>52.450199999999995</v>
          </cell>
          <cell r="N1218">
            <v>32.276956222299503</v>
          </cell>
          <cell r="O1218" t="str">
            <v>材料</v>
          </cell>
          <cell r="P1218" t="str">
            <v>材料Ⅱ</v>
          </cell>
          <cell r="Q1218" t="str">
            <v>化工</v>
          </cell>
          <cell r="BC1218">
            <v>0</v>
          </cell>
          <cell r="BD1218">
            <v>0</v>
          </cell>
          <cell r="BE1218">
            <v>-0.25402659616766915</v>
          </cell>
          <cell r="BF1218">
            <v>-7.6200002431869506E-3</v>
          </cell>
          <cell r="BG1218">
            <v>0.32445598602294923</v>
          </cell>
        </row>
        <row r="1219">
          <cell r="D1219" t="str">
            <v>综合支持服务</v>
          </cell>
          <cell r="M1219">
            <v>161.76778677600001</v>
          </cell>
          <cell r="N1219">
            <v>99.510697362500977</v>
          </cell>
          <cell r="O1219" t="str">
            <v>工业</v>
          </cell>
          <cell r="P1219" t="str">
            <v>商业和专业服务</v>
          </cell>
          <cell r="Q1219" t="str">
            <v>商业服务与用品</v>
          </cell>
          <cell r="BC1219">
            <v>-6.2499999999999778E-3</v>
          </cell>
          <cell r="BD1219">
            <v>-7.5043630017452054E-2</v>
          </cell>
          <cell r="BE1219">
            <v>-0.36093247588424432</v>
          </cell>
          <cell r="BF1219">
            <v>0.3173640060424805</v>
          </cell>
          <cell r="BG1219">
            <v>0.28753200531005857</v>
          </cell>
        </row>
        <row r="1220">
          <cell r="D1220" t="str">
            <v>多领域控股</v>
          </cell>
          <cell r="M1220">
            <v>556.53219749200002</v>
          </cell>
          <cell r="N1220">
            <v>342.29437787973336</v>
          </cell>
          <cell r="O1220" t="str">
            <v>金融</v>
          </cell>
          <cell r="P1220" t="str">
            <v>多元金融</v>
          </cell>
          <cell r="Q1220" t="str">
            <v>多元金融服务</v>
          </cell>
          <cell r="BC1220">
            <v>2.6490066225165587E-2</v>
          </cell>
          <cell r="BD1220">
            <v>0.10418521816562777</v>
          </cell>
          <cell r="BE1220">
            <v>-0.45721893442436035</v>
          </cell>
          <cell r="BF1220">
            <v>0.28993200302124023</v>
          </cell>
          <cell r="BG1220">
            <v>0.44872798919677737</v>
          </cell>
        </row>
        <row r="1221">
          <cell r="D1221" t="str">
            <v>通信设备</v>
          </cell>
          <cell r="M1221">
            <v>276.37281303520001</v>
          </cell>
          <cell r="N1221">
            <v>169.88738751483854</v>
          </cell>
          <cell r="O1221" t="str">
            <v>信息技术</v>
          </cell>
          <cell r="P1221" t="str">
            <v>技术硬件与设备</v>
          </cell>
          <cell r="Q1221" t="str">
            <v>通信设备Ⅲ</v>
          </cell>
          <cell r="BC1221">
            <v>2.8753993610223738E-2</v>
          </cell>
          <cell r="BD1221">
            <v>-0.11538461538461536</v>
          </cell>
          <cell r="BE1221">
            <v>1.4615755309852669E-2</v>
          </cell>
          <cell r="BF1221">
            <v>0.38193599700927733</v>
          </cell>
          <cell r="BG1221">
            <v>0.22833599090576173</v>
          </cell>
        </row>
        <row r="1222">
          <cell r="D1222" t="str">
            <v>机动车零配件与设备</v>
          </cell>
          <cell r="M1222">
            <v>98.41643975880001</v>
          </cell>
          <cell r="N1222">
            <v>60.486239592203447</v>
          </cell>
          <cell r="O1222" t="str">
            <v>可选消费</v>
          </cell>
          <cell r="P1222" t="str">
            <v>汽车与汽车零部件</v>
          </cell>
          <cell r="Q1222" t="str">
            <v>汽车零配件</v>
          </cell>
          <cell r="BC1222">
            <v>5.6944444444444464E-2</v>
          </cell>
          <cell r="BD1222">
            <v>-7.8226857887874323E-3</v>
          </cell>
          <cell r="BE1222">
            <v>-0.3004284228127414</v>
          </cell>
          <cell r="BF1222">
            <v>4.598400115966797E-2</v>
          </cell>
          <cell r="BG1222">
            <v>0.10995599746704102</v>
          </cell>
        </row>
        <row r="1223">
          <cell r="D1223" t="str">
            <v>机动车零配件与设备</v>
          </cell>
          <cell r="M1223">
            <v>90.516278319999998</v>
          </cell>
          <cell r="N1223">
            <v>55.622998835544308</v>
          </cell>
          <cell r="O1223" t="str">
            <v>可选消费</v>
          </cell>
          <cell r="P1223" t="str">
            <v>汽车与汽车零部件</v>
          </cell>
          <cell r="Q1223" t="str">
            <v>汽车零配件</v>
          </cell>
          <cell r="BC1223">
            <v>0.26820809248554917</v>
          </cell>
          <cell r="BD1223">
            <v>0.28982951205173424</v>
          </cell>
          <cell r="BE1223">
            <v>0.99997702387308152</v>
          </cell>
          <cell r="BF1223">
            <v>1.0475640106201172</v>
          </cell>
          <cell r="BG1223">
            <v>0</v>
          </cell>
        </row>
        <row r="1224">
          <cell r="D1224" t="str">
            <v>农用农业机械</v>
          </cell>
          <cell r="M1224">
            <v>68.900000000000006</v>
          </cell>
          <cell r="N1224">
            <v>42.336400959677086</v>
          </cell>
          <cell r="O1224" t="str">
            <v>工业</v>
          </cell>
          <cell r="P1224" t="str">
            <v>资本货物</v>
          </cell>
          <cell r="Q1224" t="str">
            <v>机械</v>
          </cell>
          <cell r="BC1224">
            <v>5.062519060689246E-2</v>
          </cell>
          <cell r="BD1224">
            <v>2.5602857993450412E-2</v>
          </cell>
          <cell r="BE1224">
            <v>0</v>
          </cell>
          <cell r="BF1224">
            <v>0</v>
          </cell>
          <cell r="BG1224">
            <v>0</v>
          </cell>
        </row>
        <row r="1225">
          <cell r="D1225" t="str">
            <v>半导体产品</v>
          </cell>
          <cell r="M1225">
            <v>53.874582394500003</v>
          </cell>
          <cell r="N1225">
            <v>33.103642914612756</v>
          </cell>
          <cell r="O1225" t="str">
            <v>信息技术</v>
          </cell>
          <cell r="P1225" t="str">
            <v>半导体与半导体生产设备</v>
          </cell>
          <cell r="Q1225" t="str">
            <v>半导体产品与半导体设备</v>
          </cell>
          <cell r="BC1225">
            <v>1.5564202334630364E-2</v>
          </cell>
          <cell r="BD1225">
            <v>-5.4347826086956437E-2</v>
          </cell>
          <cell r="BE1225">
            <v>-0.34475563551225424</v>
          </cell>
          <cell r="BF1225">
            <v>8.5115995407104489E-2</v>
          </cell>
          <cell r="BG1225">
            <v>0</v>
          </cell>
        </row>
        <row r="1226">
          <cell r="D1226" t="str">
            <v>黄金</v>
          </cell>
          <cell r="M1226">
            <v>179.56300585150001</v>
          </cell>
          <cell r="N1226">
            <v>110.30751963417576</v>
          </cell>
          <cell r="O1226" t="str">
            <v>材料</v>
          </cell>
          <cell r="P1226" t="str">
            <v>材料Ⅱ</v>
          </cell>
          <cell r="Q1226" t="str">
            <v>金属、非金属与采矿</v>
          </cell>
          <cell r="BC1226">
            <v>-5.8788947677837393E-3</v>
          </cell>
          <cell r="BD1226">
            <v>-0.14595959595959598</v>
          </cell>
          <cell r="BE1226">
            <v>0.42580101180438457</v>
          </cell>
          <cell r="BF1226">
            <v>0.38847599029541013</v>
          </cell>
          <cell r="BG1226">
            <v>0.61351200103759762</v>
          </cell>
        </row>
        <row r="1227">
          <cell r="D1227" t="str">
            <v>金属非金属</v>
          </cell>
          <cell r="M1227">
            <v>278.30777694480003</v>
          </cell>
          <cell r="N1227">
            <v>170.9626906346667</v>
          </cell>
          <cell r="O1227" t="str">
            <v>材料</v>
          </cell>
          <cell r="P1227" t="str">
            <v>材料Ⅱ</v>
          </cell>
          <cell r="Q1227" t="str">
            <v>金属、非金属与采矿</v>
          </cell>
          <cell r="BC1227">
            <v>-1.8181818181818063E-2</v>
          </cell>
          <cell r="BD1227">
            <v>8.0000000000000071E-2</v>
          </cell>
          <cell r="BE1227">
            <v>-0.19801980198019797</v>
          </cell>
          <cell r="BF1227">
            <v>0.40965599060058594</v>
          </cell>
          <cell r="BG1227">
            <v>-8.353199958801269E-2</v>
          </cell>
        </row>
        <row r="1228">
          <cell r="D1228" t="str">
            <v>房地产开发</v>
          </cell>
          <cell r="M1228">
            <v>47.949046860000003</v>
          </cell>
          <cell r="N1228">
            <v>29.451073314573403</v>
          </cell>
          <cell r="O1228" t="str">
            <v>金融</v>
          </cell>
          <cell r="P1228" t="str">
            <v>房地产</v>
          </cell>
          <cell r="Q1228" t="str">
            <v>房地产管理与开发</v>
          </cell>
          <cell r="BC1228">
            <v>7.9734219269103068E-2</v>
          </cell>
          <cell r="BD1228">
            <v>3.1746031746031821E-2</v>
          </cell>
          <cell r="BE1228">
            <v>-6.5850443900721964E-2</v>
          </cell>
          <cell r="BF1228">
            <v>0.58167598724365233</v>
          </cell>
          <cell r="BG1228">
            <v>0.23614799499511718</v>
          </cell>
        </row>
        <row r="1229">
          <cell r="D1229" t="str">
            <v>建材</v>
          </cell>
          <cell r="M1229">
            <v>101.66667852869999</v>
          </cell>
          <cell r="N1229">
            <v>62.445173547302268</v>
          </cell>
          <cell r="O1229" t="str">
            <v>材料</v>
          </cell>
          <cell r="P1229" t="str">
            <v>材料Ⅱ</v>
          </cell>
          <cell r="Q1229" t="str">
            <v>建材Ⅲ</v>
          </cell>
          <cell r="BC1229">
            <v>0</v>
          </cell>
          <cell r="BD1229">
            <v>0</v>
          </cell>
          <cell r="BE1229">
            <v>-2.2160664819944671E-2</v>
          </cell>
          <cell r="BF1229">
            <v>0.65113197326660155</v>
          </cell>
          <cell r="BG1229">
            <v>0</v>
          </cell>
        </row>
        <row r="1230">
          <cell r="D1230" t="str">
            <v>建材</v>
          </cell>
          <cell r="M1230">
            <v>59.561399265799999</v>
          </cell>
          <cell r="N1230">
            <v>36.564911949957157</v>
          </cell>
          <cell r="O1230" t="str">
            <v>材料</v>
          </cell>
          <cell r="P1230" t="str">
            <v>材料Ⅱ</v>
          </cell>
          <cell r="Q1230" t="str">
            <v>建材Ⅲ</v>
          </cell>
          <cell r="BC1230">
            <v>3.6024016010673725E-2</v>
          </cell>
          <cell r="BD1230">
            <v>-6.6145520144317488E-2</v>
          </cell>
          <cell r="BE1230">
            <v>-0.18306154655444512</v>
          </cell>
          <cell r="BF1230">
            <v>0.18970800399780274</v>
          </cell>
          <cell r="BG1230">
            <v>0.11888400077819825</v>
          </cell>
        </row>
        <row r="1231">
          <cell r="D1231" t="str">
            <v>金属非金属</v>
          </cell>
          <cell r="M1231">
            <v>271.52228065399999</v>
          </cell>
          <cell r="N1231">
            <v>166.67660445086091</v>
          </cell>
          <cell r="O1231" t="str">
            <v>材料</v>
          </cell>
          <cell r="P1231" t="str">
            <v>材料Ⅱ</v>
          </cell>
          <cell r="Q1231" t="str">
            <v>金属、非金属与采矿</v>
          </cell>
          <cell r="BC1231">
            <v>-1.7301038062283829E-2</v>
          </cell>
          <cell r="BD1231">
            <v>1.0676156583629824E-2</v>
          </cell>
          <cell r="BE1231">
            <v>-0.15223884236253821</v>
          </cell>
          <cell r="BF1231">
            <v>0.26639999389648439</v>
          </cell>
          <cell r="BG1231">
            <v>-8.9256000518798825E-2</v>
          </cell>
        </row>
        <row r="1232">
          <cell r="D1232" t="str">
            <v>房地产开发</v>
          </cell>
          <cell r="M1232">
            <v>69.72</v>
          </cell>
          <cell r="N1232">
            <v>42.797793443637033</v>
          </cell>
          <cell r="O1232" t="str">
            <v>金融</v>
          </cell>
          <cell r="P1232" t="str">
            <v>房地产</v>
          </cell>
          <cell r="Q1232" t="str">
            <v>房地产管理与开发</v>
          </cell>
          <cell r="BC1232">
            <v>3.5881435257410221E-2</v>
          </cell>
          <cell r="BD1232">
            <v>0.22509225092250917</v>
          </cell>
          <cell r="BE1232">
            <v>0.25666739791163146</v>
          </cell>
          <cell r="BF1232">
            <v>0.44200801849365234</v>
          </cell>
          <cell r="BG1232">
            <v>0.11734800338745117</v>
          </cell>
        </row>
        <row r="1233">
          <cell r="D1233" t="str">
            <v>汽车制造</v>
          </cell>
          <cell r="M1233">
            <v>87.755721857099999</v>
          </cell>
          <cell r="N1233">
            <v>53.847564797739238</v>
          </cell>
          <cell r="O1233" t="str">
            <v>可选消费</v>
          </cell>
          <cell r="P1233" t="str">
            <v>汽车与汽车零部件</v>
          </cell>
          <cell r="Q1233" t="str">
            <v>汽车</v>
          </cell>
          <cell r="BC1233">
            <v>9.8676293622142031E-2</v>
          </cell>
          <cell r="BD1233">
            <v>7.9196217494089824E-2</v>
          </cell>
          <cell r="BE1233">
            <v>-0.22368207498336859</v>
          </cell>
          <cell r="BF1233">
            <v>-5.4299998283386233E-2</v>
          </cell>
          <cell r="BG1233">
            <v>0</v>
          </cell>
        </row>
        <row r="1234">
          <cell r="D1234" t="str">
            <v>互联网软件与服务</v>
          </cell>
          <cell r="M1234">
            <v>147.55136423580001</v>
          </cell>
          <cell r="N1234">
            <v>90.507325016156301</v>
          </cell>
          <cell r="O1234" t="str">
            <v>信息技术</v>
          </cell>
          <cell r="P1234" t="str">
            <v>软件与服务</v>
          </cell>
          <cell r="Q1234" t="str">
            <v>互联网软件与服务Ⅲ</v>
          </cell>
          <cell r="BC1234">
            <v>1.9622641509433991E-2</v>
          </cell>
          <cell r="BD1234">
            <v>1.7319277108433676E-2</v>
          </cell>
          <cell r="BE1234">
            <v>6.5382270487002903E-2</v>
          </cell>
          <cell r="BF1234">
            <v>0.52975200653076171</v>
          </cell>
          <cell r="BG1234">
            <v>0</v>
          </cell>
        </row>
        <row r="1235">
          <cell r="D1235" t="str">
            <v>工业机械</v>
          </cell>
          <cell r="M1235">
            <v>56.253874176499998</v>
          </cell>
          <cell r="N1235">
            <v>34.502891115096624</v>
          </cell>
          <cell r="O1235" t="str">
            <v>工业</v>
          </cell>
          <cell r="P1235" t="str">
            <v>资本货物</v>
          </cell>
          <cell r="Q1235" t="str">
            <v>机械</v>
          </cell>
          <cell r="BC1235">
            <v>0</v>
          </cell>
          <cell r="BD1235">
            <v>0</v>
          </cell>
          <cell r="BE1235">
            <v>0.28088198889495725</v>
          </cell>
          <cell r="BF1235">
            <v>0</v>
          </cell>
          <cell r="BG1235">
            <v>0</v>
          </cell>
        </row>
        <row r="1236">
          <cell r="D1236" t="str">
            <v>通信设备</v>
          </cell>
          <cell r="M1236">
            <v>257.486594604</v>
          </cell>
          <cell r="N1236">
            <v>157.92713186353035</v>
          </cell>
          <cell r="O1236" t="str">
            <v>信息技术</v>
          </cell>
          <cell r="P1236" t="str">
            <v>技术硬件与设备</v>
          </cell>
          <cell r="Q1236" t="str">
            <v>通信设备Ⅲ</v>
          </cell>
          <cell r="BC1236">
            <v>-1.9529693104822575E-2</v>
          </cell>
          <cell r="BD1236">
            <v>2.8858218318695159E-2</v>
          </cell>
          <cell r="BE1236">
            <v>7.7607929099079417E-2</v>
          </cell>
          <cell r="BF1236">
            <v>0.31544399261474609</v>
          </cell>
          <cell r="BG1236">
            <v>0.1031879997253418</v>
          </cell>
        </row>
        <row r="1237">
          <cell r="D1237" t="str">
            <v>电子元件</v>
          </cell>
          <cell r="M1237">
            <v>79.407176945700002</v>
          </cell>
          <cell r="N1237">
            <v>48.662927104462831</v>
          </cell>
          <cell r="O1237" t="str">
            <v>信息技术</v>
          </cell>
          <cell r="P1237" t="str">
            <v>技术硬件与设备</v>
          </cell>
          <cell r="Q1237" t="str">
            <v>电子设备、仪器和元件</v>
          </cell>
          <cell r="BC1237">
            <v>0</v>
          </cell>
          <cell r="BD1237">
            <v>3.3799533799533703E-2</v>
          </cell>
          <cell r="BE1237">
            <v>-5.213812355806622E-2</v>
          </cell>
          <cell r="BF1237">
            <v>0.18445199966430664</v>
          </cell>
          <cell r="BG1237">
            <v>1.8119999766349792E-3</v>
          </cell>
        </row>
        <row r="1238">
          <cell r="D1238" t="str">
            <v>中药</v>
          </cell>
          <cell r="M1238">
            <v>125.9164566</v>
          </cell>
          <cell r="N1238">
            <v>77.155808499442131</v>
          </cell>
          <cell r="O1238" t="str">
            <v>医疗保健</v>
          </cell>
          <cell r="P1238" t="str">
            <v>制药、生物科技与生命科学</v>
          </cell>
          <cell r="Q1238" t="str">
            <v>制药</v>
          </cell>
          <cell r="BC1238">
            <v>-3.5779260157671203E-2</v>
          </cell>
          <cell r="BD1238">
            <v>1.4030612244898001E-2</v>
          </cell>
          <cell r="BE1238">
            <v>-0.27566070183049501</v>
          </cell>
          <cell r="BF1238">
            <v>-5.4935998916625976E-2</v>
          </cell>
          <cell r="BG1238">
            <v>0.13777199745178223</v>
          </cell>
        </row>
        <row r="1239">
          <cell r="D1239" t="str">
            <v>电气部件与设备</v>
          </cell>
          <cell r="M1239">
            <v>86.07506500800001</v>
          </cell>
          <cell r="N1239">
            <v>52.742670509704325</v>
          </cell>
          <cell r="O1239" t="str">
            <v>工业</v>
          </cell>
          <cell r="P1239" t="str">
            <v>资本货物</v>
          </cell>
          <cell r="Q1239" t="str">
            <v>电气设备</v>
          </cell>
          <cell r="BC1239">
            <v>-1.3484740951029063E-2</v>
          </cell>
          <cell r="BD1239">
            <v>9.5350669818754993E-2</v>
          </cell>
          <cell r="BE1239">
            <v>-7.4558884557487438E-4</v>
          </cell>
          <cell r="BF1239">
            <v>0.29737199783325197</v>
          </cell>
          <cell r="BG1239">
            <v>6.9131999015808104E-2</v>
          </cell>
        </row>
        <row r="1240">
          <cell r="D1240" t="str">
            <v>农产品</v>
          </cell>
          <cell r="M1240">
            <v>318.75867978899998</v>
          </cell>
          <cell r="N1240">
            <v>195.26849084180833</v>
          </cell>
          <cell r="O1240" t="str">
            <v>日常消费</v>
          </cell>
          <cell r="P1240" t="str">
            <v>食品、饮料与烟草</v>
          </cell>
          <cell r="Q1240" t="str">
            <v>食品</v>
          </cell>
          <cell r="BC1240">
            <v>5.424954792043396E-2</v>
          </cell>
          <cell r="BD1240">
            <v>8.5661080074487889E-2</v>
          </cell>
          <cell r="BE1240">
            <v>-0.29760635105925759</v>
          </cell>
          <cell r="BF1240">
            <v>0.20456399917602539</v>
          </cell>
          <cell r="BG1240">
            <v>0.18350400924682617</v>
          </cell>
        </row>
        <row r="1241">
          <cell r="D1241" t="str">
            <v>工业机械</v>
          </cell>
          <cell r="M1241">
            <v>249.05556208500002</v>
          </cell>
          <cell r="N1241">
            <v>152.54466250314925</v>
          </cell>
          <cell r="O1241" t="str">
            <v>工业</v>
          </cell>
          <cell r="P1241" t="str">
            <v>资本货物</v>
          </cell>
          <cell r="Q1241" t="str">
            <v>机械</v>
          </cell>
          <cell r="BC1241">
            <v>-1.374775851763302E-2</v>
          </cell>
          <cell r="BD1241">
            <v>6.097560975609843E-3</v>
          </cell>
          <cell r="BE1241">
            <v>0.74328340017014383</v>
          </cell>
          <cell r="BF1241">
            <v>0.89150398254394536</v>
          </cell>
          <cell r="BG1241">
            <v>0.34760398864746095</v>
          </cell>
        </row>
        <row r="1242">
          <cell r="D1242" t="str">
            <v>电子元件</v>
          </cell>
          <cell r="M1242">
            <v>72.907577700000019</v>
          </cell>
          <cell r="N1242">
            <v>44.654707572057873</v>
          </cell>
          <cell r="O1242" t="str">
            <v>信息技术</v>
          </cell>
          <cell r="P1242" t="str">
            <v>技术硬件与设备</v>
          </cell>
          <cell r="Q1242" t="str">
            <v>电子设备、仪器和元件</v>
          </cell>
          <cell r="BC1242">
            <v>0</v>
          </cell>
          <cell r="BD1242">
            <v>0</v>
          </cell>
          <cell r="BE1242">
            <v>0.11195286721106699</v>
          </cell>
          <cell r="BF1242">
            <v>0.52946399688720702</v>
          </cell>
          <cell r="BG1242">
            <v>0.21074399948120118</v>
          </cell>
        </row>
        <row r="1243">
          <cell r="D1243" t="str">
            <v>工业机械</v>
          </cell>
          <cell r="M1243">
            <v>107.63036643199999</v>
          </cell>
          <cell r="N1243">
            <v>65.89769048612861</v>
          </cell>
          <cell r="O1243" t="str">
            <v>工业</v>
          </cell>
          <cell r="P1243" t="str">
            <v>资本货物</v>
          </cell>
          <cell r="Q1243" t="str">
            <v>机械</v>
          </cell>
          <cell r="BC1243">
            <v>4.1095890410958881E-2</v>
          </cell>
          <cell r="BD1243">
            <v>6.4425770308123242E-2</v>
          </cell>
          <cell r="BE1243">
            <v>0.24267926823439692</v>
          </cell>
          <cell r="BF1243">
            <v>0.25504800796508786</v>
          </cell>
          <cell r="BG1243">
            <v>0.21735599517822266</v>
          </cell>
        </row>
        <row r="1244">
          <cell r="D1244" t="str">
            <v>工业机械</v>
          </cell>
          <cell r="M1244">
            <v>49.798581052000003</v>
          </cell>
          <cell r="N1244">
            <v>30.480500717380192</v>
          </cell>
          <cell r="O1244" t="str">
            <v>工业</v>
          </cell>
          <cell r="P1244" t="str">
            <v>资本货物</v>
          </cell>
          <cell r="Q1244" t="str">
            <v>机械</v>
          </cell>
          <cell r="BC1244">
            <v>2.1852237252861693E-2</v>
          </cell>
          <cell r="BD1244">
            <v>-3.5363457760314285E-2</v>
          </cell>
          <cell r="BE1244">
            <v>0.14410395754803015</v>
          </cell>
          <cell r="BF1244">
            <v>0.29744400024414064</v>
          </cell>
          <cell r="BG1244">
            <v>0</v>
          </cell>
        </row>
        <row r="1245">
          <cell r="D1245" t="str">
            <v>重型电气设备</v>
          </cell>
          <cell r="M1245">
            <v>216.93774897</v>
          </cell>
          <cell r="N1245">
            <v>132.77830839745161</v>
          </cell>
          <cell r="O1245" t="str">
            <v>工业</v>
          </cell>
          <cell r="P1245" t="str">
            <v>资本货物</v>
          </cell>
          <cell r="Q1245" t="str">
            <v>电气设备</v>
          </cell>
          <cell r="BC1245">
            <v>5.3030303030302942E-2</v>
          </cell>
          <cell r="BD1245">
            <v>-1.0480522048645465E-2</v>
          </cell>
          <cell r="BE1245">
            <v>9.7368421052631521E-2</v>
          </cell>
          <cell r="BF1245">
            <v>1.1640119934082032</v>
          </cell>
          <cell r="BG1245">
            <v>0.4059120178222656</v>
          </cell>
        </row>
        <row r="1246">
          <cell r="D1246" t="str">
            <v>调查和咨询服务</v>
          </cell>
          <cell r="M1246">
            <v>66.216800000000006</v>
          </cell>
          <cell r="N1246">
            <v>40.524882712527777</v>
          </cell>
          <cell r="O1246" t="str">
            <v>工业</v>
          </cell>
          <cell r="P1246" t="str">
            <v>商业和专业服务</v>
          </cell>
          <cell r="Q1246" t="str">
            <v>专业服务</v>
          </cell>
          <cell r="BC1246">
            <v>0.11682161024381695</v>
          </cell>
          <cell r="BD1246">
            <v>5.274470899470908E-2</v>
          </cell>
          <cell r="BE1246">
            <v>-0.15129284233576631</v>
          </cell>
          <cell r="BF1246">
            <v>0</v>
          </cell>
          <cell r="BG1246">
            <v>0</v>
          </cell>
        </row>
        <row r="1247">
          <cell r="D1247" t="str">
            <v>化肥与农用化工</v>
          </cell>
          <cell r="M1247">
            <v>28.149012427999999</v>
          </cell>
          <cell r="N1247">
            <v>17.214033855882001</v>
          </cell>
          <cell r="O1247" t="str">
            <v>材料</v>
          </cell>
          <cell r="P1247" t="str">
            <v>材料Ⅱ</v>
          </cell>
          <cell r="Q1247" t="str">
            <v>化工</v>
          </cell>
          <cell r="BC1247">
            <v>0</v>
          </cell>
          <cell r="BD1247">
            <v>4.6728971962615821E-3</v>
          </cell>
          <cell r="BE1247">
            <v>-0.16585838991270618</v>
          </cell>
          <cell r="BF1247">
            <v>0.16126800537109376</v>
          </cell>
          <cell r="BG1247">
            <v>0.11349599838256835</v>
          </cell>
        </row>
        <row r="1248">
          <cell r="D1248" t="str">
            <v>电气部件与设备</v>
          </cell>
          <cell r="M1248">
            <v>60.39</v>
          </cell>
          <cell r="N1248">
            <v>36.928251585735346</v>
          </cell>
          <cell r="O1248" t="str">
            <v>工业</v>
          </cell>
          <cell r="P1248" t="str">
            <v>资本货物</v>
          </cell>
          <cell r="Q1248" t="str">
            <v>电气设备</v>
          </cell>
          <cell r="BC1248">
            <v>2.0446096654275121E-2</v>
          </cell>
          <cell r="BD1248">
            <v>-5.5402615278733636E-2</v>
          </cell>
          <cell r="BE1248">
            <v>-0.2911206769822498</v>
          </cell>
          <cell r="BF1248">
            <v>0.57335998535156252</v>
          </cell>
          <cell r="BG1248">
            <v>0.29868000030517577</v>
          </cell>
        </row>
        <row r="1249">
          <cell r="D1249" t="str">
            <v>通信设备</v>
          </cell>
          <cell r="M1249">
            <v>71.208648806400006</v>
          </cell>
          <cell r="N1249">
            <v>43.541271466206062</v>
          </cell>
          <cell r="O1249" t="str">
            <v>信息技术</v>
          </cell>
          <cell r="P1249" t="str">
            <v>技术硬件与设备</v>
          </cell>
          <cell r="Q1249" t="str">
            <v>通信设备Ⅲ</v>
          </cell>
          <cell r="BC1249">
            <v>2.2009569377990472E-2</v>
          </cell>
          <cell r="BD1249">
            <v>-4.8975957257346457E-2</v>
          </cell>
          <cell r="BE1249">
            <v>-0.21528288023512121</v>
          </cell>
          <cell r="BF1249">
            <v>0.32305198669433594</v>
          </cell>
          <cell r="BG1249">
            <v>0.20869199752807618</v>
          </cell>
        </row>
        <row r="1250">
          <cell r="D1250" t="str">
            <v>化肥与农用化工</v>
          </cell>
          <cell r="M1250">
            <v>33.508037802400004</v>
          </cell>
          <cell r="N1250">
            <v>20.481666174570741</v>
          </cell>
          <cell r="O1250" t="str">
            <v>材料</v>
          </cell>
          <cell r="P1250" t="str">
            <v>材料Ⅱ</v>
          </cell>
          <cell r="Q1250" t="str">
            <v>化工</v>
          </cell>
          <cell r="BC1250">
            <v>-5.2412645590682115E-2</v>
          </cell>
          <cell r="BD1250">
            <v>-0.15063385533184187</v>
          </cell>
          <cell r="BE1250">
            <v>-0.17403915881073231</v>
          </cell>
          <cell r="BF1250">
            <v>0.20187599182128907</v>
          </cell>
          <cell r="BG1250">
            <v>9.7404003143310547E-2</v>
          </cell>
        </row>
        <row r="1251">
          <cell r="D1251" t="str">
            <v>家庭用品</v>
          </cell>
          <cell r="M1251">
            <v>36.299999999999997</v>
          </cell>
          <cell r="N1251">
            <v>22.175928183947242</v>
          </cell>
          <cell r="O1251" t="str">
            <v>日常消费</v>
          </cell>
          <cell r="P1251" t="str">
            <v>家庭与个人用品</v>
          </cell>
          <cell r="Q1251" t="str">
            <v>家庭用品Ⅲ</v>
          </cell>
          <cell r="BC1251">
            <v>-4.524886877828092E-3</v>
          </cell>
          <cell r="BD1251">
            <v>-2.5110782865583447E-2</v>
          </cell>
          <cell r="BE1251">
            <v>-0.24137931034482757</v>
          </cell>
          <cell r="BF1251">
            <v>0.21809999465942384</v>
          </cell>
          <cell r="BG1251">
            <v>3.6612000465393063E-2</v>
          </cell>
        </row>
        <row r="1252">
          <cell r="D1252" t="str">
            <v>纺织品</v>
          </cell>
          <cell r="M1252">
            <v>44.398324973999998</v>
          </cell>
          <cell r="N1252">
            <v>27.119770755945236</v>
          </cell>
          <cell r="O1252" t="str">
            <v>可选消费</v>
          </cell>
          <cell r="P1252" t="str">
            <v>耐用消费品与服装</v>
          </cell>
          <cell r="Q1252" t="str">
            <v>纺织品、服装与奢侈品</v>
          </cell>
          <cell r="BC1252">
            <v>5.7774001699235321E-2</v>
          </cell>
          <cell r="BD1252">
            <v>-0.11261582323592303</v>
          </cell>
          <cell r="BE1252">
            <v>0.3224259674256662</v>
          </cell>
          <cell r="BF1252">
            <v>0.69066001892089846</v>
          </cell>
          <cell r="BG1252">
            <v>0.33811199188232421</v>
          </cell>
        </row>
        <row r="1253">
          <cell r="D1253" t="str">
            <v>工业机械</v>
          </cell>
          <cell r="M1253">
            <v>407.31740000000002</v>
          </cell>
          <cell r="N1253">
            <v>248.76944581512501</v>
          </cell>
          <cell r="O1253" t="str">
            <v>工业</v>
          </cell>
          <cell r="P1253" t="str">
            <v>资本货物</v>
          </cell>
          <cell r="Q1253" t="str">
            <v>机械</v>
          </cell>
          <cell r="BC1253">
            <v>6.1328790459965983E-2</v>
          </cell>
          <cell r="BD1253">
            <v>1.7973856209150377E-2</v>
          </cell>
          <cell r="BE1253">
            <v>9.724473257698622E-3</v>
          </cell>
          <cell r="BF1253">
            <v>1.0091159820556641</v>
          </cell>
          <cell r="BG1253">
            <v>0.17658000946044922</v>
          </cell>
        </row>
        <row r="1254">
          <cell r="D1254" t="str">
            <v>食品加工与肉类</v>
          </cell>
          <cell r="M1254">
            <v>104.4172357721</v>
          </cell>
          <cell r="N1254">
            <v>63.769117398593835</v>
          </cell>
          <cell r="O1254" t="str">
            <v>日常消费</v>
          </cell>
          <cell r="P1254" t="str">
            <v>食品、饮料与烟草</v>
          </cell>
          <cell r="Q1254" t="str">
            <v>食品</v>
          </cell>
          <cell r="BC1254">
            <v>0</v>
          </cell>
          <cell r="BD1254">
            <v>0</v>
          </cell>
          <cell r="BE1254">
            <v>-0.59664982717362403</v>
          </cell>
          <cell r="BF1254">
            <v>0.17280000686645508</v>
          </cell>
          <cell r="BG1254">
            <v>4.8144001960754391E-2</v>
          </cell>
        </row>
        <row r="1255">
          <cell r="D1255" t="str">
            <v>基础化工</v>
          </cell>
          <cell r="M1255">
            <v>68.109579999999994</v>
          </cell>
          <cell r="N1255">
            <v>41.585002087118518</v>
          </cell>
          <cell r="O1255" t="str">
            <v>材料</v>
          </cell>
          <cell r="P1255" t="str">
            <v>材料Ⅱ</v>
          </cell>
          <cell r="Q1255" t="str">
            <v>化工</v>
          </cell>
          <cell r="BC1255">
            <v>5.7259713701431549E-2</v>
          </cell>
          <cell r="BD1255">
            <v>-6.8468468468468449E-2</v>
          </cell>
          <cell r="BE1255">
            <v>0</v>
          </cell>
          <cell r="BF1255">
            <v>0</v>
          </cell>
          <cell r="BG1255">
            <v>0</v>
          </cell>
        </row>
        <row r="1256">
          <cell r="D1256" t="str">
            <v>综合性石油天然气</v>
          </cell>
          <cell r="M1256">
            <v>5496.6329179284003</v>
          </cell>
          <cell r="N1256">
            <v>3355.8565881396953</v>
          </cell>
          <cell r="O1256" t="str">
            <v>能源</v>
          </cell>
          <cell r="P1256" t="str">
            <v>能源Ⅱ</v>
          </cell>
          <cell r="Q1256" t="str">
            <v>石油、天然气与供消费用燃料</v>
          </cell>
          <cell r="BC1256">
            <v>-3.1982942430703695E-2</v>
          </cell>
          <cell r="BD1256">
            <v>8.8888888888888976E-3</v>
          </cell>
          <cell r="BE1256">
            <v>-0.27126255975665597</v>
          </cell>
          <cell r="BF1256">
            <v>-1.2491999864578248E-2</v>
          </cell>
          <cell r="BG1256">
            <v>-5.0639998912811283E-3</v>
          </cell>
        </row>
        <row r="1257">
          <cell r="D1257" t="str">
            <v>建材</v>
          </cell>
          <cell r="M1257">
            <v>222.06090491999998</v>
          </cell>
          <cell r="N1257">
            <v>135.57460675237806</v>
          </cell>
          <cell r="O1257" t="str">
            <v>材料</v>
          </cell>
          <cell r="P1257" t="str">
            <v>材料Ⅱ</v>
          </cell>
          <cell r="Q1257" t="str">
            <v>建材Ⅲ</v>
          </cell>
          <cell r="BC1257">
            <v>-1.8656716417911705E-3</v>
          </cell>
          <cell r="BD1257">
            <v>-9.5519864750634051E-2</v>
          </cell>
          <cell r="BE1257">
            <v>1.8539787113318561E-2</v>
          </cell>
          <cell r="BF1257">
            <v>0.24002399444580078</v>
          </cell>
          <cell r="BG1257">
            <v>-4.8600001335144041E-2</v>
          </cell>
        </row>
        <row r="1258">
          <cell r="D1258" t="str">
            <v>海运</v>
          </cell>
          <cell r="M1258">
            <v>630.34412782690003</v>
          </cell>
          <cell r="N1258">
            <v>384.78868949500526</v>
          </cell>
          <cell r="O1258" t="str">
            <v>工业</v>
          </cell>
          <cell r="P1258" t="str">
            <v>运输</v>
          </cell>
          <cell r="Q1258" t="str">
            <v>海运Ⅲ</v>
          </cell>
          <cell r="BC1258">
            <v>-1.5948963317384313E-2</v>
          </cell>
          <cell r="BD1258">
            <v>-2.6813880126182955E-2</v>
          </cell>
          <cell r="BE1258">
            <v>-0.15247252747252751</v>
          </cell>
          <cell r="BF1258">
            <v>0.59786399841308591</v>
          </cell>
          <cell r="BG1258">
            <v>3.7860000133514406E-2</v>
          </cell>
        </row>
        <row r="1259">
          <cell r="D1259" t="str">
            <v>数据处理与外包服务</v>
          </cell>
          <cell r="M1259">
            <v>143.20268040959999</v>
          </cell>
          <cell r="N1259">
            <v>87.407015112084309</v>
          </cell>
          <cell r="O1259" t="str">
            <v>信息技术</v>
          </cell>
          <cell r="P1259" t="str">
            <v>软件与服务</v>
          </cell>
          <cell r="Q1259" t="str">
            <v>信息技术服务</v>
          </cell>
          <cell r="BC1259">
            <v>-7.6045627376425924E-3</v>
          </cell>
          <cell r="BD1259">
            <v>-8.0176211453744511E-2</v>
          </cell>
          <cell r="BE1259">
            <v>-3.4775198424016947E-2</v>
          </cell>
          <cell r="BF1259">
            <v>1.0108799743652344</v>
          </cell>
          <cell r="BG1259">
            <v>0.40686000823974611</v>
          </cell>
        </row>
        <row r="1260">
          <cell r="D1260" t="str">
            <v>机动车零配件与设备</v>
          </cell>
          <cell r="M1260">
            <v>44.589420000000004</v>
          </cell>
          <cell r="N1260">
            <v>27.213562157061116</v>
          </cell>
          <cell r="O1260" t="str">
            <v>可选消费</v>
          </cell>
          <cell r="P1260" t="str">
            <v>汽车与汽车零部件</v>
          </cell>
          <cell r="Q1260" t="str">
            <v>汽车零配件</v>
          </cell>
          <cell r="BC1260">
            <v>6.1131386861313856E-2</v>
          </cell>
          <cell r="BD1260">
            <v>-8.9475926714954121E-3</v>
          </cell>
          <cell r="BE1260">
            <v>-0.15802854065925762</v>
          </cell>
          <cell r="BF1260">
            <v>0.5825519943237305</v>
          </cell>
          <cell r="BG1260">
            <v>0.18205200195312499</v>
          </cell>
        </row>
        <row r="1261">
          <cell r="D1261" t="str">
            <v>复合型公用事业</v>
          </cell>
          <cell r="M1261">
            <v>39.125562814799999</v>
          </cell>
          <cell r="N1261">
            <v>23.869990953295645</v>
          </cell>
          <cell r="O1261" t="str">
            <v>公用事业</v>
          </cell>
          <cell r="P1261" t="str">
            <v>公用事业Ⅱ</v>
          </cell>
          <cell r="Q1261" t="str">
            <v>复合型公用事业Ⅲ</v>
          </cell>
          <cell r="BC1261">
            <v>1.9662921348314561E-2</v>
          </cell>
          <cell r="BD1261">
            <v>-2.0903573836817294E-2</v>
          </cell>
          <cell r="BE1261">
            <v>-0.17087681219667081</v>
          </cell>
          <cell r="BF1261">
            <v>0.25554000854492187</v>
          </cell>
          <cell r="BG1261">
            <v>0.10322400093078614</v>
          </cell>
        </row>
        <row r="1262">
          <cell r="D1262" t="str">
            <v>基础化工</v>
          </cell>
          <cell r="M1262">
            <v>57.450041645599988</v>
          </cell>
          <cell r="N1262">
            <v>35.048133065756495</v>
          </cell>
          <cell r="O1262" t="str">
            <v>材料</v>
          </cell>
          <cell r="P1262" t="str">
            <v>材料Ⅱ</v>
          </cell>
          <cell r="Q1262" t="str">
            <v>化工</v>
          </cell>
          <cell r="BC1262">
            <v>-1.8416206261509737E-3</v>
          </cell>
          <cell r="BD1262">
            <v>-3.300624442462096E-2</v>
          </cell>
          <cell r="BE1262">
            <v>-0.38591257379312721</v>
          </cell>
          <cell r="BF1262">
            <v>-7.0920002460479739E-3</v>
          </cell>
          <cell r="BG1262">
            <v>-9.8844003677368161E-2</v>
          </cell>
        </row>
        <row r="1263">
          <cell r="D1263" t="str">
            <v>航空货运与物流</v>
          </cell>
          <cell r="M1263">
            <v>132.1556399259</v>
          </cell>
          <cell r="N1263">
            <v>80.616941469355652</v>
          </cell>
          <cell r="O1263" t="str">
            <v>工业</v>
          </cell>
          <cell r="P1263" t="str">
            <v>运输</v>
          </cell>
          <cell r="Q1263" t="str">
            <v>航空货运与物流Ⅲ</v>
          </cell>
          <cell r="BC1263">
            <v>3.272939801285811E-2</v>
          </cell>
          <cell r="BD1263">
            <v>-5.6593699946609649E-2</v>
          </cell>
          <cell r="BE1263">
            <v>1.5764596209550417E-2</v>
          </cell>
          <cell r="BF1263">
            <v>0.65792396545410159</v>
          </cell>
          <cell r="BG1263">
            <v>0.35581199645996092</v>
          </cell>
        </row>
        <row r="1264">
          <cell r="D1264" t="str">
            <v>电气部件与设备</v>
          </cell>
          <cell r="M1264">
            <v>59.259599999999999</v>
          </cell>
          <cell r="N1264">
            <v>36.148368735412092</v>
          </cell>
          <cell r="O1264" t="str">
            <v>工业</v>
          </cell>
          <cell r="P1264" t="str">
            <v>资本货物</v>
          </cell>
          <cell r="Q1264" t="str">
            <v>电气设备</v>
          </cell>
          <cell r="BC1264">
            <v>1.6111111111111062E-2</v>
          </cell>
          <cell r="BD1264">
            <v>-9.4890510948905132E-2</v>
          </cell>
          <cell r="BE1264">
            <v>0</v>
          </cell>
          <cell r="BF1264">
            <v>0</v>
          </cell>
          <cell r="BG1264">
            <v>0</v>
          </cell>
        </row>
        <row r="1265">
          <cell r="D1265" t="str">
            <v>化纤</v>
          </cell>
          <cell r="M1265">
            <v>51.654556716000009</v>
          </cell>
          <cell r="N1265">
            <v>31.508778692850697</v>
          </cell>
          <cell r="O1265" t="str">
            <v>材料</v>
          </cell>
          <cell r="P1265" t="str">
            <v>材料Ⅱ</v>
          </cell>
          <cell r="Q1265" t="str">
            <v>化工</v>
          </cell>
          <cell r="BC1265">
            <v>-1.3782542113323101E-2</v>
          </cell>
          <cell r="BD1265">
            <v>-6.2590975254730674E-2</v>
          </cell>
          <cell r="BE1265">
            <v>0.10637389600348988</v>
          </cell>
          <cell r="BF1265">
            <v>0.23210399627685546</v>
          </cell>
          <cell r="BG1265">
            <v>0.14531999588012695</v>
          </cell>
        </row>
        <row r="1266">
          <cell r="D1266" t="str">
            <v>公路运输</v>
          </cell>
          <cell r="M1266">
            <v>32.6609365248</v>
          </cell>
          <cell r="N1266">
            <v>19.917711759873406</v>
          </cell>
          <cell r="O1266" t="str">
            <v>工业</v>
          </cell>
          <cell r="P1266" t="str">
            <v>运输</v>
          </cell>
          <cell r="Q1266" t="str">
            <v>公路与铁路运输</v>
          </cell>
          <cell r="BC1266">
            <v>3.754266211604091E-2</v>
          </cell>
          <cell r="BD1266">
            <v>-4.7021943573667686E-2</v>
          </cell>
          <cell r="BE1266">
            <v>0.28775666492117813</v>
          </cell>
          <cell r="BF1266">
            <v>0.64842002868652349</v>
          </cell>
          <cell r="BG1266">
            <v>0</v>
          </cell>
        </row>
        <row r="1267">
          <cell r="D1267" t="str">
            <v>水务</v>
          </cell>
          <cell r="M1267">
            <v>359.52</v>
          </cell>
          <cell r="N1267">
            <v>219.22281847563613</v>
          </cell>
          <cell r="O1267" t="str">
            <v>公用事业</v>
          </cell>
          <cell r="P1267" t="str">
            <v>公用事业Ⅱ</v>
          </cell>
          <cell r="Q1267" t="str">
            <v>水务Ⅲ</v>
          </cell>
          <cell r="BC1267">
            <v>-7.9470198675496168E-3</v>
          </cell>
          <cell r="BD1267">
            <v>6.2411347517730552E-2</v>
          </cell>
          <cell r="BE1267">
            <v>-0.18223720254855413</v>
          </cell>
          <cell r="BF1267">
            <v>0.23710800170898438</v>
          </cell>
          <cell r="BG1267">
            <v>3.4907999038696291E-2</v>
          </cell>
        </row>
        <row r="1268">
          <cell r="D1268" t="str">
            <v>应用软件</v>
          </cell>
          <cell r="M1268">
            <v>176.79965797899999</v>
          </cell>
          <cell r="N1268">
            <v>107.78542544813619</v>
          </cell>
          <cell r="O1268" t="str">
            <v>信息技术</v>
          </cell>
          <cell r="P1268" t="str">
            <v>软件与服务</v>
          </cell>
          <cell r="Q1268" t="str">
            <v>软件</v>
          </cell>
          <cell r="BC1268">
            <v>1.2514220705347124E-2</v>
          </cell>
          <cell r="BD1268">
            <v>-4.9145299145299047E-2</v>
          </cell>
          <cell r="BE1268">
            <v>-0.47075736367596871</v>
          </cell>
          <cell r="BF1268">
            <v>5.0784001350402834E-2</v>
          </cell>
          <cell r="BG1268">
            <v>0.13751999855041505</v>
          </cell>
        </row>
        <row r="1269">
          <cell r="D1269" t="str">
            <v>建筑与工程</v>
          </cell>
          <cell r="M1269">
            <v>40.636457560399997</v>
          </cell>
          <cell r="N1269">
            <v>24.773485787780508</v>
          </cell>
          <cell r="O1269" t="str">
            <v>工业</v>
          </cell>
          <cell r="P1269" t="str">
            <v>资本货物</v>
          </cell>
          <cell r="Q1269" t="str">
            <v>建筑与工程Ⅲ</v>
          </cell>
          <cell r="BC1269">
            <v>8.9552238805969565E-3</v>
          </cell>
          <cell r="BD1269">
            <v>-3.2904148783977169E-2</v>
          </cell>
          <cell r="BE1269">
            <v>-0.17434095306392622</v>
          </cell>
          <cell r="BF1269">
            <v>0.25237199783325193</v>
          </cell>
          <cell r="BG1269">
            <v>-2.0267999172210692E-2</v>
          </cell>
        </row>
        <row r="1270">
          <cell r="D1270" t="str">
            <v>电子元件</v>
          </cell>
          <cell r="M1270">
            <v>76.577639539199993</v>
          </cell>
          <cell r="N1270">
            <v>46.660241046993178</v>
          </cell>
          <cell r="O1270" t="str">
            <v>信息技术</v>
          </cell>
          <cell r="P1270" t="str">
            <v>技术硬件与设备</v>
          </cell>
          <cell r="Q1270" t="str">
            <v>电子设备、仪器和元件</v>
          </cell>
          <cell r="BC1270">
            <v>3.973063973063972E-2</v>
          </cell>
          <cell r="BD1270">
            <v>-7.6002393776182009E-2</v>
          </cell>
          <cell r="BE1270">
            <v>-0.26013066920714395</v>
          </cell>
          <cell r="BF1270">
            <v>0.27190799713134767</v>
          </cell>
          <cell r="BG1270">
            <v>0.101496000289917</v>
          </cell>
        </row>
        <row r="1271">
          <cell r="D1271" t="str">
            <v>休闲用品</v>
          </cell>
          <cell r="M1271">
            <v>121.92373433320002</v>
          </cell>
          <cell r="N1271">
            <v>74.273703109130082</v>
          </cell>
          <cell r="O1271" t="str">
            <v>可选消费</v>
          </cell>
          <cell r="P1271" t="str">
            <v>耐用消费品与服装</v>
          </cell>
          <cell r="Q1271" t="str">
            <v>休闲设备与用品</v>
          </cell>
          <cell r="BC1271">
            <v>-6.6549912434326194E-3</v>
          </cell>
          <cell r="BD1271">
            <v>-2.8767123287671229E-2</v>
          </cell>
          <cell r="BE1271">
            <v>0.499706892289422</v>
          </cell>
          <cell r="BF1271">
            <v>0.32983200073242186</v>
          </cell>
          <cell r="BG1271">
            <v>0.35870399475097658</v>
          </cell>
        </row>
        <row r="1272">
          <cell r="D1272" t="str">
            <v>基础化工</v>
          </cell>
          <cell r="M1272">
            <v>51.780509575499998</v>
          </cell>
          <cell r="N1272">
            <v>31.54119530263873</v>
          </cell>
          <cell r="O1272" t="str">
            <v>材料</v>
          </cell>
          <cell r="P1272" t="str">
            <v>材料Ⅱ</v>
          </cell>
          <cell r="Q1272" t="str">
            <v>化工</v>
          </cell>
          <cell r="BC1272">
            <v>2.3612750885477654E-3</v>
          </cell>
          <cell r="BD1272">
            <v>-6.2913907284768242E-2</v>
          </cell>
          <cell r="BE1272">
            <v>-0.39178853027766075</v>
          </cell>
          <cell r="BF1272">
            <v>-8.1515998840332032E-2</v>
          </cell>
          <cell r="BG1272">
            <v>0</v>
          </cell>
        </row>
        <row r="1273">
          <cell r="D1273" t="str">
            <v>信息科技咨询与其它服务</v>
          </cell>
          <cell r="M1273">
            <v>267.8175170888</v>
          </cell>
          <cell r="N1273">
            <v>163.0314599699297</v>
          </cell>
          <cell r="O1273" t="str">
            <v>信息技术</v>
          </cell>
          <cell r="P1273" t="str">
            <v>软件与服务</v>
          </cell>
          <cell r="Q1273" t="str">
            <v>信息技术服务</v>
          </cell>
          <cell r="BC1273">
            <v>1.6370602577499088E-2</v>
          </cell>
          <cell r="BD1273">
            <v>-5.7921635434412845E-3</v>
          </cell>
          <cell r="BE1273">
            <v>-7.6935268621204436E-2</v>
          </cell>
          <cell r="BF1273">
            <v>0.63138000488281254</v>
          </cell>
          <cell r="BG1273">
            <v>0.57006000518798827</v>
          </cell>
        </row>
        <row r="1274">
          <cell r="D1274" t="str">
            <v>电脑与电子产品零售</v>
          </cell>
          <cell r="M1274">
            <v>860.12452697499987</v>
          </cell>
          <cell r="N1274">
            <v>523.49197064302439</v>
          </cell>
          <cell r="O1274" t="str">
            <v>可选消费</v>
          </cell>
          <cell r="P1274" t="str">
            <v>零售业</v>
          </cell>
          <cell r="Q1274" t="str">
            <v>专营零售</v>
          </cell>
          <cell r="BC1274">
            <v>4.3103448275862684E-3</v>
          </cell>
          <cell r="BD1274">
            <v>-2.1008403361344536E-2</v>
          </cell>
          <cell r="BE1274">
            <v>-0.10770910281529737</v>
          </cell>
          <cell r="BF1274">
            <v>0.19191600799560546</v>
          </cell>
          <cell r="BG1274">
            <v>8.0567998886108397E-2</v>
          </cell>
        </row>
        <row r="1275">
          <cell r="D1275" t="str">
            <v>农产品</v>
          </cell>
          <cell r="M1275">
            <v>60.860322849000006</v>
          </cell>
          <cell r="N1275">
            <v>37.037705933497087</v>
          </cell>
          <cell r="O1275" t="str">
            <v>日常消费</v>
          </cell>
          <cell r="P1275" t="str">
            <v>食品、饮料与烟草</v>
          </cell>
          <cell r="Q1275" t="str">
            <v>食品</v>
          </cell>
          <cell r="BC1275">
            <v>0.2229930624380575</v>
          </cell>
          <cell r="BD1275">
            <v>-3.8940809968847349E-2</v>
          </cell>
          <cell r="BE1275">
            <v>-3.6038966286733158E-3</v>
          </cell>
          <cell r="BF1275">
            <v>0.26320800781249998</v>
          </cell>
          <cell r="BG1275">
            <v>0</v>
          </cell>
        </row>
        <row r="1276">
          <cell r="D1276" t="str">
            <v>金属非金属</v>
          </cell>
          <cell r="M1276">
            <v>50.723865938400003</v>
          </cell>
          <cell r="N1276">
            <v>30.868497550893519</v>
          </cell>
          <cell r="O1276" t="str">
            <v>材料</v>
          </cell>
          <cell r="P1276" t="str">
            <v>材料Ⅱ</v>
          </cell>
          <cell r="Q1276" t="str">
            <v>金属、非金属与采矿</v>
          </cell>
          <cell r="BC1276">
            <v>0</v>
          </cell>
          <cell r="BD1276">
            <v>0</v>
          </cell>
          <cell r="BE1276">
            <v>-0.25303013551178771</v>
          </cell>
          <cell r="BF1276">
            <v>0.35306400299072266</v>
          </cell>
          <cell r="BG1276">
            <v>0</v>
          </cell>
        </row>
        <row r="1277">
          <cell r="D1277" t="str">
            <v>综合类行业</v>
          </cell>
          <cell r="M1277">
            <v>62.413675448399999</v>
          </cell>
          <cell r="N1277">
            <v>37.964821616248059</v>
          </cell>
          <cell r="O1277" t="str">
            <v>工业</v>
          </cell>
          <cell r="P1277" t="str">
            <v>资本货物</v>
          </cell>
          <cell r="Q1277" t="str">
            <v>综合类Ⅲ</v>
          </cell>
          <cell r="BC1277">
            <v>3.6307053941908675E-2</v>
          </cell>
          <cell r="BD1277">
            <v>3.0120481927710199E-3</v>
          </cell>
          <cell r="BE1277">
            <v>-8.8739497071398887E-2</v>
          </cell>
          <cell r="BF1277">
            <v>0.24014400482177733</v>
          </cell>
          <cell r="BG1277">
            <v>0.15128399848937987</v>
          </cell>
        </row>
        <row r="1278">
          <cell r="D1278" t="str">
            <v>煤炭与消费用燃料</v>
          </cell>
          <cell r="M1278">
            <v>131.89434277110001</v>
          </cell>
          <cell r="N1278">
            <v>80.226455719818148</v>
          </cell>
          <cell r="O1278" t="str">
            <v>能源</v>
          </cell>
          <cell r="P1278" t="str">
            <v>能源Ⅱ</v>
          </cell>
          <cell r="Q1278" t="str">
            <v>石油、天然气与供消费用燃料</v>
          </cell>
          <cell r="BC1278">
            <v>-1.3447432762836116E-2</v>
          </cell>
          <cell r="BD1278">
            <v>1.2547051442910984E-2</v>
          </cell>
          <cell r="BE1278">
            <v>-0.25769567898645912</v>
          </cell>
          <cell r="BF1278">
            <v>0.19046400070190431</v>
          </cell>
          <cell r="BG1278">
            <v>-0.13675200462341308</v>
          </cell>
        </row>
        <row r="1279">
          <cell r="D1279" t="str">
            <v>房地产开发</v>
          </cell>
          <cell r="M1279">
            <v>102.89561174639999</v>
          </cell>
          <cell r="N1279">
            <v>62.586238874961424</v>
          </cell>
          <cell r="O1279" t="str">
            <v>金融</v>
          </cell>
          <cell r="P1279" t="str">
            <v>房地产</v>
          </cell>
          <cell r="Q1279" t="str">
            <v>房地产管理与开发</v>
          </cell>
          <cell r="BC1279">
            <v>-9.8522167487684834E-3</v>
          </cell>
          <cell r="BD1279">
            <v>-3.5971223021582822E-2</v>
          </cell>
          <cell r="BE1279">
            <v>-0.14102564102564105</v>
          </cell>
          <cell r="BF1279">
            <v>0.5420999908447266</v>
          </cell>
          <cell r="BG1279">
            <v>0.11852399826049805</v>
          </cell>
        </row>
        <row r="1280">
          <cell r="D1280" t="str">
            <v>特种化工</v>
          </cell>
          <cell r="M1280">
            <v>59.199292438800001</v>
          </cell>
          <cell r="N1280">
            <v>36.0043737896331</v>
          </cell>
          <cell r="O1280" t="str">
            <v>材料</v>
          </cell>
          <cell r="P1280" t="str">
            <v>材料Ⅱ</v>
          </cell>
          <cell r="Q1280" t="str">
            <v>化工</v>
          </cell>
          <cell r="BC1280">
            <v>0</v>
          </cell>
          <cell r="BD1280">
            <v>-0.12241379310344823</v>
          </cell>
          <cell r="BE1280">
            <v>-0.18385880094436338</v>
          </cell>
          <cell r="BF1280">
            <v>0.27578399658203123</v>
          </cell>
          <cell r="BG1280">
            <v>0.10152000427246094</v>
          </cell>
        </row>
        <row r="1281">
          <cell r="D1281" t="str">
            <v>电力</v>
          </cell>
          <cell r="M1281">
            <v>94.997526358000002</v>
          </cell>
          <cell r="N1281">
            <v>57.769230426405834</v>
          </cell>
          <cell r="O1281" t="str">
            <v>公用事业</v>
          </cell>
          <cell r="P1281" t="str">
            <v>公用事业Ⅱ</v>
          </cell>
          <cell r="Q1281" t="str">
            <v>电力Ⅲ</v>
          </cell>
          <cell r="BC1281">
            <v>6.6121842496285194E-2</v>
          </cell>
          <cell r="BD1281">
            <v>0.11499611499611503</v>
          </cell>
          <cell r="BE1281">
            <v>0.74162924885682147</v>
          </cell>
          <cell r="BF1281">
            <v>0.495635986328125</v>
          </cell>
          <cell r="BG1281">
            <v>9.0587997436523432E-2</v>
          </cell>
        </row>
        <row r="1282">
          <cell r="D1282" t="str">
            <v>金属非金属</v>
          </cell>
          <cell r="M1282">
            <v>70.620740729600001</v>
          </cell>
          <cell r="N1282">
            <v>42.938353691944165</v>
          </cell>
          <cell r="O1282" t="str">
            <v>材料</v>
          </cell>
          <cell r="P1282" t="str">
            <v>材料Ⅱ</v>
          </cell>
          <cell r="Q1282" t="str">
            <v>金属、非金属与采矿</v>
          </cell>
          <cell r="BC1282">
            <v>4.5424621461487909E-2</v>
          </cell>
          <cell r="BD1282">
            <v>-1.9147621988882056E-2</v>
          </cell>
          <cell r="BE1282">
            <v>0.21704419875472233</v>
          </cell>
          <cell r="BF1282">
            <v>0.73521598815917966</v>
          </cell>
          <cell r="BG1282">
            <v>0.18468000411987304</v>
          </cell>
        </row>
        <row r="1283">
          <cell r="D1283" t="str">
            <v>休闲用品</v>
          </cell>
          <cell r="M1283">
            <v>179.71583514779999</v>
          </cell>
          <cell r="N1283">
            <v>109.25743565359099</v>
          </cell>
          <cell r="O1283" t="str">
            <v>可选消费</v>
          </cell>
          <cell r="P1283" t="str">
            <v>耐用消费品与服装</v>
          </cell>
          <cell r="Q1283" t="str">
            <v>休闲设备与用品</v>
          </cell>
          <cell r="BC1283">
            <v>2.7363184079602074E-2</v>
          </cell>
          <cell r="BD1283">
            <v>-2.0166073546856456E-2</v>
          </cell>
          <cell r="BE1283">
            <v>1.0617140224939943</v>
          </cell>
          <cell r="BF1283">
            <v>0.86455200195312498</v>
          </cell>
          <cell r="BG1283">
            <v>0.32743198394775391</v>
          </cell>
        </row>
        <row r="1284">
          <cell r="D1284" t="str">
            <v>基础化工</v>
          </cell>
          <cell r="M1284">
            <v>49.957007759999996</v>
          </cell>
          <cell r="N1284">
            <v>30.366706838646667</v>
          </cell>
          <cell r="O1284" t="str">
            <v>材料</v>
          </cell>
          <cell r="P1284" t="str">
            <v>材料Ⅱ</v>
          </cell>
          <cell r="Q1284" t="str">
            <v>化工</v>
          </cell>
          <cell r="BC1284">
            <v>-1.0852713178294617E-2</v>
          </cell>
          <cell r="BD1284">
            <v>6.0681629260182918E-2</v>
          </cell>
          <cell r="BE1284">
            <v>0.36345078330838115</v>
          </cell>
          <cell r="BF1284">
            <v>0.57388801574707027</v>
          </cell>
          <cell r="BG1284">
            <v>0.25240800857543944</v>
          </cell>
        </row>
        <row r="1285">
          <cell r="D1285" t="str">
            <v>航天航空与国防</v>
          </cell>
          <cell r="M1285">
            <v>67.881068671999998</v>
          </cell>
          <cell r="N1285">
            <v>41.256092832607202</v>
          </cell>
          <cell r="O1285" t="str">
            <v>工业</v>
          </cell>
          <cell r="P1285" t="str">
            <v>资本货物</v>
          </cell>
          <cell r="Q1285" t="str">
            <v>航空航天与国防Ⅲ</v>
          </cell>
          <cell r="BC1285">
            <v>-1.7984584641735728E-2</v>
          </cell>
          <cell r="BD1285">
            <v>-0.14745972738537802</v>
          </cell>
          <cell r="BE1285">
            <v>5.8479532163741438E-3</v>
          </cell>
          <cell r="BF1285">
            <v>0.47832000732421875</v>
          </cell>
          <cell r="BG1285">
            <v>0.16708799362182616</v>
          </cell>
        </row>
        <row r="1286">
          <cell r="D1286" t="str">
            <v>电子元件</v>
          </cell>
          <cell r="M1286">
            <v>61.542404653500007</v>
          </cell>
          <cell r="N1286">
            <v>37.402675369938891</v>
          </cell>
          <cell r="O1286" t="str">
            <v>信息技术</v>
          </cell>
          <cell r="P1286" t="str">
            <v>技术硬件与设备</v>
          </cell>
          <cell r="Q1286" t="str">
            <v>电子设备、仪器和元件</v>
          </cell>
          <cell r="BC1286">
            <v>3.404255319148939E-2</v>
          </cell>
          <cell r="BD1286">
            <v>-1.2997562956945584E-2</v>
          </cell>
          <cell r="BE1286">
            <v>4.0239726027397317E-2</v>
          </cell>
          <cell r="BF1286">
            <v>0.28432800292968752</v>
          </cell>
          <cell r="BG1286">
            <v>6.3263998031616211E-2</v>
          </cell>
        </row>
        <row r="1287">
          <cell r="D1287" t="str">
            <v>信息科技咨询与其它服务</v>
          </cell>
          <cell r="M1287">
            <v>71.706000000000003</v>
          </cell>
          <cell r="N1287">
            <v>43.572970032118754</v>
          </cell>
          <cell r="O1287" t="str">
            <v>信息技术</v>
          </cell>
          <cell r="P1287" t="str">
            <v>软件与服务</v>
          </cell>
          <cell r="Q1287" t="str">
            <v>信息技术服务</v>
          </cell>
          <cell r="BC1287">
            <v>-8.4626234132582304E-3</v>
          </cell>
          <cell r="BD1287">
            <v>-8.2245430809399445E-2</v>
          </cell>
          <cell r="BE1287">
            <v>0.54442200415143616</v>
          </cell>
          <cell r="BF1287">
            <v>0.87740402221679692</v>
          </cell>
          <cell r="BG1287">
            <v>0.3351839828491211</v>
          </cell>
        </row>
        <row r="1288">
          <cell r="D1288" t="str">
            <v>电气部件与设备</v>
          </cell>
          <cell r="M1288">
            <v>60.296274614399998</v>
          </cell>
          <cell r="N1288">
            <v>36.635663163442288</v>
          </cell>
          <cell r="O1288" t="str">
            <v>工业</v>
          </cell>
          <cell r="P1288" t="str">
            <v>资本货物</v>
          </cell>
          <cell r="Q1288" t="str">
            <v>电气设备</v>
          </cell>
          <cell r="BC1288">
            <v>1.1290322580645063E-2</v>
          </cell>
          <cell r="BD1288">
            <v>-0.11627906976744189</v>
          </cell>
          <cell r="BE1288">
            <v>0.72371134020618533</v>
          </cell>
          <cell r="BF1288">
            <v>1.0061399841308594</v>
          </cell>
          <cell r="BG1288">
            <v>0.35836799621582033</v>
          </cell>
        </row>
        <row r="1289">
          <cell r="D1289" t="str">
            <v>应用软件</v>
          </cell>
          <cell r="M1289">
            <v>487.6815272</v>
          </cell>
          <cell r="N1289">
            <v>296.1955242458194</v>
          </cell>
          <cell r="O1289" t="str">
            <v>信息技术</v>
          </cell>
          <cell r="P1289" t="str">
            <v>软件与服务</v>
          </cell>
          <cell r="Q1289" t="str">
            <v>软件</v>
          </cell>
          <cell r="BC1289">
            <v>0.10127826941986232</v>
          </cell>
          <cell r="BD1289">
            <v>0.17105813467168549</v>
          </cell>
          <cell r="BE1289">
            <v>-7.1694000696359856E-3</v>
          </cell>
          <cell r="BF1289">
            <v>1.6904640197753906</v>
          </cell>
          <cell r="BG1289">
            <v>0.63573600769042971</v>
          </cell>
        </row>
        <row r="1290">
          <cell r="D1290" t="str">
            <v>建筑产品</v>
          </cell>
          <cell r="M1290">
            <v>37.548000000000002</v>
          </cell>
          <cell r="N1290">
            <v>22.80415552479969</v>
          </cell>
          <cell r="O1290" t="str">
            <v>工业</v>
          </cell>
          <cell r="P1290" t="str">
            <v>资本货物</v>
          </cell>
          <cell r="Q1290" t="str">
            <v>建筑产品Ⅲ</v>
          </cell>
          <cell r="BC1290">
            <v>1.0658914728682115E-2</v>
          </cell>
          <cell r="BD1290">
            <v>0</v>
          </cell>
          <cell r="BE1290">
            <v>-3.3040706444546764E-2</v>
          </cell>
          <cell r="BF1290">
            <v>0.3110040092468262</v>
          </cell>
          <cell r="BG1290">
            <v>7.8336000442504883E-2</v>
          </cell>
        </row>
        <row r="1291">
          <cell r="D1291" t="str">
            <v>工业机械</v>
          </cell>
          <cell r="M1291">
            <v>43.882020000000004</v>
          </cell>
          <cell r="N1291">
            <v>26.650112146125004</v>
          </cell>
          <cell r="O1291" t="str">
            <v>工业</v>
          </cell>
          <cell r="P1291" t="str">
            <v>资本货物</v>
          </cell>
          <cell r="Q1291" t="str">
            <v>机械</v>
          </cell>
          <cell r="BC1291">
            <v>-5.1351351351351313E-2</v>
          </cell>
          <cell r="BD1291">
            <v>-3.3723331039229219E-2</v>
          </cell>
          <cell r="BE1291">
            <v>0</v>
          </cell>
          <cell r="BF1291">
            <v>0</v>
          </cell>
          <cell r="BG1291">
            <v>0</v>
          </cell>
        </row>
        <row r="1292">
          <cell r="D1292" t="str">
            <v>轮胎与橡胶</v>
          </cell>
          <cell r="M1292">
            <v>64.452555241200002</v>
          </cell>
          <cell r="N1292">
            <v>39.139827399235834</v>
          </cell>
          <cell r="O1292" t="str">
            <v>可选消费</v>
          </cell>
          <cell r="P1292" t="str">
            <v>汽车与汽车零部件</v>
          </cell>
          <cell r="Q1292" t="str">
            <v>汽车零配件</v>
          </cell>
          <cell r="BC1292">
            <v>0</v>
          </cell>
          <cell r="BD1292">
            <v>0</v>
          </cell>
          <cell r="BE1292">
            <v>-0.23600050551647211</v>
          </cell>
          <cell r="BF1292">
            <v>0.4749720001220703</v>
          </cell>
          <cell r="BG1292">
            <v>0.17884799957275391</v>
          </cell>
        </row>
        <row r="1293">
          <cell r="D1293" t="str">
            <v>金属非金属</v>
          </cell>
          <cell r="M1293">
            <v>129.47797731879999</v>
          </cell>
          <cell r="N1293">
            <v>78.627420676835925</v>
          </cell>
          <cell r="O1293" t="str">
            <v>材料</v>
          </cell>
          <cell r="P1293" t="str">
            <v>材料Ⅱ</v>
          </cell>
          <cell r="Q1293" t="str">
            <v>金属、非金属与采矿</v>
          </cell>
          <cell r="BC1293">
            <v>-9.0964220739841468E-3</v>
          </cell>
          <cell r="BD1293">
            <v>-1.1494252873563295E-2</v>
          </cell>
          <cell r="BE1293">
            <v>0.35346502833579146</v>
          </cell>
          <cell r="BF1293">
            <v>0.68891998291015621</v>
          </cell>
          <cell r="BG1293">
            <v>0.26034000396728518</v>
          </cell>
        </row>
        <row r="1294">
          <cell r="D1294" t="str">
            <v>房地产开发</v>
          </cell>
          <cell r="M1294">
            <v>69.052173674999992</v>
          </cell>
          <cell r="N1294">
            <v>41.922204837269845</v>
          </cell>
          <cell r="O1294" t="str">
            <v>金融</v>
          </cell>
          <cell r="P1294" t="str">
            <v>房地产</v>
          </cell>
          <cell r="Q1294" t="str">
            <v>房地产管理与开发</v>
          </cell>
          <cell r="BC1294">
            <v>3.5087719298245487E-2</v>
          </cell>
          <cell r="BD1294">
            <v>-5.650319829424319E-2</v>
          </cell>
          <cell r="BE1294">
            <v>0.29197080291970806</v>
          </cell>
          <cell r="BF1294">
            <v>0.57271198272705082</v>
          </cell>
          <cell r="BG1294">
            <v>0.24075599670410155</v>
          </cell>
        </row>
        <row r="1295">
          <cell r="D1295" t="str">
            <v>有线和卫星电视</v>
          </cell>
          <cell r="M1295">
            <v>149.00737709679998</v>
          </cell>
          <cell r="N1295">
            <v>90.458403275900992</v>
          </cell>
          <cell r="O1295" t="str">
            <v>可选消费</v>
          </cell>
          <cell r="P1295" t="str">
            <v>媒体Ⅱ</v>
          </cell>
          <cell r="Q1295" t="str">
            <v>媒体Ⅲ</v>
          </cell>
          <cell r="BC1295">
            <v>3.0107526881720359E-2</v>
          </cell>
          <cell r="BD1295">
            <v>8.1264108352144551E-2</v>
          </cell>
          <cell r="BE1295">
            <v>-0.31989671155974392</v>
          </cell>
          <cell r="BF1295">
            <v>-9.1403999328613275E-2</v>
          </cell>
          <cell r="BG1295">
            <v>0</v>
          </cell>
        </row>
        <row r="1296">
          <cell r="D1296" t="str">
            <v>工业机械</v>
          </cell>
          <cell r="M1296">
            <v>113.40290012359999</v>
          </cell>
          <cell r="N1296">
            <v>68.839991001703865</v>
          </cell>
          <cell r="O1296" t="str">
            <v>工业</v>
          </cell>
          <cell r="P1296" t="str">
            <v>资本货物</v>
          </cell>
          <cell r="Q1296" t="str">
            <v>机械</v>
          </cell>
          <cell r="BC1296">
            <v>2.6706231454005892E-2</v>
          </cell>
          <cell r="BD1296">
            <v>1.6152716593245277E-2</v>
          </cell>
          <cell r="BE1296">
            <v>-0.28853072700012034</v>
          </cell>
          <cell r="BF1296">
            <v>7.370399951934814E-2</v>
          </cell>
          <cell r="BG1296">
            <v>-7.6272001266479497E-2</v>
          </cell>
        </row>
        <row r="1297">
          <cell r="D1297" t="str">
            <v>电影与娱乐</v>
          </cell>
          <cell r="M1297">
            <v>338.3917326312</v>
          </cell>
          <cell r="N1297">
            <v>205.41091067585012</v>
          </cell>
          <cell r="O1297" t="str">
            <v>可选消费</v>
          </cell>
          <cell r="P1297" t="str">
            <v>媒体Ⅱ</v>
          </cell>
          <cell r="Q1297" t="str">
            <v>媒体Ⅲ</v>
          </cell>
          <cell r="BC1297">
            <v>3.6388140161725008E-2</v>
          </cell>
          <cell r="BD1297">
            <v>-3.1486146095717885E-2</v>
          </cell>
          <cell r="BE1297">
            <v>-6.670243813881542E-2</v>
          </cell>
          <cell r="BF1297">
            <v>0.22864799499511718</v>
          </cell>
          <cell r="BG1297">
            <v>0</v>
          </cell>
        </row>
        <row r="1298">
          <cell r="D1298" t="str">
            <v>工业机械</v>
          </cell>
          <cell r="M1298">
            <v>59.794209072000001</v>
          </cell>
          <cell r="N1298">
            <v>36.286649442900796</v>
          </cell>
          <cell r="O1298" t="str">
            <v>工业</v>
          </cell>
          <cell r="P1298" t="str">
            <v>资本货物</v>
          </cell>
          <cell r="Q1298" t="str">
            <v>机械</v>
          </cell>
          <cell r="BC1298">
            <v>2.7952082144894377E-2</v>
          </cell>
          <cell r="BD1298">
            <v>-2.4363833243096877E-2</v>
          </cell>
          <cell r="BE1298">
            <v>4.5322358966800418E-2</v>
          </cell>
          <cell r="BF1298">
            <v>0.50416801452636717</v>
          </cell>
          <cell r="BG1298">
            <v>0</v>
          </cell>
        </row>
        <row r="1299">
          <cell r="D1299" t="str">
            <v>电子设备和仪器</v>
          </cell>
          <cell r="M1299">
            <v>58.087152137399997</v>
          </cell>
          <cell r="N1299">
            <v>35.247351408778762</v>
          </cell>
          <cell r="O1299" t="str">
            <v>信息技术</v>
          </cell>
          <cell r="P1299" t="str">
            <v>技术硬件与设备</v>
          </cell>
          <cell r="Q1299" t="str">
            <v>电子设备、仪器和元件</v>
          </cell>
          <cell r="BC1299">
            <v>0</v>
          </cell>
          <cell r="BD1299">
            <v>-5.083732057416266E-2</v>
          </cell>
          <cell r="BE1299">
            <v>0</v>
          </cell>
          <cell r="BF1299">
            <v>0</v>
          </cell>
          <cell r="BG1299">
            <v>0</v>
          </cell>
        </row>
        <row r="1300">
          <cell r="D1300" t="str">
            <v>建筑与工程</v>
          </cell>
          <cell r="M1300">
            <v>36.603224499999996</v>
          </cell>
          <cell r="N1300">
            <v>22.197616946698663</v>
          </cell>
          <cell r="O1300" t="str">
            <v>工业</v>
          </cell>
          <cell r="P1300" t="str">
            <v>资本货物</v>
          </cell>
          <cell r="Q1300" t="str">
            <v>建筑与工程Ⅲ</v>
          </cell>
          <cell r="BC1300">
            <v>4.2665726375176335E-2</v>
          </cell>
          <cell r="BD1300">
            <v>-0.15028735632183901</v>
          </cell>
          <cell r="BE1300">
            <v>-2.7370060019678517E-2</v>
          </cell>
          <cell r="BF1300">
            <v>0</v>
          </cell>
          <cell r="BG1300">
            <v>0</v>
          </cell>
        </row>
        <row r="1301">
          <cell r="D1301" t="str">
            <v>农用农业机械</v>
          </cell>
          <cell r="M1301">
            <v>102.57770000000001</v>
          </cell>
          <cell r="N1301">
            <v>62.199660090651221</v>
          </cell>
          <cell r="O1301" t="str">
            <v>工业</v>
          </cell>
          <cell r="P1301" t="str">
            <v>资本货物</v>
          </cell>
          <cell r="Q1301" t="str">
            <v>机械</v>
          </cell>
          <cell r="BC1301">
            <v>3.2064128256513051E-2</v>
          </cell>
          <cell r="BD1301">
            <v>-6.7873303167420809E-2</v>
          </cell>
          <cell r="BE1301">
            <v>-0.29751210762815339</v>
          </cell>
          <cell r="BF1301">
            <v>0.12053999900817872</v>
          </cell>
          <cell r="BG1301">
            <v>0</v>
          </cell>
        </row>
        <row r="1302">
          <cell r="D1302" t="str">
            <v>房地产开发</v>
          </cell>
          <cell r="M1302">
            <v>149.2575250964</v>
          </cell>
          <cell r="N1302">
            <v>90.494820079372033</v>
          </cell>
          <cell r="O1302" t="str">
            <v>金融</v>
          </cell>
          <cell r="P1302" t="str">
            <v>房地产</v>
          </cell>
          <cell r="Q1302" t="str">
            <v>房地产管理与开发</v>
          </cell>
          <cell r="BC1302">
            <v>1.2278308321964511E-2</v>
          </cell>
          <cell r="BD1302">
            <v>-2.6246719160105011E-2</v>
          </cell>
          <cell r="BE1302">
            <v>-0.47209528456474342</v>
          </cell>
          <cell r="BF1302">
            <v>0.44691600799560549</v>
          </cell>
          <cell r="BG1302">
            <v>0.14728799819946289</v>
          </cell>
        </row>
        <row r="1303">
          <cell r="D1303" t="str">
            <v>铝</v>
          </cell>
          <cell r="M1303">
            <v>40.205759999999998</v>
          </cell>
          <cell r="N1303">
            <v>24.373174253199071</v>
          </cell>
          <cell r="O1303" t="str">
            <v>材料</v>
          </cell>
          <cell r="P1303" t="str">
            <v>材料Ⅱ</v>
          </cell>
          <cell r="Q1303" t="str">
            <v>金属、非金属与采矿</v>
          </cell>
          <cell r="BC1303">
            <v>0</v>
          </cell>
          <cell r="BD1303">
            <v>0</v>
          </cell>
          <cell r="BE1303">
            <v>-0.18267419962335213</v>
          </cell>
          <cell r="BF1303">
            <v>0.23264400482177736</v>
          </cell>
          <cell r="BG1303">
            <v>6.8699998855590819E-2</v>
          </cell>
        </row>
        <row r="1304">
          <cell r="D1304" t="str">
            <v>啤酒</v>
          </cell>
          <cell r="M1304">
            <v>382.86852410300003</v>
          </cell>
          <cell r="N1304">
            <v>232.05317886896111</v>
          </cell>
          <cell r="O1304" t="str">
            <v>日常消费</v>
          </cell>
          <cell r="P1304" t="str">
            <v>食品、饮料与烟草</v>
          </cell>
          <cell r="Q1304" t="str">
            <v>饮料</v>
          </cell>
          <cell r="BC1304">
            <v>-7.0077084793272355E-3</v>
          </cell>
          <cell r="BD1304">
            <v>1.1781506604783944E-2</v>
          </cell>
          <cell r="BE1304">
            <v>-0.33327205361719764</v>
          </cell>
          <cell r="BF1304">
            <v>-0.16754400253295898</v>
          </cell>
          <cell r="BG1304">
            <v>-3.864000141620636E-3</v>
          </cell>
        </row>
        <row r="1305">
          <cell r="D1305" t="str">
            <v>航空货运与物流</v>
          </cell>
          <cell r="M1305">
            <v>299.34294361000002</v>
          </cell>
          <cell r="N1305">
            <v>181.42581817769459</v>
          </cell>
          <cell r="O1305" t="str">
            <v>工业</v>
          </cell>
          <cell r="P1305" t="str">
            <v>运输</v>
          </cell>
          <cell r="Q1305" t="str">
            <v>航空货运与物流Ⅲ</v>
          </cell>
          <cell r="BC1305">
            <v>1.1216263582194191E-2</v>
          </cell>
          <cell r="BD1305">
            <v>-1.7370572207084402E-2</v>
          </cell>
          <cell r="BE1305">
            <v>-6.1178001952489389E-2</v>
          </cell>
          <cell r="BF1305">
            <v>0.93193199157714846</v>
          </cell>
          <cell r="BG1305">
            <v>0.4190999984741211</v>
          </cell>
        </row>
        <row r="1306">
          <cell r="D1306" t="str">
            <v>中药</v>
          </cell>
          <cell r="M1306">
            <v>54.411061411199995</v>
          </cell>
          <cell r="N1306">
            <v>32.975139923192387</v>
          </cell>
          <cell r="O1306" t="str">
            <v>医疗保健</v>
          </cell>
          <cell r="P1306" t="str">
            <v>制药、生物科技与生命科学</v>
          </cell>
          <cell r="Q1306" t="str">
            <v>制药</v>
          </cell>
          <cell r="BC1306">
            <v>-1.75824175824176E-2</v>
          </cell>
          <cell r="BD1306">
            <v>-5.5966209081309518E-2</v>
          </cell>
          <cell r="BE1306">
            <v>9.6684613616696516E-2</v>
          </cell>
          <cell r="BF1306">
            <v>0.18805200576782227</v>
          </cell>
          <cell r="BG1306">
            <v>0.28238399505615236</v>
          </cell>
        </row>
        <row r="1307">
          <cell r="D1307" t="str">
            <v>互联网零售</v>
          </cell>
          <cell r="M1307">
            <v>214.26453116249999</v>
          </cell>
          <cell r="N1307">
            <v>129.8416423973583</v>
          </cell>
          <cell r="O1307" t="str">
            <v>可选消费</v>
          </cell>
          <cell r="P1307" t="str">
            <v>零售业</v>
          </cell>
          <cell r="Q1307" t="str">
            <v>互联网与售货目录零售</v>
          </cell>
          <cell r="BC1307">
            <v>1.6819571865443337E-2</v>
          </cell>
          <cell r="BD1307">
            <v>6.6606115652436829E-3</v>
          </cell>
          <cell r="BE1307">
            <v>0.61081422034209876</v>
          </cell>
          <cell r="BF1307">
            <v>1.4662919616699219</v>
          </cell>
          <cell r="BG1307">
            <v>0</v>
          </cell>
        </row>
        <row r="1308">
          <cell r="D1308" t="str">
            <v>服装、服饰与奢侈品</v>
          </cell>
          <cell r="M1308">
            <v>89.413540540000014</v>
          </cell>
          <cell r="N1308">
            <v>54.176682299438667</v>
          </cell>
          <cell r="O1308" t="str">
            <v>可选消费</v>
          </cell>
          <cell r="P1308" t="str">
            <v>耐用消费品与服装</v>
          </cell>
          <cell r="Q1308" t="str">
            <v>纺织品、服装与奢侈品</v>
          </cell>
          <cell r="BC1308">
            <v>-7.0197830248882858E-3</v>
          </cell>
          <cell r="BD1308">
            <v>-1.2063492063492031E-2</v>
          </cell>
          <cell r="BE1308">
            <v>1.8795512422784006E-2</v>
          </cell>
          <cell r="BF1308">
            <v>0.39364799499511721</v>
          </cell>
          <cell r="BG1308">
            <v>0</v>
          </cell>
        </row>
        <row r="1309">
          <cell r="D1309" t="str">
            <v>纺织品</v>
          </cell>
          <cell r="M1309">
            <v>86.85</v>
          </cell>
          <cell r="N1309">
            <v>52.603073242547687</v>
          </cell>
          <cell r="O1309" t="str">
            <v>可选消费</v>
          </cell>
          <cell r="P1309" t="str">
            <v>耐用消费品与服装</v>
          </cell>
          <cell r="Q1309" t="str">
            <v>纺织品、服装与奢侈品</v>
          </cell>
          <cell r="BC1309">
            <v>-3.4423407917383089E-3</v>
          </cell>
          <cell r="BD1309">
            <v>-1.5306122448979567E-2</v>
          </cell>
          <cell r="BE1309">
            <v>-0.30032949315694446</v>
          </cell>
          <cell r="BF1309">
            <v>0.21171600341796876</v>
          </cell>
          <cell r="BG1309">
            <v>0</v>
          </cell>
        </row>
        <row r="1310">
          <cell r="D1310" t="str">
            <v>应用软件</v>
          </cell>
          <cell r="M1310">
            <v>75.313014281999997</v>
          </cell>
          <cell r="N1310">
            <v>45.595924071498978</v>
          </cell>
          <cell r="O1310" t="str">
            <v>信息技术</v>
          </cell>
          <cell r="P1310" t="str">
            <v>软件与服务</v>
          </cell>
          <cell r="Q1310" t="str">
            <v>软件</v>
          </cell>
          <cell r="BC1310">
            <v>9.3856655290102523E-2</v>
          </cell>
          <cell r="BD1310">
            <v>0.14090774250964105</v>
          </cell>
          <cell r="BE1310">
            <v>0.11017917945877341</v>
          </cell>
          <cell r="BF1310">
            <v>0.75917999267578129</v>
          </cell>
          <cell r="BG1310">
            <v>0.38228401184082034</v>
          </cell>
        </row>
        <row r="1311">
          <cell r="D1311" t="str">
            <v>重型电气设备</v>
          </cell>
          <cell r="M1311">
            <v>64.724032000000008</v>
          </cell>
          <cell r="N1311">
            <v>39.17538867719167</v>
          </cell>
          <cell r="O1311" t="str">
            <v>工业</v>
          </cell>
          <cell r="P1311" t="str">
            <v>资本货物</v>
          </cell>
          <cell r="Q1311" t="str">
            <v>电气设备</v>
          </cell>
          <cell r="BC1311">
            <v>5.0032488628979827E-2</v>
          </cell>
          <cell r="BD1311">
            <v>-1.5834348355663917E-2</v>
          </cell>
          <cell r="BE1311">
            <v>-0.25293954266626811</v>
          </cell>
          <cell r="BF1311">
            <v>0.2232360076904297</v>
          </cell>
          <cell r="BG1311">
            <v>-1.8323999643325806E-2</v>
          </cell>
        </row>
        <row r="1312">
          <cell r="D1312" t="str">
            <v>酒店、度假村与豪华游轮</v>
          </cell>
          <cell r="M1312">
            <v>40.674900000000001</v>
          </cell>
          <cell r="N1312">
            <v>24.615665917185961</v>
          </cell>
          <cell r="O1312" t="str">
            <v>可选消费</v>
          </cell>
          <cell r="P1312" t="str">
            <v>消费者服务Ⅱ</v>
          </cell>
          <cell r="Q1312" t="str">
            <v>酒店、餐馆与休闲Ⅲ</v>
          </cell>
          <cell r="BC1312">
            <v>5.0300085738782446E-2</v>
          </cell>
          <cell r="BD1312">
            <v>-3.0854430379746878E-2</v>
          </cell>
          <cell r="BE1312">
            <v>1.1166753879310345</v>
          </cell>
          <cell r="BF1312">
            <v>0</v>
          </cell>
          <cell r="BG1312">
            <v>0</v>
          </cell>
        </row>
        <row r="1313">
          <cell r="D1313" t="str">
            <v>纸包装</v>
          </cell>
          <cell r="M1313">
            <v>75.168505812399999</v>
          </cell>
          <cell r="N1313">
            <v>45.487383833443488</v>
          </cell>
          <cell r="O1313" t="str">
            <v>材料</v>
          </cell>
          <cell r="P1313" t="str">
            <v>材料Ⅱ</v>
          </cell>
          <cell r="Q1313" t="str">
            <v>容器与包装</v>
          </cell>
          <cell r="BC1313">
            <v>0.1149171270718231</v>
          </cell>
          <cell r="BD1313">
            <v>4.3973098810139756E-2</v>
          </cell>
          <cell r="BE1313">
            <v>0.13332411338862474</v>
          </cell>
          <cell r="BF1313">
            <v>0.54573600769042974</v>
          </cell>
          <cell r="BG1313">
            <v>0.18146400451660155</v>
          </cell>
        </row>
        <row r="1314">
          <cell r="D1314" t="str">
            <v>西药</v>
          </cell>
          <cell r="M1314">
            <v>126.30084405119999</v>
          </cell>
          <cell r="N1314">
            <v>76.423620662635415</v>
          </cell>
          <cell r="O1314" t="str">
            <v>医疗保健</v>
          </cell>
          <cell r="P1314" t="str">
            <v>制药、生物科技与生命科学</v>
          </cell>
          <cell r="Q1314" t="str">
            <v>制药</v>
          </cell>
          <cell r="BC1314">
            <v>1.1795543905635629E-2</v>
          </cell>
          <cell r="BD1314">
            <v>-3.0962343096234246E-2</v>
          </cell>
          <cell r="BE1314">
            <v>-0.14170728547762115</v>
          </cell>
          <cell r="BF1314">
            <v>0.47021999359130862</v>
          </cell>
          <cell r="BG1314">
            <v>0.16812000274658204</v>
          </cell>
        </row>
        <row r="1315">
          <cell r="D1315" t="str">
            <v>应用软件</v>
          </cell>
          <cell r="M1315">
            <v>151.4296720156</v>
          </cell>
          <cell r="N1315">
            <v>91.60982291997577</v>
          </cell>
          <cell r="O1315" t="str">
            <v>信息技术</v>
          </cell>
          <cell r="P1315" t="str">
            <v>软件与服务</v>
          </cell>
          <cell r="Q1315" t="str">
            <v>软件</v>
          </cell>
          <cell r="BC1315">
            <v>3.9504260263361721E-2</v>
          </cell>
          <cell r="BD1315">
            <v>-1.3960323291697245E-2</v>
          </cell>
          <cell r="BE1315">
            <v>-0.47869615032184515</v>
          </cell>
          <cell r="BF1315">
            <v>6.7439997196197506E-3</v>
          </cell>
          <cell r="BG1315">
            <v>0.20199600219726563</v>
          </cell>
        </row>
        <row r="1316">
          <cell r="D1316" t="str">
            <v>建筑机械与重型卡车</v>
          </cell>
          <cell r="M1316">
            <v>1323.8760512586</v>
          </cell>
          <cell r="N1316">
            <v>800.80770396274227</v>
          </cell>
          <cell r="O1316" t="str">
            <v>工业</v>
          </cell>
          <cell r="P1316" t="str">
            <v>资本货物</v>
          </cell>
          <cell r="Q1316" t="str">
            <v>机械</v>
          </cell>
          <cell r="BC1316">
            <v>8.5843373493975944E-2</v>
          </cell>
          <cell r="BD1316">
            <v>6.1855670103092772E-2</v>
          </cell>
          <cell r="BE1316">
            <v>-0.30769513949888999</v>
          </cell>
          <cell r="BF1316">
            <v>0.24986400604248046</v>
          </cell>
          <cell r="BG1316">
            <v>4.1315999031066891E-2</v>
          </cell>
        </row>
        <row r="1317">
          <cell r="D1317" t="str">
            <v>工业机械</v>
          </cell>
          <cell r="M1317">
            <v>95.081522010400008</v>
          </cell>
          <cell r="N1317">
            <v>57.507894345006946</v>
          </cell>
          <cell r="O1317" t="str">
            <v>工业</v>
          </cell>
          <cell r="P1317" t="str">
            <v>资本货物</v>
          </cell>
          <cell r="Q1317" t="str">
            <v>机械</v>
          </cell>
          <cell r="BC1317">
            <v>1.2668250197941279E-2</v>
          </cell>
          <cell r="BD1317">
            <v>-1.159196290571873E-2</v>
          </cell>
          <cell r="BE1317">
            <v>-0.26481231645830838</v>
          </cell>
          <cell r="BF1317">
            <v>0.23191200256347655</v>
          </cell>
          <cell r="BG1317">
            <v>5.8607997894287112E-2</v>
          </cell>
        </row>
        <row r="1318">
          <cell r="D1318" t="str">
            <v>金属非金属</v>
          </cell>
          <cell r="M1318">
            <v>584.29707498540006</v>
          </cell>
          <cell r="N1318">
            <v>353.35818185700407</v>
          </cell>
          <cell r="O1318" t="str">
            <v>材料</v>
          </cell>
          <cell r="P1318" t="str">
            <v>材料Ⅱ</v>
          </cell>
          <cell r="Q1318" t="str">
            <v>金属、非金属与采矿</v>
          </cell>
          <cell r="BC1318">
            <v>-1.4245014245014195E-2</v>
          </cell>
          <cell r="BD1318">
            <v>-3.3519553072625725E-2</v>
          </cell>
          <cell r="BE1318">
            <v>-0.20761678235668679</v>
          </cell>
          <cell r="BF1318">
            <v>0.42838798522949217</v>
          </cell>
          <cell r="BG1318">
            <v>0</v>
          </cell>
        </row>
        <row r="1319">
          <cell r="D1319" t="str">
            <v>电子元件</v>
          </cell>
          <cell r="M1319">
            <v>84.096183600000003</v>
          </cell>
          <cell r="N1319">
            <v>50.856226351286779</v>
          </cell>
          <cell r="O1319" t="str">
            <v>信息技术</v>
          </cell>
          <cell r="P1319" t="str">
            <v>技术硬件与设备</v>
          </cell>
          <cell r="Q1319" t="str">
            <v>电子设备、仪器和元件</v>
          </cell>
          <cell r="BC1319">
            <v>0.11358586789601956</v>
          </cell>
          <cell r="BD1319">
            <v>-5.6603670405070201E-2</v>
          </cell>
          <cell r="BE1319">
            <v>-3.9811750297981396E-2</v>
          </cell>
          <cell r="BF1319">
            <v>0.69098396301269527</v>
          </cell>
          <cell r="BG1319">
            <v>0</v>
          </cell>
        </row>
        <row r="1320">
          <cell r="D1320" t="str">
            <v>房地产开发</v>
          </cell>
          <cell r="M1320">
            <v>82.631970699999997</v>
          </cell>
          <cell r="N1320">
            <v>49.963313595416665</v>
          </cell>
          <cell r="O1320" t="str">
            <v>金融</v>
          </cell>
          <cell r="P1320" t="str">
            <v>房地产</v>
          </cell>
          <cell r="Q1320" t="str">
            <v>房地产管理与开发</v>
          </cell>
          <cell r="BC1320">
            <v>0</v>
          </cell>
          <cell r="BD1320">
            <v>-3.578947368421051E-2</v>
          </cell>
          <cell r="BE1320">
            <v>-0.2648475120385233</v>
          </cell>
          <cell r="BF1320">
            <v>0.5080199813842774</v>
          </cell>
          <cell r="BG1320">
            <v>1.2383999824523926E-2</v>
          </cell>
        </row>
        <row r="1321">
          <cell r="D1321" t="str">
            <v>环境与设施服务</v>
          </cell>
          <cell r="M1321">
            <v>213.94780395870001</v>
          </cell>
          <cell r="N1321">
            <v>129.25754693491834</v>
          </cell>
          <cell r="O1321" t="str">
            <v>工业</v>
          </cell>
          <cell r="P1321" t="str">
            <v>商业和专业服务</v>
          </cell>
          <cell r="Q1321" t="str">
            <v>商业服务与用品</v>
          </cell>
          <cell r="BC1321">
            <v>5.7855361596009978E-2</v>
          </cell>
          <cell r="BD1321">
            <v>1.6291327264015325E-2</v>
          </cell>
          <cell r="BE1321">
            <v>-8.1572542141284954E-2</v>
          </cell>
          <cell r="BF1321">
            <v>0.10047599792480469</v>
          </cell>
          <cell r="BG1321">
            <v>7.3680000305175783E-2</v>
          </cell>
        </row>
        <row r="1322">
          <cell r="D1322" t="str">
            <v>食品加工与肉类</v>
          </cell>
          <cell r="M1322">
            <v>123.00915599999999</v>
          </cell>
          <cell r="N1322">
            <v>74.303005917802466</v>
          </cell>
          <cell r="O1322" t="str">
            <v>日常消费</v>
          </cell>
          <cell r="P1322" t="str">
            <v>食品、饮料与烟草</v>
          </cell>
          <cell r="Q1322" t="str">
            <v>食品</v>
          </cell>
          <cell r="BC1322">
            <v>1.0924369747899076E-2</v>
          </cell>
          <cell r="BD1322">
            <v>-4.1390728476821776E-3</v>
          </cell>
          <cell r="BE1322">
            <v>-0.41058304752572272</v>
          </cell>
          <cell r="BF1322">
            <v>-5.4563999176025391E-2</v>
          </cell>
          <cell r="BG1322">
            <v>0</v>
          </cell>
        </row>
        <row r="1323">
          <cell r="D1323" t="str">
            <v>中药</v>
          </cell>
          <cell r="M1323">
            <v>55.686597096</v>
          </cell>
          <cell r="N1323">
            <v>33.627707820114743</v>
          </cell>
          <cell r="O1323" t="str">
            <v>医疗保健</v>
          </cell>
          <cell r="P1323" t="str">
            <v>制药、生物科技与生命科学</v>
          </cell>
          <cell r="Q1323" t="str">
            <v>制药</v>
          </cell>
          <cell r="BC1323">
            <v>8.6259330937240739E-2</v>
          </cell>
          <cell r="BD1323">
            <v>2.5848563968668463E-2</v>
          </cell>
          <cell r="BE1323">
            <v>0.2707209051873915</v>
          </cell>
          <cell r="BF1323">
            <v>0</v>
          </cell>
          <cell r="BG1323">
            <v>0</v>
          </cell>
        </row>
        <row r="1324">
          <cell r="D1324" t="str">
            <v>服装、服饰与奢侈品</v>
          </cell>
          <cell r="M1324">
            <v>41.742800000000003</v>
          </cell>
          <cell r="N1324">
            <v>25.20245843579956</v>
          </cell>
          <cell r="O1324" t="str">
            <v>可选消费</v>
          </cell>
          <cell r="P1324" t="str">
            <v>耐用消费品与服装</v>
          </cell>
          <cell r="Q1324" t="str">
            <v>纺织品、服装与奢侈品</v>
          </cell>
          <cell r="BC1324">
            <v>3.1858407079645969E-2</v>
          </cell>
          <cell r="BD1324">
            <v>-3.1561461794019856E-2</v>
          </cell>
          <cell r="BE1324">
            <v>-1.4367360812353224E-3</v>
          </cell>
          <cell r="BF1324">
            <v>0.61976398468017579</v>
          </cell>
          <cell r="BG1324">
            <v>0.19849199295043946</v>
          </cell>
        </row>
        <row r="1325">
          <cell r="D1325" t="str">
            <v>钢铁</v>
          </cell>
          <cell r="M1325">
            <v>48.536115840000008</v>
          </cell>
          <cell r="N1325">
            <v>29.30390040356065</v>
          </cell>
          <cell r="O1325" t="str">
            <v>材料</v>
          </cell>
          <cell r="P1325" t="str">
            <v>材料Ⅱ</v>
          </cell>
          <cell r="Q1325" t="str">
            <v>金属、非金属与采矿</v>
          </cell>
          <cell r="BC1325">
            <v>1.2183692596063804E-2</v>
          </cell>
          <cell r="BD1325">
            <v>1.8867924528301987E-2</v>
          </cell>
          <cell r="BE1325">
            <v>-0.11935933299204979</v>
          </cell>
          <cell r="BF1325">
            <v>0.39441600799560544</v>
          </cell>
          <cell r="BG1325">
            <v>-2.7516000270843506E-2</v>
          </cell>
        </row>
        <row r="1326">
          <cell r="D1326" t="str">
            <v>电子元件</v>
          </cell>
          <cell r="M1326">
            <v>74.469368912000007</v>
          </cell>
          <cell r="N1326">
            <v>44.939318369741976</v>
          </cell>
          <cell r="O1326" t="str">
            <v>信息技术</v>
          </cell>
          <cell r="P1326" t="str">
            <v>技术硬件与设备</v>
          </cell>
          <cell r="Q1326" t="str">
            <v>电子设备、仪器和元件</v>
          </cell>
          <cell r="BC1326">
            <v>-9.3147039254822886E-3</v>
          </cell>
          <cell r="BD1326">
            <v>-8.1997533908754527E-2</v>
          </cell>
          <cell r="BE1326">
            <v>-0.13936020399109128</v>
          </cell>
          <cell r="BF1326">
            <v>0.27579599380493164</v>
          </cell>
          <cell r="BG1326">
            <v>0.21255599975585937</v>
          </cell>
        </row>
        <row r="1327">
          <cell r="D1327" t="str">
            <v>西药</v>
          </cell>
          <cell r="M1327">
            <v>122.9109804</v>
          </cell>
          <cell r="N1327">
            <v>74.167603284688269</v>
          </cell>
          <cell r="O1327" t="str">
            <v>医疗保健</v>
          </cell>
          <cell r="P1327" t="str">
            <v>制药、生物科技与生命科学</v>
          </cell>
          <cell r="Q1327" t="str">
            <v>制药</v>
          </cell>
          <cell r="BC1327">
            <v>2.0995334370140076E-2</v>
          </cell>
          <cell r="BD1327">
            <v>1.3117283950617278E-2</v>
          </cell>
          <cell r="BE1327">
            <v>-1.0450412309347221E-2</v>
          </cell>
          <cell r="BF1327">
            <v>0.17084400177001954</v>
          </cell>
          <cell r="BG1327">
            <v>8.4839999675750729E-3</v>
          </cell>
        </row>
        <row r="1328">
          <cell r="D1328" t="str">
            <v>金属非金属</v>
          </cell>
          <cell r="M1328">
            <v>160.76126379999999</v>
          </cell>
          <cell r="N1328">
            <v>96.998325217633322</v>
          </cell>
          <cell r="O1328" t="str">
            <v>材料</v>
          </cell>
          <cell r="P1328" t="str">
            <v>材料Ⅱ</v>
          </cell>
          <cell r="Q1328" t="str">
            <v>金属、非金属与采矿</v>
          </cell>
          <cell r="BC1328">
            <v>-3.3219761499148258E-2</v>
          </cell>
          <cell r="BD1328">
            <v>1.4298480786416457E-2</v>
          </cell>
          <cell r="BE1328">
            <v>-0.25719895287958117</v>
          </cell>
          <cell r="BF1328">
            <v>0.40345199584960939</v>
          </cell>
          <cell r="BG1328">
            <v>-7.2611999511718747E-2</v>
          </cell>
        </row>
        <row r="1329">
          <cell r="D1329" t="str">
            <v>贸易公司与工业品经销商</v>
          </cell>
          <cell r="M1329">
            <v>98.734205136599982</v>
          </cell>
          <cell r="N1329">
            <v>59.555818356726668</v>
          </cell>
          <cell r="O1329" t="str">
            <v>工业</v>
          </cell>
          <cell r="P1329" t="str">
            <v>资本货物</v>
          </cell>
          <cell r="Q1329" t="str">
            <v>贸易公司与工业品经销商Ⅲ</v>
          </cell>
          <cell r="BC1329">
            <v>0.32624113475177297</v>
          </cell>
          <cell r="BD1329">
            <v>0.19786476868327385</v>
          </cell>
          <cell r="BE1329">
            <v>1.3002093336231784</v>
          </cell>
          <cell r="BF1329">
            <v>0.81853202819824222</v>
          </cell>
          <cell r="BG1329">
            <v>0.35584800720214843</v>
          </cell>
        </row>
        <row r="1330">
          <cell r="D1330" t="str">
            <v>酒店、度假村与豪华游轮</v>
          </cell>
          <cell r="M1330">
            <v>41.26746</v>
          </cell>
          <cell r="N1330">
            <v>24.876381853406254</v>
          </cell>
          <cell r="O1330" t="str">
            <v>可选消费</v>
          </cell>
          <cell r="P1330" t="str">
            <v>消费者服务Ⅱ</v>
          </cell>
          <cell r="Q1330" t="str">
            <v>酒店、餐馆与休闲Ⅲ</v>
          </cell>
          <cell r="BC1330">
            <v>1.6858917480035606E-2</v>
          </cell>
          <cell r="BD1330">
            <v>-4.4999999999999929E-2</v>
          </cell>
          <cell r="BE1330">
            <v>0.19248478209627351</v>
          </cell>
          <cell r="BF1330">
            <v>0.45330001831054689</v>
          </cell>
          <cell r="BG1330">
            <v>3.9035999774932863E-2</v>
          </cell>
        </row>
        <row r="1331">
          <cell r="D1331" t="str">
            <v>电气部件与设备</v>
          </cell>
          <cell r="M1331">
            <v>196.60082463840001</v>
          </cell>
          <cell r="N1331">
            <v>118.50069223424772</v>
          </cell>
          <cell r="O1331" t="str">
            <v>工业</v>
          </cell>
          <cell r="P1331" t="str">
            <v>资本货物</v>
          </cell>
          <cell r="Q1331" t="str">
            <v>电气设备</v>
          </cell>
          <cell r="BC1331">
            <v>-1.2735849056603753E-2</v>
          </cell>
          <cell r="BD1331">
            <v>-0.1268251981643721</v>
          </cell>
          <cell r="BE1331">
            <v>0.94080057063673184</v>
          </cell>
          <cell r="BF1331">
            <v>1.0336560058593749</v>
          </cell>
          <cell r="BG1331">
            <v>0.41667598724365235</v>
          </cell>
        </row>
        <row r="1332">
          <cell r="D1332" t="str">
            <v>黄金</v>
          </cell>
          <cell r="M1332">
            <v>305.80147200830004</v>
          </cell>
          <cell r="N1332">
            <v>184.28550567539756</v>
          </cell>
          <cell r="O1332" t="str">
            <v>材料</v>
          </cell>
          <cell r="P1332" t="str">
            <v>材料Ⅱ</v>
          </cell>
          <cell r="Q1332" t="str">
            <v>金属、非金属与采矿</v>
          </cell>
          <cell r="BC1332">
            <v>-4.3278084714548699E-2</v>
          </cell>
          <cell r="BD1332">
            <v>-1.9811320754716893E-2</v>
          </cell>
          <cell r="BE1332">
            <v>-0.18446439762995204</v>
          </cell>
          <cell r="BF1332">
            <v>0.18302400588989257</v>
          </cell>
          <cell r="BG1332">
            <v>-3.6143999099731448E-2</v>
          </cell>
        </row>
        <row r="1333">
          <cell r="D1333" t="str">
            <v>汽车制造</v>
          </cell>
          <cell r="M1333">
            <v>1410.3296</v>
          </cell>
          <cell r="N1333">
            <v>849.88125222222232</v>
          </cell>
          <cell r="O1333" t="str">
            <v>可选消费</v>
          </cell>
          <cell r="P1333" t="str">
            <v>汽车与汽车零部件</v>
          </cell>
          <cell r="Q1333" t="str">
            <v>汽车</v>
          </cell>
          <cell r="BC1333">
            <v>1.7559262510971044E-4</v>
          </cell>
          <cell r="BD1333">
            <v>3.5259905488913078E-2</v>
          </cell>
          <cell r="BE1333">
            <v>5.0534857985983068E-2</v>
          </cell>
          <cell r="BF1333">
            <v>5.8091998100280762E-2</v>
          </cell>
          <cell r="BG1333">
            <v>0</v>
          </cell>
        </row>
        <row r="1334">
          <cell r="D1334" t="str">
            <v>服装、服饰与奢侈品</v>
          </cell>
          <cell r="M1334">
            <v>146.14286946420003</v>
          </cell>
          <cell r="N1334">
            <v>88.054304281739533</v>
          </cell>
          <cell r="O1334" t="str">
            <v>可选消费</v>
          </cell>
          <cell r="P1334" t="str">
            <v>耐用消费品与服装</v>
          </cell>
          <cell r="Q1334" t="str">
            <v>纺织品、服装与奢侈品</v>
          </cell>
          <cell r="BC1334">
            <v>0.12247129579004933</v>
          </cell>
          <cell r="BD1334">
            <v>5.282051282051288E-2</v>
          </cell>
          <cell r="BE1334">
            <v>1.3412216276327231</v>
          </cell>
          <cell r="BF1334">
            <v>0.83516403198242184</v>
          </cell>
          <cell r="BG1334">
            <v>0.32967601776123046</v>
          </cell>
        </row>
        <row r="1335">
          <cell r="D1335" t="str">
            <v>建筑与工程</v>
          </cell>
          <cell r="M1335">
            <v>62.446840000000002</v>
          </cell>
          <cell r="N1335">
            <v>37.622883145793587</v>
          </cell>
          <cell r="O1335" t="str">
            <v>工业</v>
          </cell>
          <cell r="P1335" t="str">
            <v>资本货物</v>
          </cell>
          <cell r="Q1335" t="str">
            <v>建筑与工程Ⅲ</v>
          </cell>
          <cell r="BC1335">
            <v>1.0736196319018449E-2</v>
          </cell>
          <cell r="BD1335">
            <v>-5.0432276657060592E-2</v>
          </cell>
          <cell r="BE1335">
            <v>-0.43721044220913025</v>
          </cell>
          <cell r="BF1335">
            <v>0.47251201629638673</v>
          </cell>
          <cell r="BG1335">
            <v>0.1220639991760254</v>
          </cell>
        </row>
        <row r="1336">
          <cell r="D1336" t="str">
            <v>餐馆</v>
          </cell>
          <cell r="M1336">
            <v>59.070847382499991</v>
          </cell>
          <cell r="N1336">
            <v>35.582179770990983</v>
          </cell>
          <cell r="O1336" t="str">
            <v>可选消费</v>
          </cell>
          <cell r="P1336" t="str">
            <v>消费者服务Ⅱ</v>
          </cell>
          <cell r="Q1336" t="str">
            <v>酒店、餐馆与休闲Ⅲ</v>
          </cell>
          <cell r="BC1336">
            <v>4.0760869565217392E-2</v>
          </cell>
          <cell r="BD1336">
            <v>1.5376458112407166E-2</v>
          </cell>
          <cell r="BE1336">
            <v>-0.16844316679778848</v>
          </cell>
          <cell r="BF1336">
            <v>5.1719999313354489E-3</v>
          </cell>
          <cell r="BG1336">
            <v>7.8983998298645025E-2</v>
          </cell>
        </row>
        <row r="1337">
          <cell r="D1337" t="str">
            <v>海港与服务</v>
          </cell>
          <cell r="M1337">
            <v>45.793373301999999</v>
          </cell>
          <cell r="N1337">
            <v>27.582059872622512</v>
          </cell>
          <cell r="O1337" t="str">
            <v>工业</v>
          </cell>
          <cell r="P1337" t="str">
            <v>运输</v>
          </cell>
          <cell r="Q1337" t="str">
            <v>交通基础设施</v>
          </cell>
          <cell r="BC1337">
            <v>1.3986013986014E-2</v>
          </cell>
          <cell r="BD1337">
            <v>-1.0238907849829436E-2</v>
          </cell>
          <cell r="BE1337">
            <v>-0.46684064311519757</v>
          </cell>
          <cell r="BF1337">
            <v>0.15975600242614746</v>
          </cell>
          <cell r="BG1337">
            <v>3.7644000053405763E-2</v>
          </cell>
        </row>
        <row r="1338">
          <cell r="D1338" t="str">
            <v>电子设备和仪器</v>
          </cell>
          <cell r="M1338">
            <v>146.95592884960001</v>
          </cell>
          <cell r="N1338">
            <v>88.509153681208147</v>
          </cell>
          <cell r="O1338" t="str">
            <v>信息技术</v>
          </cell>
          <cell r="P1338" t="str">
            <v>技术硬件与设备</v>
          </cell>
          <cell r="Q1338" t="str">
            <v>电子设备、仪器和元件</v>
          </cell>
          <cell r="BC1338">
            <v>3.9641502930024081E-2</v>
          </cell>
          <cell r="BD1338">
            <v>-6.7120321682647643E-2</v>
          </cell>
          <cell r="BE1338">
            <v>0.38018882165056245</v>
          </cell>
          <cell r="BF1338">
            <v>0.78038398742675785</v>
          </cell>
          <cell r="BG1338">
            <v>0</v>
          </cell>
        </row>
        <row r="1339">
          <cell r="D1339" t="str">
            <v>中药</v>
          </cell>
          <cell r="M1339">
            <v>64.660724999999999</v>
          </cell>
          <cell r="N1339">
            <v>38.939167768311663</v>
          </cell>
          <cell r="O1339" t="str">
            <v>医疗保健</v>
          </cell>
          <cell r="P1339" t="str">
            <v>制药、生物科技与生命科学</v>
          </cell>
          <cell r="Q1339" t="str">
            <v>制药</v>
          </cell>
          <cell r="BC1339">
            <v>1.8616196090599528E-3</v>
          </cell>
          <cell r="BD1339">
            <v>-9.8548297040759389E-2</v>
          </cell>
          <cell r="BE1339">
            <v>1.6420787832205679</v>
          </cell>
          <cell r="BF1339">
            <v>0</v>
          </cell>
          <cell r="BG1339">
            <v>0</v>
          </cell>
        </row>
        <row r="1340">
          <cell r="D1340" t="str">
            <v>服装、服饰与奢侈品</v>
          </cell>
          <cell r="M1340">
            <v>154.48320000000001</v>
          </cell>
          <cell r="N1340">
            <v>93.020869518591965</v>
          </cell>
          <cell r="O1340" t="str">
            <v>可选消费</v>
          </cell>
          <cell r="P1340" t="str">
            <v>耐用消费品与服装</v>
          </cell>
          <cell r="Q1340" t="str">
            <v>纺织品、服装与奢侈品</v>
          </cell>
          <cell r="BC1340">
            <v>4.0431266846361518E-3</v>
          </cell>
          <cell r="BD1340">
            <v>-8.5328422344996865E-2</v>
          </cell>
          <cell r="BE1340">
            <v>0.18665038233757886</v>
          </cell>
          <cell r="BF1340">
            <v>0.63194400787353511</v>
          </cell>
          <cell r="BG1340">
            <v>0.2769599914550781</v>
          </cell>
        </row>
        <row r="1341">
          <cell r="D1341" t="str">
            <v>机动车零配件与设备</v>
          </cell>
          <cell r="M1341">
            <v>238.86663569999999</v>
          </cell>
          <cell r="N1341">
            <v>143.80519225892314</v>
          </cell>
          <cell r="O1341" t="str">
            <v>可选消费</v>
          </cell>
          <cell r="P1341" t="str">
            <v>汽车与汽车零部件</v>
          </cell>
          <cell r="Q1341" t="str">
            <v>汽车零配件</v>
          </cell>
          <cell r="BC1341">
            <v>0.1195476575121163</v>
          </cell>
          <cell r="BD1341">
            <v>0.10879999999999995</v>
          </cell>
          <cell r="BE1341">
            <v>4.1585038287400289E-2</v>
          </cell>
          <cell r="BF1341">
            <v>0.19015199661254883</v>
          </cell>
          <cell r="BG1341">
            <v>0.37574401855468748</v>
          </cell>
        </row>
        <row r="1342">
          <cell r="D1342" t="str">
            <v>房地产开发</v>
          </cell>
          <cell r="M1342">
            <v>203.50068507120002</v>
          </cell>
          <cell r="N1342">
            <v>122.49115259692117</v>
          </cell>
          <cell r="O1342" t="str">
            <v>金融</v>
          </cell>
          <cell r="P1342" t="str">
            <v>房地产</v>
          </cell>
          <cell r="Q1342" t="str">
            <v>房地产管理与开发</v>
          </cell>
          <cell r="BC1342">
            <v>1.6304347826087091E-2</v>
          </cell>
          <cell r="BD1342">
            <v>-5.5555555555555566E-2</v>
          </cell>
          <cell r="BE1342">
            <v>0.15607086368803705</v>
          </cell>
          <cell r="BF1342">
            <v>0.89235603332519531</v>
          </cell>
          <cell r="BG1342">
            <v>0.25799999237060545</v>
          </cell>
        </row>
        <row r="1343">
          <cell r="D1343" t="str">
            <v>化肥与农用化工</v>
          </cell>
          <cell r="M1343">
            <v>68.091623159999997</v>
          </cell>
          <cell r="N1343">
            <v>40.965067460040899</v>
          </cell>
          <cell r="O1343" t="str">
            <v>材料</v>
          </cell>
          <cell r="P1343" t="str">
            <v>材料Ⅱ</v>
          </cell>
          <cell r="Q1343" t="str">
            <v>化工</v>
          </cell>
          <cell r="BC1343">
            <v>2.0771513353115598E-2</v>
          </cell>
          <cell r="BD1343">
            <v>-4.1782729805013928E-2</v>
          </cell>
          <cell r="BE1343">
            <v>0.28922087203198799</v>
          </cell>
          <cell r="BF1343">
            <v>0.51685199737548826</v>
          </cell>
          <cell r="BG1343">
            <v>0</v>
          </cell>
        </row>
        <row r="1344">
          <cell r="D1344" t="str">
            <v>房地产开发</v>
          </cell>
          <cell r="M1344">
            <v>250.48591632000003</v>
          </cell>
          <cell r="N1344">
            <v>150.66773946302081</v>
          </cell>
          <cell r="O1344" t="str">
            <v>金融</v>
          </cell>
          <cell r="P1344" t="str">
            <v>房地产</v>
          </cell>
          <cell r="Q1344" t="str">
            <v>房地产管理与开发</v>
          </cell>
          <cell r="BC1344">
            <v>0.13684210526315788</v>
          </cell>
          <cell r="BD1344">
            <v>0.28401585204755619</v>
          </cell>
          <cell r="BE1344">
            <v>1.0496968529758628</v>
          </cell>
          <cell r="BF1344">
            <v>0.53955600738525389</v>
          </cell>
          <cell r="BG1344">
            <v>0.26833200454711914</v>
          </cell>
        </row>
        <row r="1345">
          <cell r="D1345" t="str">
            <v>房地产开发</v>
          </cell>
          <cell r="M1345">
            <v>141.99748174920001</v>
          </cell>
          <cell r="N1345">
            <v>85.394142332839351</v>
          </cell>
          <cell r="O1345" t="str">
            <v>金融</v>
          </cell>
          <cell r="P1345" t="str">
            <v>房地产</v>
          </cell>
          <cell r="Q1345" t="str">
            <v>房地产管理与开发</v>
          </cell>
          <cell r="BC1345">
            <v>1.650165016501659E-2</v>
          </cell>
          <cell r="BD1345">
            <v>1.986754966887419E-2</v>
          </cell>
          <cell r="BE1345">
            <v>-0.2607107229515529</v>
          </cell>
          <cell r="BF1345">
            <v>0.2704199981689453</v>
          </cell>
          <cell r="BG1345">
            <v>0.1209119987487793</v>
          </cell>
        </row>
        <row r="1346">
          <cell r="D1346" t="str">
            <v>基础化工</v>
          </cell>
          <cell r="M1346">
            <v>37.072000000000003</v>
          </cell>
          <cell r="N1346">
            <v>22.279500140479168</v>
          </cell>
          <cell r="O1346" t="str">
            <v>材料</v>
          </cell>
          <cell r="P1346" t="str">
            <v>材料Ⅱ</v>
          </cell>
          <cell r="Q1346" t="str">
            <v>化工</v>
          </cell>
          <cell r="BC1346">
            <v>4.6285843305486664E-2</v>
          </cell>
          <cell r="BD1346">
            <v>-1.2150927307610172E-2</v>
          </cell>
          <cell r="BE1346">
            <v>0</v>
          </cell>
          <cell r="BF1346">
            <v>0</v>
          </cell>
          <cell r="BG1346">
            <v>0</v>
          </cell>
        </row>
        <row r="1347">
          <cell r="D1347" t="str">
            <v>重型电气设备</v>
          </cell>
          <cell r="M1347">
            <v>78.333608563200002</v>
          </cell>
          <cell r="N1347">
            <v>47.075459191456311</v>
          </cell>
          <cell r="O1347" t="str">
            <v>工业</v>
          </cell>
          <cell r="P1347" t="str">
            <v>资本货物</v>
          </cell>
          <cell r="Q1347" t="str">
            <v>电气设备</v>
          </cell>
          <cell r="BC1347">
            <v>4.1484716157205261E-2</v>
          </cell>
          <cell r="BD1347">
            <v>9.8800282286521223E-3</v>
          </cell>
          <cell r="BE1347">
            <v>-0.31820931506464561</v>
          </cell>
          <cell r="BF1347">
            <v>0.3040320014953613</v>
          </cell>
          <cell r="BG1347">
            <v>0.22163999557495118</v>
          </cell>
        </row>
        <row r="1348">
          <cell r="D1348" t="str">
            <v>数据处理与外包服务</v>
          </cell>
          <cell r="M1348">
            <v>46.928729191999999</v>
          </cell>
          <cell r="N1348">
            <v>28.196434550893759</v>
          </cell>
          <cell r="O1348" t="str">
            <v>信息技术</v>
          </cell>
          <cell r="P1348" t="str">
            <v>软件与服务</v>
          </cell>
          <cell r="Q1348" t="str">
            <v>信息技术服务</v>
          </cell>
          <cell r="BC1348">
            <v>0</v>
          </cell>
          <cell r="BD1348">
            <v>0</v>
          </cell>
          <cell r="BE1348">
            <v>-0.1596406524198504</v>
          </cell>
          <cell r="BF1348">
            <v>0.57166801452636717</v>
          </cell>
          <cell r="BG1348">
            <v>0</v>
          </cell>
        </row>
        <row r="1349">
          <cell r="D1349" t="str">
            <v>房地产开发</v>
          </cell>
          <cell r="M1349">
            <v>156.3621774264</v>
          </cell>
          <cell r="N1349">
            <v>93.932641662756467</v>
          </cell>
          <cell r="O1349" t="str">
            <v>金融</v>
          </cell>
          <cell r="P1349" t="str">
            <v>房地产</v>
          </cell>
          <cell r="Q1349" t="str">
            <v>房地产管理与开发</v>
          </cell>
          <cell r="BC1349">
            <v>2.9906542056074795E-2</v>
          </cell>
          <cell r="BD1349">
            <v>1.5668202764976952E-2</v>
          </cell>
          <cell r="BE1349">
            <v>-0.26710843180522059</v>
          </cell>
          <cell r="BF1349">
            <v>0.35939998626708985</v>
          </cell>
          <cell r="BG1349">
            <v>0.16268400192260743</v>
          </cell>
        </row>
        <row r="1350">
          <cell r="D1350" t="str">
            <v>金属非金属</v>
          </cell>
          <cell r="M1350">
            <v>43.014359999999996</v>
          </cell>
          <cell r="N1350">
            <v>25.840044419766663</v>
          </cell>
          <cell r="O1350" t="str">
            <v>材料</v>
          </cell>
          <cell r="P1350" t="str">
            <v>材料Ⅱ</v>
          </cell>
          <cell r="Q1350" t="str">
            <v>金属、非金属与采矿</v>
          </cell>
          <cell r="BC1350">
            <v>9.2666287663445077E-2</v>
          </cell>
          <cell r="BD1350">
            <v>7.3743016759776556E-2</v>
          </cell>
          <cell r="BE1350">
            <v>-8.3073105362182612E-2</v>
          </cell>
          <cell r="BF1350">
            <v>0</v>
          </cell>
          <cell r="BG1350">
            <v>0</v>
          </cell>
        </row>
        <row r="1351">
          <cell r="D1351" t="str">
            <v>电子设备和仪器</v>
          </cell>
          <cell r="M1351">
            <v>61.183161892800001</v>
          </cell>
          <cell r="N1351">
            <v>36.752001371365537</v>
          </cell>
          <cell r="O1351" t="str">
            <v>信息技术</v>
          </cell>
          <cell r="P1351" t="str">
            <v>技术硬件与设备</v>
          </cell>
          <cell r="Q1351" t="str">
            <v>电子设备、仪器和元件</v>
          </cell>
          <cell r="BC1351">
            <v>2.0527859237536566E-2</v>
          </cell>
          <cell r="BD1351">
            <v>-9.5693779904304185E-4</v>
          </cell>
          <cell r="BE1351">
            <v>-0.31413104978971906</v>
          </cell>
          <cell r="BF1351">
            <v>0.65637603759765628</v>
          </cell>
          <cell r="BG1351">
            <v>0.28691999435424803</v>
          </cell>
        </row>
        <row r="1352">
          <cell r="D1352" t="str">
            <v>机动车零配件与设备</v>
          </cell>
          <cell r="M1352">
            <v>92.228204099999985</v>
          </cell>
          <cell r="N1352">
            <v>55.394084041100299</v>
          </cell>
          <cell r="O1352" t="str">
            <v>可选消费</v>
          </cell>
          <cell r="P1352" t="str">
            <v>汽车与汽车零部件</v>
          </cell>
          <cell r="Q1352" t="str">
            <v>汽车零配件</v>
          </cell>
          <cell r="BC1352">
            <v>0</v>
          </cell>
          <cell r="BD1352">
            <v>0</v>
          </cell>
          <cell r="BE1352">
            <v>6.3473059635604547E-3</v>
          </cell>
          <cell r="BF1352">
            <v>0.39988800048828127</v>
          </cell>
          <cell r="BG1352">
            <v>0.13448399543762207</v>
          </cell>
        </row>
        <row r="1353">
          <cell r="D1353" t="str">
            <v>西药</v>
          </cell>
          <cell r="M1353">
            <v>118.2333428525</v>
          </cell>
          <cell r="N1353">
            <v>70.999865277857126</v>
          </cell>
          <cell r="O1353" t="str">
            <v>医疗保健</v>
          </cell>
          <cell r="P1353" t="str">
            <v>制药、生物科技与生命科学</v>
          </cell>
          <cell r="Q1353" t="str">
            <v>制药</v>
          </cell>
          <cell r="BC1353">
            <v>7.2485207100591753E-2</v>
          </cell>
          <cell r="BD1353">
            <v>-6.8493150684931269E-3</v>
          </cell>
          <cell r="BE1353">
            <v>-7.7608142493638718E-2</v>
          </cell>
          <cell r="BF1353">
            <v>0.2556119918823242</v>
          </cell>
          <cell r="BG1353">
            <v>-5.257199764251709E-2</v>
          </cell>
        </row>
        <row r="1354">
          <cell r="D1354" t="str">
            <v>房地产开发</v>
          </cell>
          <cell r="M1354">
            <v>1043.2600553700001</v>
          </cell>
          <cell r="N1354">
            <v>626.37047455056268</v>
          </cell>
          <cell r="O1354" t="str">
            <v>金融</v>
          </cell>
          <cell r="P1354" t="str">
            <v>房地产</v>
          </cell>
          <cell r="Q1354" t="str">
            <v>房地产管理与开发</v>
          </cell>
          <cell r="BC1354">
            <v>0</v>
          </cell>
          <cell r="BD1354">
            <v>0</v>
          </cell>
          <cell r="BE1354">
            <v>0.44812773563041952</v>
          </cell>
          <cell r="BF1354">
            <v>0.61604400634765621</v>
          </cell>
          <cell r="BG1354">
            <v>0.34900798797607424</v>
          </cell>
        </row>
        <row r="1355">
          <cell r="D1355" t="str">
            <v>电子设备和仪器</v>
          </cell>
          <cell r="M1355">
            <v>70.688336409600012</v>
          </cell>
          <cell r="N1355">
            <v>42.440814952698616</v>
          </cell>
          <cell r="O1355" t="str">
            <v>信息技术</v>
          </cell>
          <cell r="P1355" t="str">
            <v>技术硬件与设备</v>
          </cell>
          <cell r="Q1355" t="str">
            <v>电子设备、仪器和元件</v>
          </cell>
          <cell r="BC1355">
            <v>8.8491048593350399E-2</v>
          </cell>
          <cell r="BD1355">
            <v>1.1127827115757456E-2</v>
          </cell>
          <cell r="BE1355">
            <v>0.34024034507365286</v>
          </cell>
          <cell r="BF1355">
            <v>0.81258003234863285</v>
          </cell>
          <cell r="BG1355">
            <v>0.35389198303222658</v>
          </cell>
        </row>
        <row r="1356">
          <cell r="D1356" t="str">
            <v>白酒与葡萄酒</v>
          </cell>
          <cell r="M1356">
            <v>72.282060350999998</v>
          </cell>
          <cell r="N1356">
            <v>43.394160010427278</v>
          </cell>
          <cell r="O1356" t="str">
            <v>日常消费</v>
          </cell>
          <cell r="P1356" t="str">
            <v>食品、饮料与烟草</v>
          </cell>
          <cell r="Q1356" t="str">
            <v>饮料</v>
          </cell>
          <cell r="BC1356">
            <v>5.62429696287952E-3</v>
          </cell>
          <cell r="BD1356">
            <v>2.2883295194507929E-2</v>
          </cell>
          <cell r="BE1356">
            <v>-0.24690210123182088</v>
          </cell>
          <cell r="BF1356">
            <v>8.4756002426147461E-2</v>
          </cell>
          <cell r="BG1356">
            <v>2.9280000925064088E-3</v>
          </cell>
        </row>
        <row r="1357">
          <cell r="D1357" t="str">
            <v>电子元件</v>
          </cell>
          <cell r="M1357">
            <v>69.56</v>
          </cell>
          <cell r="N1357">
            <v>41.740058508784166</v>
          </cell>
          <cell r="O1357" t="str">
            <v>信息技术</v>
          </cell>
          <cell r="P1357" t="str">
            <v>技术硬件与设备</v>
          </cell>
          <cell r="Q1357" t="str">
            <v>电子设备、仪器和元件</v>
          </cell>
          <cell r="BC1357">
            <v>5.202312138728315E-3</v>
          </cell>
          <cell r="BD1357">
            <v>-0.14398227910411029</v>
          </cell>
          <cell r="BE1357">
            <v>0.45703043238794239</v>
          </cell>
          <cell r="BF1357">
            <v>0.77087997436523437</v>
          </cell>
          <cell r="BG1357">
            <v>0</v>
          </cell>
        </row>
        <row r="1358">
          <cell r="D1358" t="str">
            <v>贸易公司与工业品经销商</v>
          </cell>
          <cell r="M1358">
            <v>73.188463059200004</v>
          </cell>
          <cell r="N1358">
            <v>43.914895302578685</v>
          </cell>
          <cell r="O1358" t="str">
            <v>工业</v>
          </cell>
          <cell r="P1358" t="str">
            <v>资本货物</v>
          </cell>
          <cell r="Q1358" t="str">
            <v>贸易公司与工业品经销商Ⅲ</v>
          </cell>
          <cell r="BC1358">
            <v>4.0485829959513303E-3</v>
          </cell>
          <cell r="BD1358">
            <v>-3.3138401559454175E-2</v>
          </cell>
          <cell r="BE1358">
            <v>-0.41160820285912864</v>
          </cell>
          <cell r="BF1358">
            <v>0.1448519992828369</v>
          </cell>
          <cell r="BG1358">
            <v>-8.9399999380111693E-3</v>
          </cell>
        </row>
        <row r="1359">
          <cell r="D1359" t="str">
            <v>信息科技咨询与其它服务</v>
          </cell>
          <cell r="M1359">
            <v>64.368000000000009</v>
          </cell>
          <cell r="N1359">
            <v>38.615845590344684</v>
          </cell>
          <cell r="O1359" t="str">
            <v>信息技术</v>
          </cell>
          <cell r="P1359" t="str">
            <v>软件与服务</v>
          </cell>
          <cell r="Q1359" t="str">
            <v>信息技术服务</v>
          </cell>
          <cell r="BC1359">
            <v>1.2744265080713709E-2</v>
          </cell>
          <cell r="BD1359">
            <v>-7.5968992248062042E-2</v>
          </cell>
          <cell r="BE1359">
            <v>-8.3902457860410423E-2</v>
          </cell>
          <cell r="BF1359">
            <v>0.44473201751708985</v>
          </cell>
          <cell r="BG1359">
            <v>0.14719200134277344</v>
          </cell>
        </row>
        <row r="1360">
          <cell r="D1360" t="str">
            <v>家庭用品</v>
          </cell>
          <cell r="M1360">
            <v>74.427122543999999</v>
          </cell>
          <cell r="N1360">
            <v>44.649873659412222</v>
          </cell>
          <cell r="O1360" t="str">
            <v>日常消费</v>
          </cell>
          <cell r="P1360" t="str">
            <v>家庭与个人用品</v>
          </cell>
          <cell r="Q1360" t="str">
            <v>家庭用品Ⅲ</v>
          </cell>
          <cell r="BC1360">
            <v>-4.8559670781892994E-2</v>
          </cell>
          <cell r="BD1360">
            <v>-1.5332197614991458E-2</v>
          </cell>
          <cell r="BE1360">
            <v>0.17899031106578284</v>
          </cell>
          <cell r="BF1360">
            <v>0.6468479919433594</v>
          </cell>
          <cell r="BG1360">
            <v>0.26347200393676756</v>
          </cell>
        </row>
        <row r="1361">
          <cell r="D1361" t="str">
            <v>电气部件与设备</v>
          </cell>
          <cell r="M1361">
            <v>51.153722999999999</v>
          </cell>
          <cell r="N1361">
            <v>30.685801819974817</v>
          </cell>
          <cell r="O1361" t="str">
            <v>工业</v>
          </cell>
          <cell r="P1361" t="str">
            <v>资本货物</v>
          </cell>
          <cell r="Q1361" t="str">
            <v>电气设备</v>
          </cell>
          <cell r="BC1361">
            <v>0.10729366602687132</v>
          </cell>
          <cell r="BD1361">
            <v>-1.2157534246575357E-2</v>
          </cell>
          <cell r="BE1361">
            <v>0.94784749090909071</v>
          </cell>
          <cell r="BF1361">
            <v>0</v>
          </cell>
          <cell r="BG1361">
            <v>0</v>
          </cell>
        </row>
        <row r="1362">
          <cell r="D1362" t="str">
            <v>化肥与农用化工</v>
          </cell>
          <cell r="M1362">
            <v>109.64899168079998</v>
          </cell>
          <cell r="N1362">
            <v>65.77256725533735</v>
          </cell>
          <cell r="O1362" t="str">
            <v>材料</v>
          </cell>
          <cell r="P1362" t="str">
            <v>材料Ⅱ</v>
          </cell>
          <cell r="Q1362" t="str">
            <v>化工</v>
          </cell>
          <cell r="BC1362">
            <v>0.11586596689543807</v>
          </cell>
          <cell r="BD1362">
            <v>0.24392439243924402</v>
          </cell>
          <cell r="BE1362">
            <v>-9.3069448458919471E-2</v>
          </cell>
          <cell r="BF1362">
            <v>0.45973201751708986</v>
          </cell>
          <cell r="BG1362">
            <v>0.20569200515747071</v>
          </cell>
        </row>
        <row r="1363">
          <cell r="D1363" t="str">
            <v>农用农业机械</v>
          </cell>
          <cell r="M1363">
            <v>49.400940687999999</v>
          </cell>
          <cell r="N1363">
            <v>29.632466621576878</v>
          </cell>
          <cell r="O1363" t="str">
            <v>工业</v>
          </cell>
          <cell r="P1363" t="str">
            <v>资本货物</v>
          </cell>
          <cell r="Q1363" t="str">
            <v>机械</v>
          </cell>
          <cell r="BC1363">
            <v>5.3892215568862409E-2</v>
          </cell>
          <cell r="BD1363">
            <v>0.11251580278128957</v>
          </cell>
          <cell r="BE1363">
            <v>-0.13117423371549103</v>
          </cell>
          <cell r="BF1363">
            <v>8.3999997377395622E-3</v>
          </cell>
          <cell r="BG1363">
            <v>5.0567998886108398E-2</v>
          </cell>
        </row>
        <row r="1364">
          <cell r="D1364" t="str">
            <v>百货商店</v>
          </cell>
          <cell r="M1364">
            <v>81.187275450400008</v>
          </cell>
          <cell r="N1364">
            <v>48.697101037210118</v>
          </cell>
          <cell r="O1364" t="str">
            <v>可选消费</v>
          </cell>
          <cell r="P1364" t="str">
            <v>零售业</v>
          </cell>
          <cell r="Q1364" t="str">
            <v>多元化零售</v>
          </cell>
          <cell r="BC1364">
            <v>4.277286135693216E-2</v>
          </cell>
          <cell r="BD1364">
            <v>-2.6170798898071557E-2</v>
          </cell>
          <cell r="BE1364">
            <v>-0.15223847122921916</v>
          </cell>
          <cell r="BF1364">
            <v>0.24978000640869141</v>
          </cell>
          <cell r="BG1364">
            <v>0.32679599761962891</v>
          </cell>
        </row>
        <row r="1365">
          <cell r="D1365" t="str">
            <v>应用软件</v>
          </cell>
          <cell r="M1365">
            <v>165.73552479520001</v>
          </cell>
          <cell r="N1365">
            <v>99.409081351842815</v>
          </cell>
          <cell r="O1365" t="str">
            <v>信息技术</v>
          </cell>
          <cell r="P1365" t="str">
            <v>软件与服务</v>
          </cell>
          <cell r="Q1365" t="str">
            <v>软件</v>
          </cell>
          <cell r="BC1365">
            <v>8.5128205128205139E-2</v>
          </cell>
          <cell r="BD1365">
            <v>-2.4435223605348139E-2</v>
          </cell>
          <cell r="BE1365">
            <v>-0.27625039228558851</v>
          </cell>
          <cell r="BF1365">
            <v>0.18249599456787111</v>
          </cell>
          <cell r="BG1365">
            <v>0.20645999908447266</v>
          </cell>
        </row>
        <row r="1366">
          <cell r="D1366" t="str">
            <v>工业机械</v>
          </cell>
          <cell r="M1366">
            <v>44.646696000000006</v>
          </cell>
          <cell r="N1366">
            <v>26.7687707691287</v>
          </cell>
          <cell r="O1366" t="str">
            <v>工业</v>
          </cell>
          <cell r="P1366" t="str">
            <v>资本货物</v>
          </cell>
          <cell r="Q1366" t="str">
            <v>机械</v>
          </cell>
          <cell r="BC1366">
            <v>0.11711711711711711</v>
          </cell>
          <cell r="BD1366">
            <v>0.12841253791708793</v>
          </cell>
          <cell r="BE1366">
            <v>5.0250967518456709E-2</v>
          </cell>
          <cell r="BF1366">
            <v>0.17552400588989259</v>
          </cell>
          <cell r="BG1366">
            <v>-2.1624000072479249E-2</v>
          </cell>
        </row>
        <row r="1367">
          <cell r="D1367" t="str">
            <v>工业机械</v>
          </cell>
          <cell r="M1367">
            <v>78.883200000000002</v>
          </cell>
          <cell r="N1367">
            <v>47.295588333210645</v>
          </cell>
          <cell r="O1367" t="str">
            <v>工业</v>
          </cell>
          <cell r="P1367" t="str">
            <v>资本货物</v>
          </cell>
          <cell r="Q1367" t="str">
            <v>机械</v>
          </cell>
          <cell r="BC1367">
            <v>-1.0432190760059655E-2</v>
          </cell>
          <cell r="BD1367">
            <v>1.5290519877675787E-2</v>
          </cell>
          <cell r="BE1367">
            <v>-0.16880999344496403</v>
          </cell>
          <cell r="BF1367">
            <v>0.27941999435424802</v>
          </cell>
          <cell r="BG1367">
            <v>-0.12562800407409669</v>
          </cell>
        </row>
        <row r="1368">
          <cell r="D1368" t="str">
            <v>家用器具与特殊消费品</v>
          </cell>
          <cell r="M1368">
            <v>91.455307901500007</v>
          </cell>
          <cell r="N1368">
            <v>54.827387485540605</v>
          </cell>
          <cell r="O1368" t="str">
            <v>可选消费</v>
          </cell>
          <cell r="P1368" t="str">
            <v>耐用消费品与服装</v>
          </cell>
          <cell r="Q1368" t="str">
            <v>家庭耐用消费品</v>
          </cell>
          <cell r="BC1368">
            <v>0</v>
          </cell>
          <cell r="BD1368">
            <v>0</v>
          </cell>
          <cell r="BE1368">
            <v>-2.9389017788089639E-2</v>
          </cell>
          <cell r="BF1368">
            <v>0.60028800964355467</v>
          </cell>
          <cell r="BG1368">
            <v>0.35139598846435549</v>
          </cell>
        </row>
        <row r="1369">
          <cell r="D1369" t="str">
            <v>金属非金属</v>
          </cell>
          <cell r="M1369">
            <v>141.2417423986</v>
          </cell>
          <cell r="N1369">
            <v>84.670882880890204</v>
          </cell>
          <cell r="O1369" t="str">
            <v>材料</v>
          </cell>
          <cell r="P1369" t="str">
            <v>材料Ⅱ</v>
          </cell>
          <cell r="Q1369" t="str">
            <v>金属、非金属与采矿</v>
          </cell>
          <cell r="BC1369">
            <v>2.7047332832456757E-2</v>
          </cell>
          <cell r="BD1369">
            <v>2.9347028613352271E-3</v>
          </cell>
          <cell r="BE1369">
            <v>8.3821501308271623E-2</v>
          </cell>
          <cell r="BF1369">
            <v>0.18009599685668945</v>
          </cell>
          <cell r="BG1369">
            <v>9.1272001266479497E-2</v>
          </cell>
        </row>
        <row r="1370">
          <cell r="D1370" t="str">
            <v>化肥与农用化工</v>
          </cell>
          <cell r="M1370">
            <v>31.115520000000004</v>
          </cell>
          <cell r="N1370">
            <v>18.649393928225699</v>
          </cell>
          <cell r="O1370" t="str">
            <v>材料</v>
          </cell>
          <cell r="P1370" t="str">
            <v>材料Ⅱ</v>
          </cell>
          <cell r="Q1370" t="str">
            <v>化工</v>
          </cell>
          <cell r="BC1370">
            <v>-1.3679890560875222E-3</v>
          </cell>
          <cell r="BD1370">
            <v>-0.10319410319410328</v>
          </cell>
          <cell r="BE1370">
            <v>0.20561519405450043</v>
          </cell>
          <cell r="BF1370">
            <v>0.52771198272705078</v>
          </cell>
          <cell r="BG1370">
            <v>0.1856760025024414</v>
          </cell>
        </row>
        <row r="1371">
          <cell r="D1371" t="str">
            <v>房地产开发</v>
          </cell>
          <cell r="M1371">
            <v>202.8200097651</v>
          </cell>
          <cell r="N1371">
            <v>121.52972467932109</v>
          </cell>
          <cell r="O1371" t="str">
            <v>金融</v>
          </cell>
          <cell r="P1371" t="str">
            <v>房地产</v>
          </cell>
          <cell r="Q1371" t="str">
            <v>房地产管理与开发</v>
          </cell>
          <cell r="BC1371">
            <v>4.8752176436448046E-2</v>
          </cell>
          <cell r="BD1371">
            <v>-1.1487964989059126E-2</v>
          </cell>
          <cell r="BE1371">
            <v>-0.26383502867820785</v>
          </cell>
          <cell r="BF1371">
            <v>0.37694400787353516</v>
          </cell>
          <cell r="BG1371">
            <v>0.2766119956970215</v>
          </cell>
        </row>
        <row r="1372">
          <cell r="D1372" t="str">
            <v>汽车制造</v>
          </cell>
          <cell r="M1372">
            <v>704.60132685179997</v>
          </cell>
          <cell r="N1372">
            <v>422.17752110471542</v>
          </cell>
          <cell r="O1372" t="str">
            <v>可选消费</v>
          </cell>
          <cell r="P1372" t="str">
            <v>汽车与汽车零部件</v>
          </cell>
          <cell r="Q1372" t="str">
            <v>汽车</v>
          </cell>
          <cell r="BC1372">
            <v>6.3070539419087121E-2</v>
          </cell>
          <cell r="BD1372">
            <v>4.2310821806346738E-2</v>
          </cell>
          <cell r="BE1372">
            <v>0.20093762454921166</v>
          </cell>
          <cell r="BF1372">
            <v>0.60957599639892579</v>
          </cell>
          <cell r="BG1372">
            <v>0.19281600952148437</v>
          </cell>
        </row>
        <row r="1373">
          <cell r="D1373" t="str">
            <v>房地产开发</v>
          </cell>
          <cell r="M1373">
            <v>97.647206515400001</v>
          </cell>
          <cell r="N1373">
            <v>58.505304917928385</v>
          </cell>
          <cell r="O1373" t="str">
            <v>金融</v>
          </cell>
          <cell r="P1373" t="str">
            <v>房地产</v>
          </cell>
          <cell r="Q1373" t="str">
            <v>房地产管理与开发</v>
          </cell>
          <cell r="BC1373">
            <v>-0.10445205479452045</v>
          </cell>
          <cell r="BD1373">
            <v>-0.1210084033613445</v>
          </cell>
          <cell r="BE1373">
            <v>-0.32689832689832682</v>
          </cell>
          <cell r="BF1373">
            <v>0.15237600326538087</v>
          </cell>
          <cell r="BG1373">
            <v>0.11904000282287598</v>
          </cell>
        </row>
        <row r="1374">
          <cell r="D1374" t="str">
            <v>房地产开发</v>
          </cell>
          <cell r="M1374">
            <v>39.413065386</v>
          </cell>
          <cell r="N1374">
            <v>23.613203725013889</v>
          </cell>
          <cell r="O1374" t="str">
            <v>金融</v>
          </cell>
          <cell r="P1374" t="str">
            <v>房地产</v>
          </cell>
          <cell r="Q1374" t="str">
            <v>房地产管理与开发</v>
          </cell>
          <cell r="BC1374">
            <v>-9.7402597402598216E-3</v>
          </cell>
          <cell r="BD1374">
            <v>-0.18230563002680969</v>
          </cell>
          <cell r="BE1374">
            <v>-0.25336597307221548</v>
          </cell>
          <cell r="BF1374">
            <v>0.2034119987487793</v>
          </cell>
          <cell r="BG1374">
            <v>5.9303998947143555E-2</v>
          </cell>
        </row>
        <row r="1375">
          <cell r="D1375" t="str">
            <v>电子元件</v>
          </cell>
          <cell r="M1375">
            <v>240.24911148000001</v>
          </cell>
          <cell r="N1375">
            <v>143.93506002494686</v>
          </cell>
          <cell r="O1375" t="str">
            <v>信息技术</v>
          </cell>
          <cell r="P1375" t="str">
            <v>技术硬件与设备</v>
          </cell>
          <cell r="Q1375" t="str">
            <v>电子设备、仪器和元件</v>
          </cell>
          <cell r="BC1375">
            <v>-1.478452343504243E-2</v>
          </cell>
          <cell r="BD1375">
            <v>-0.20285059811656908</v>
          </cell>
          <cell r="BE1375">
            <v>0.4849963882594745</v>
          </cell>
          <cell r="BF1375">
            <v>1.3319999694824218</v>
          </cell>
          <cell r="BG1375">
            <v>0.55078800201416012</v>
          </cell>
        </row>
        <row r="1376">
          <cell r="D1376" t="str">
            <v>综合电信服务</v>
          </cell>
          <cell r="M1376">
            <v>188.97288672049996</v>
          </cell>
          <cell r="N1376">
            <v>113.21492962759018</v>
          </cell>
          <cell r="O1376" t="str">
            <v>电信服务</v>
          </cell>
          <cell r="P1376" t="str">
            <v>电信服务Ⅱ</v>
          </cell>
          <cell r="Q1376" t="str">
            <v>多元电信服务</v>
          </cell>
          <cell r="BC1376">
            <v>0.18690934546727322</v>
          </cell>
          <cell r="BD1376">
            <v>0.15183423913043462</v>
          </cell>
          <cell r="BE1376">
            <v>0.86465956741787331</v>
          </cell>
          <cell r="BF1376">
            <v>0.54604801177978513</v>
          </cell>
          <cell r="BG1376">
            <v>0.40184398651123049</v>
          </cell>
        </row>
        <row r="1377">
          <cell r="D1377" t="str">
            <v>西药</v>
          </cell>
          <cell r="M1377">
            <v>93.484582309800004</v>
          </cell>
          <cell r="N1377">
            <v>55.991424311223838</v>
          </cell>
          <cell r="O1377" t="str">
            <v>医疗保健</v>
          </cell>
          <cell r="P1377" t="str">
            <v>制药、生物科技与生命科学</v>
          </cell>
          <cell r="Q1377" t="str">
            <v>制药</v>
          </cell>
          <cell r="BC1377">
            <v>-0.12543741588156115</v>
          </cell>
          <cell r="BD1377">
            <v>-0.12543741588156115</v>
          </cell>
          <cell r="BE1377">
            <v>0.11788365677908019</v>
          </cell>
          <cell r="BF1377">
            <v>0.56233200073242184</v>
          </cell>
          <cell r="BG1377">
            <v>0.23686800003051758</v>
          </cell>
        </row>
        <row r="1378">
          <cell r="D1378" t="str">
            <v>水务</v>
          </cell>
          <cell r="M1378">
            <v>193.30662637239999</v>
          </cell>
          <cell r="N1378">
            <v>115.77043285935795</v>
          </cell>
          <cell r="O1378" t="str">
            <v>公用事业</v>
          </cell>
          <cell r="P1378" t="str">
            <v>公用事业Ⅱ</v>
          </cell>
          <cell r="Q1378" t="str">
            <v>水务Ⅲ</v>
          </cell>
          <cell r="BC1378">
            <v>-4.9627791563276579E-3</v>
          </cell>
          <cell r="BD1378">
            <v>5.3876478318002526E-2</v>
          </cell>
          <cell r="BE1378">
            <v>-0.44697733332275724</v>
          </cell>
          <cell r="BF1378">
            <v>0.19274400711059569</v>
          </cell>
          <cell r="BG1378">
            <v>0.12745200157165526</v>
          </cell>
        </row>
        <row r="1379">
          <cell r="D1379" t="str">
            <v>基础化工</v>
          </cell>
          <cell r="M1379">
            <v>49.856620278199998</v>
          </cell>
          <cell r="N1379">
            <v>29.854758329842355</v>
          </cell>
          <cell r="O1379" t="str">
            <v>材料</v>
          </cell>
          <cell r="P1379" t="str">
            <v>材料Ⅱ</v>
          </cell>
          <cell r="Q1379" t="str">
            <v>化工</v>
          </cell>
          <cell r="BC1379">
            <v>-1.4159292035398242E-2</v>
          </cell>
          <cell r="BD1379">
            <v>-3.130434782608691E-2</v>
          </cell>
          <cell r="BE1379">
            <v>-0.30548628428927671</v>
          </cell>
          <cell r="BF1379">
            <v>0.32716800689697267</v>
          </cell>
          <cell r="BG1379">
            <v>-3.6659998893737791E-2</v>
          </cell>
        </row>
        <row r="1380">
          <cell r="D1380" t="str">
            <v>金属非金属</v>
          </cell>
          <cell r="M1380">
            <v>67.936490375000005</v>
          </cell>
          <cell r="N1380">
            <v>40.677473478756099</v>
          </cell>
          <cell r="O1380" t="str">
            <v>材料</v>
          </cell>
          <cell r="P1380" t="str">
            <v>材料Ⅱ</v>
          </cell>
          <cell r="Q1380" t="str">
            <v>金属、非金属与采矿</v>
          </cell>
          <cell r="BC1380">
            <v>0</v>
          </cell>
          <cell r="BD1380">
            <v>-0.18883841661258924</v>
          </cell>
          <cell r="BE1380">
            <v>-0.3641912512716175</v>
          </cell>
          <cell r="BF1380">
            <v>0.20425199508666991</v>
          </cell>
          <cell r="BG1380">
            <v>0.19406400680541991</v>
          </cell>
        </row>
        <row r="1381">
          <cell r="D1381" t="str">
            <v>酒店、度假村与豪华游轮</v>
          </cell>
          <cell r="M1381">
            <v>149.038656</v>
          </cell>
          <cell r="N1381">
            <v>89.233561135157672</v>
          </cell>
          <cell r="O1381" t="str">
            <v>可选消费</v>
          </cell>
          <cell r="P1381" t="str">
            <v>消费者服务Ⅱ</v>
          </cell>
          <cell r="Q1381" t="str">
            <v>酒店、餐馆与休闲Ⅲ</v>
          </cell>
          <cell r="BC1381">
            <v>5.5356227575602164E-2</v>
          </cell>
          <cell r="BD1381">
            <v>4.8804294777941154E-3</v>
          </cell>
          <cell r="BE1381">
            <v>-0.10990673984147029</v>
          </cell>
          <cell r="BF1381">
            <v>0.26397600173950198</v>
          </cell>
          <cell r="BG1381">
            <v>0.18190799713134764</v>
          </cell>
        </row>
        <row r="1382">
          <cell r="D1382" t="str">
            <v>西药</v>
          </cell>
          <cell r="M1382">
            <v>68.603076991999998</v>
          </cell>
          <cell r="N1382">
            <v>41.073960964772127</v>
          </cell>
          <cell r="O1382" t="str">
            <v>医疗保健</v>
          </cell>
          <cell r="P1382" t="str">
            <v>制药、生物科技与生命科学</v>
          </cell>
          <cell r="Q1382" t="str">
            <v>制药</v>
          </cell>
          <cell r="BC1382">
            <v>1.1296395911780574E-2</v>
          </cell>
          <cell r="BD1382">
            <v>-6.3745019920318613E-2</v>
          </cell>
          <cell r="BE1382">
            <v>-2.9397882352977592E-2</v>
          </cell>
          <cell r="BF1382">
            <v>7.4832000732421869E-2</v>
          </cell>
          <cell r="BG1382">
            <v>2.3640000820159913E-2</v>
          </cell>
        </row>
        <row r="1383">
          <cell r="D1383" t="str">
            <v>工业机械</v>
          </cell>
          <cell r="M1383">
            <v>55.645488637499994</v>
          </cell>
          <cell r="N1383">
            <v>33.313829739321875</v>
          </cell>
          <cell r="O1383" t="str">
            <v>工业</v>
          </cell>
          <cell r="P1383" t="str">
            <v>资本货物</v>
          </cell>
          <cell r="Q1383" t="str">
            <v>机械</v>
          </cell>
          <cell r="BC1383">
            <v>4.6747967479674767E-2</v>
          </cell>
          <cell r="BD1383">
            <v>-3.0740276035131759E-2</v>
          </cell>
          <cell r="BE1383">
            <v>0.11511786734315861</v>
          </cell>
          <cell r="BF1383">
            <v>0.20300399780273437</v>
          </cell>
          <cell r="BG1383">
            <v>9.1583995819091796E-2</v>
          </cell>
        </row>
        <row r="1384">
          <cell r="D1384" t="str">
            <v>基础化工</v>
          </cell>
          <cell r="M1384">
            <v>106.07571737999999</v>
          </cell>
          <cell r="N1384">
            <v>63.499199307728695</v>
          </cell>
          <cell r="O1384" t="str">
            <v>材料</v>
          </cell>
          <cell r="P1384" t="str">
            <v>材料Ⅱ</v>
          </cell>
          <cell r="Q1384" t="str">
            <v>化工</v>
          </cell>
          <cell r="BC1384">
            <v>7.544041450777203E-2</v>
          </cell>
          <cell r="BD1384">
            <v>0.16397487662628987</v>
          </cell>
          <cell r="BE1384">
            <v>0.7848154433770661</v>
          </cell>
          <cell r="BF1384">
            <v>0.52833599090576167</v>
          </cell>
          <cell r="BG1384">
            <v>0</v>
          </cell>
        </row>
        <row r="1385">
          <cell r="D1385" t="str">
            <v>信息科技咨询与其它服务</v>
          </cell>
          <cell r="M1385">
            <v>66.130129999999994</v>
          </cell>
          <cell r="N1385">
            <v>39.584961896747934</v>
          </cell>
          <cell r="O1385" t="str">
            <v>信息技术</v>
          </cell>
          <cell r="P1385" t="str">
            <v>软件与服务</v>
          </cell>
          <cell r="Q1385" t="str">
            <v>信息技术服务</v>
          </cell>
          <cell r="BC1385">
            <v>0</v>
          </cell>
          <cell r="BD1385">
            <v>-2.4738344433872482E-2</v>
          </cell>
          <cell r="BE1385">
            <v>0</v>
          </cell>
          <cell r="BF1385">
            <v>0</v>
          </cell>
          <cell r="BG1385">
            <v>0</v>
          </cell>
        </row>
        <row r="1386">
          <cell r="D1386" t="str">
            <v>机动车零配件与设备</v>
          </cell>
          <cell r="M1386">
            <v>388.19548301400005</v>
          </cell>
          <cell r="N1386">
            <v>232.35930935244733</v>
          </cell>
          <cell r="O1386" t="str">
            <v>可选消费</v>
          </cell>
          <cell r="P1386" t="str">
            <v>汽车与汽车零部件</v>
          </cell>
          <cell r="Q1386" t="str">
            <v>汽车零配件</v>
          </cell>
          <cell r="BC1386">
            <v>4.8327137546468467E-2</v>
          </cell>
          <cell r="BD1386">
            <v>5.9136605558850165E-4</v>
          </cell>
          <cell r="BE1386">
            <v>0.18491823658458367</v>
          </cell>
          <cell r="BF1386">
            <v>0.49877998352050779</v>
          </cell>
          <cell r="BG1386">
            <v>0.35251201629638673</v>
          </cell>
        </row>
        <row r="1387">
          <cell r="D1387" t="str">
            <v>工业机械</v>
          </cell>
          <cell r="M1387">
            <v>40.195089242599998</v>
          </cell>
          <cell r="N1387">
            <v>24.058192904815126</v>
          </cell>
          <cell r="O1387" t="str">
            <v>工业</v>
          </cell>
          <cell r="P1387" t="str">
            <v>资本货物</v>
          </cell>
          <cell r="Q1387" t="str">
            <v>机械</v>
          </cell>
          <cell r="BC1387">
            <v>2.131979695431481E-2</v>
          </cell>
          <cell r="BD1387">
            <v>-2.3300970873786426E-2</v>
          </cell>
          <cell r="BE1387">
            <v>-0.21592113238504976</v>
          </cell>
          <cell r="BF1387">
            <v>0.20001600265502931</v>
          </cell>
          <cell r="BG1387">
            <v>3.3852000236511227E-2</v>
          </cell>
        </row>
        <row r="1388">
          <cell r="D1388" t="str">
            <v>建筑产品</v>
          </cell>
          <cell r="M1388">
            <v>54.758662220000005</v>
          </cell>
          <cell r="N1388">
            <v>32.774548409409881</v>
          </cell>
          <cell r="O1388" t="str">
            <v>工业</v>
          </cell>
          <cell r="P1388" t="str">
            <v>资本货物</v>
          </cell>
          <cell r="Q1388" t="str">
            <v>建筑产品Ⅲ</v>
          </cell>
          <cell r="BC1388">
            <v>3.8113387327298749E-2</v>
          </cell>
          <cell r="BD1388">
            <v>2.060889929742378E-2</v>
          </cell>
          <cell r="BE1388">
            <v>0.51692375757274667</v>
          </cell>
          <cell r="BF1388">
            <v>0.41661598205566408</v>
          </cell>
          <cell r="BG1388">
            <v>0.16150800704956056</v>
          </cell>
        </row>
        <row r="1389">
          <cell r="D1389" t="str">
            <v>基础化工</v>
          </cell>
          <cell r="M1389">
            <v>33.817446000000004</v>
          </cell>
          <cell r="N1389">
            <v>20.236462908166668</v>
          </cell>
          <cell r="O1389" t="str">
            <v>材料</v>
          </cell>
          <cell r="P1389" t="str">
            <v>材料Ⅱ</v>
          </cell>
          <cell r="Q1389" t="str">
            <v>化工</v>
          </cell>
          <cell r="BC1389">
            <v>1.2676056338028275E-2</v>
          </cell>
          <cell r="BD1389">
            <v>6.0471976401179961E-2</v>
          </cell>
          <cell r="BE1389">
            <v>-0.12356647694752933</v>
          </cell>
          <cell r="BF1389">
            <v>0.26902799606323241</v>
          </cell>
          <cell r="BG1389">
            <v>0</v>
          </cell>
        </row>
        <row r="1390">
          <cell r="D1390" t="str">
            <v>特种化工</v>
          </cell>
          <cell r="M1390">
            <v>90.492069597599993</v>
          </cell>
          <cell r="N1390">
            <v>54.128106615065548</v>
          </cell>
          <cell r="O1390" t="str">
            <v>材料</v>
          </cell>
          <cell r="P1390" t="str">
            <v>材料Ⅱ</v>
          </cell>
          <cell r="Q1390" t="str">
            <v>化工</v>
          </cell>
          <cell r="BC1390">
            <v>9.7013505801787706E-3</v>
          </cell>
          <cell r="BD1390">
            <v>-1.2832434442998043E-2</v>
          </cell>
          <cell r="BE1390">
            <v>0.1115857110877374</v>
          </cell>
          <cell r="BF1390">
            <v>1.141488037109375</v>
          </cell>
          <cell r="BG1390">
            <v>0.46857601165771484</v>
          </cell>
        </row>
        <row r="1391">
          <cell r="D1391" t="str">
            <v>应用软件</v>
          </cell>
          <cell r="M1391">
            <v>302.75107574399999</v>
          </cell>
          <cell r="N1391">
            <v>181.06906833574016</v>
          </cell>
          <cell r="O1391" t="str">
            <v>信息技术</v>
          </cell>
          <cell r="P1391" t="str">
            <v>软件与服务</v>
          </cell>
          <cell r="Q1391" t="str">
            <v>软件</v>
          </cell>
          <cell r="BC1391">
            <v>-1.0531354715174669E-2</v>
          </cell>
          <cell r="BD1391">
            <v>1.026392961876837E-2</v>
          </cell>
          <cell r="BE1391">
            <v>-0.46850846667780105</v>
          </cell>
          <cell r="BF1391">
            <v>0.31718399047851564</v>
          </cell>
          <cell r="BG1391">
            <v>0.24698400497436523</v>
          </cell>
        </row>
        <row r="1392">
          <cell r="D1392" t="str">
            <v>石油天然气设备与服务</v>
          </cell>
          <cell r="M1392">
            <v>707.13304975000005</v>
          </cell>
          <cell r="N1392">
            <v>422.83119380876695</v>
          </cell>
          <cell r="O1392" t="str">
            <v>能源</v>
          </cell>
          <cell r="P1392" t="str">
            <v>能源Ⅱ</v>
          </cell>
          <cell r="Q1392" t="str">
            <v>能源设备与服务</v>
          </cell>
          <cell r="BC1392">
            <v>-1.3806706114398477E-2</v>
          </cell>
          <cell r="BD1392">
            <v>-0.27849927849927847</v>
          </cell>
          <cell r="BE1392">
            <v>-0.42726231386025204</v>
          </cell>
          <cell r="BF1392">
            <v>0.59187599182128903</v>
          </cell>
          <cell r="BG1392">
            <v>0.17167200088500978</v>
          </cell>
        </row>
        <row r="1393">
          <cell r="D1393" t="str">
            <v>应用软件</v>
          </cell>
          <cell r="M1393">
            <v>190.18434057209998</v>
          </cell>
          <cell r="N1393">
            <v>113.68146400866711</v>
          </cell>
          <cell r="O1393" t="str">
            <v>信息技术</v>
          </cell>
          <cell r="P1393" t="str">
            <v>软件与服务</v>
          </cell>
          <cell r="Q1393" t="str">
            <v>软件</v>
          </cell>
          <cell r="BC1393">
            <v>5.1325199831720604E-2</v>
          </cell>
          <cell r="BD1393">
            <v>6.0396039603960339E-2</v>
          </cell>
          <cell r="BE1393">
            <v>-0.39708078017825199</v>
          </cell>
          <cell r="BF1393">
            <v>1.0793759918212891</v>
          </cell>
          <cell r="BG1393">
            <v>0</v>
          </cell>
        </row>
        <row r="1394">
          <cell r="D1394" t="str">
            <v>黄金</v>
          </cell>
          <cell r="M1394">
            <v>119.6020884396</v>
          </cell>
          <cell r="N1394">
            <v>71.473264368943603</v>
          </cell>
          <cell r="O1394" t="str">
            <v>材料</v>
          </cell>
          <cell r="P1394" t="str">
            <v>材料Ⅱ</v>
          </cell>
          <cell r="Q1394" t="str">
            <v>金属、非金属与采矿</v>
          </cell>
          <cell r="BC1394">
            <v>-9.644396551724134E-2</v>
          </cell>
          <cell r="BD1394">
            <v>0.18348623853211007</v>
          </cell>
          <cell r="BE1394">
            <v>0.25617977528089886</v>
          </cell>
          <cell r="BF1394">
            <v>0.50162399291992188</v>
          </cell>
          <cell r="BG1394">
            <v>0.30058799743652342</v>
          </cell>
        </row>
        <row r="1395">
          <cell r="D1395" t="str">
            <v>电气部件与设备</v>
          </cell>
          <cell r="M1395">
            <v>87.878976899999998</v>
          </cell>
          <cell r="N1395">
            <v>52.514149222739626</v>
          </cell>
          <cell r="O1395" t="str">
            <v>工业</v>
          </cell>
          <cell r="P1395" t="str">
            <v>资本货物</v>
          </cell>
          <cell r="Q1395" t="str">
            <v>电气设备</v>
          </cell>
          <cell r="BC1395">
            <v>0.10304054054054043</v>
          </cell>
          <cell r="BD1395">
            <v>9.7938144329897565E-3</v>
          </cell>
          <cell r="BE1395">
            <v>0.13733923958955072</v>
          </cell>
          <cell r="BF1395">
            <v>0.63897598266601563</v>
          </cell>
          <cell r="BG1395">
            <v>0.24738000869750976</v>
          </cell>
        </row>
        <row r="1396">
          <cell r="D1396" t="str">
            <v>酒店、度假村与豪华游轮</v>
          </cell>
          <cell r="M1396">
            <v>30.7285331856</v>
          </cell>
          <cell r="N1396">
            <v>18.361408970011112</v>
          </cell>
          <cell r="O1396" t="str">
            <v>可选消费</v>
          </cell>
          <cell r="P1396" t="str">
            <v>消费者服务Ⅱ</v>
          </cell>
          <cell r="Q1396" t="str">
            <v>酒店、餐馆与休闲Ⅲ</v>
          </cell>
          <cell r="BC1396">
            <v>-1.0272443054935257E-2</v>
          </cell>
          <cell r="BD1396">
            <v>-2.7643703378674816E-2</v>
          </cell>
          <cell r="BE1396">
            <v>-1.0272443054935257E-2</v>
          </cell>
          <cell r="BF1396">
            <v>0.11399999618530274</v>
          </cell>
          <cell r="BG1396">
            <v>7.9163999557495118E-2</v>
          </cell>
        </row>
        <row r="1397">
          <cell r="D1397" t="str">
            <v>医疗保健设备</v>
          </cell>
          <cell r="M1397">
            <v>47.536639999999998</v>
          </cell>
          <cell r="N1397">
            <v>28.396843765622755</v>
          </cell>
          <cell r="O1397" t="str">
            <v>医疗保健</v>
          </cell>
          <cell r="P1397" t="str">
            <v>医疗保健设备与服务</v>
          </cell>
          <cell r="Q1397" t="str">
            <v>医疗保健设备与用品</v>
          </cell>
          <cell r="BC1397">
            <v>7.9279279279279261E-2</v>
          </cell>
          <cell r="BD1397">
            <v>3.4542314335060449E-2</v>
          </cell>
          <cell r="BE1397">
            <v>0</v>
          </cell>
          <cell r="BF1397">
            <v>0</v>
          </cell>
          <cell r="BG1397">
            <v>0</v>
          </cell>
        </row>
        <row r="1398">
          <cell r="D1398" t="str">
            <v>应用软件</v>
          </cell>
          <cell r="M1398">
            <v>54.841174752000001</v>
          </cell>
          <cell r="N1398">
            <v>32.756067351504171</v>
          </cell>
          <cell r="O1398" t="str">
            <v>信息技术</v>
          </cell>
          <cell r="P1398" t="str">
            <v>软件与服务</v>
          </cell>
          <cell r="Q1398" t="str">
            <v>软件</v>
          </cell>
          <cell r="BC1398">
            <v>-1.6880486158001348E-2</v>
          </cell>
          <cell r="BD1398">
            <v>-1.6216216216216231E-2</v>
          </cell>
          <cell r="BE1398">
            <v>-0.29765358358112465</v>
          </cell>
          <cell r="BF1398">
            <v>0.11149200439453125</v>
          </cell>
          <cell r="BG1398">
            <v>7.4400001764297488E-3</v>
          </cell>
        </row>
        <row r="1399">
          <cell r="D1399" t="str">
            <v>建筑机械与重型卡车</v>
          </cell>
          <cell r="M1399">
            <v>43.398678505599996</v>
          </cell>
          <cell r="N1399">
            <v>25.919558373477937</v>
          </cell>
          <cell r="O1399" t="str">
            <v>工业</v>
          </cell>
          <cell r="P1399" t="str">
            <v>资本货物</v>
          </cell>
          <cell r="Q1399" t="str">
            <v>机械</v>
          </cell>
          <cell r="BC1399">
            <v>2.1164021164021184E-2</v>
          </cell>
          <cell r="BD1399">
            <v>3.2085561497326109E-2</v>
          </cell>
          <cell r="BE1399">
            <v>0.14965851134471567</v>
          </cell>
          <cell r="BF1399">
            <v>0.41061599731445314</v>
          </cell>
          <cell r="BG1399">
            <v>0.11173199653625489</v>
          </cell>
        </row>
        <row r="1400">
          <cell r="D1400" t="str">
            <v>机动车零配件与设备</v>
          </cell>
          <cell r="M1400">
            <v>100.758</v>
          </cell>
          <cell r="N1400">
            <v>60.160365880141427</v>
          </cell>
          <cell r="O1400" t="str">
            <v>可选消费</v>
          </cell>
          <cell r="P1400" t="str">
            <v>汽车与汽车零部件</v>
          </cell>
          <cell r="Q1400" t="str">
            <v>汽车零配件</v>
          </cell>
          <cell r="BC1400">
            <v>0.25799685369690606</v>
          </cell>
          <cell r="BD1400">
            <v>0.16569484936831877</v>
          </cell>
          <cell r="BE1400">
            <v>0.40731617757009336</v>
          </cell>
          <cell r="BF1400">
            <v>0</v>
          </cell>
          <cell r="BG1400">
            <v>0</v>
          </cell>
        </row>
        <row r="1401">
          <cell r="D1401" t="str">
            <v>信息科技咨询与其它服务</v>
          </cell>
          <cell r="M1401">
            <v>48.592843299999998</v>
          </cell>
          <cell r="N1401">
            <v>29.006667153999995</v>
          </cell>
          <cell r="O1401" t="str">
            <v>信息技术</v>
          </cell>
          <cell r="P1401" t="str">
            <v>软件与服务</v>
          </cell>
          <cell r="Q1401" t="str">
            <v>信息技术服务</v>
          </cell>
          <cell r="BC1401">
            <v>4.5214045214045276E-2</v>
          </cell>
          <cell r="BD1401">
            <v>3.1813865147198563E-2</v>
          </cell>
          <cell r="BE1401">
            <v>8.6106829759149794E-2</v>
          </cell>
          <cell r="BF1401">
            <v>0.40899600982666018</v>
          </cell>
          <cell r="BG1401">
            <v>0.30920400619506838</v>
          </cell>
        </row>
        <row r="1402">
          <cell r="D1402" t="str">
            <v>电气部件与设备</v>
          </cell>
          <cell r="M1402">
            <v>112.8154401984</v>
          </cell>
          <cell r="N1402">
            <v>67.338150967522751</v>
          </cell>
          <cell r="O1402" t="str">
            <v>工业</v>
          </cell>
          <cell r="P1402" t="str">
            <v>资本货物</v>
          </cell>
          <cell r="Q1402" t="str">
            <v>电气设备</v>
          </cell>
          <cell r="BC1402">
            <v>2.3826714801444049E-2</v>
          </cell>
          <cell r="BD1402">
            <v>-2.0718232044198943E-2</v>
          </cell>
          <cell r="BE1402">
            <v>-0.3892047362775366</v>
          </cell>
          <cell r="BF1402">
            <v>0.2231399917602539</v>
          </cell>
          <cell r="BG1402">
            <v>0.28748399734497071</v>
          </cell>
        </row>
        <row r="1403">
          <cell r="D1403" t="str">
            <v>服装、服饰与奢侈品</v>
          </cell>
          <cell r="M1403">
            <v>37.747125000000004</v>
          </cell>
          <cell r="N1403">
            <v>22.529450764371667</v>
          </cell>
          <cell r="O1403" t="str">
            <v>可选消费</v>
          </cell>
          <cell r="P1403" t="str">
            <v>耐用消费品与服装</v>
          </cell>
          <cell r="Q1403" t="str">
            <v>纺织品、服装与奢侈品</v>
          </cell>
          <cell r="BC1403">
            <v>2.2566995768688314E-2</v>
          </cell>
          <cell r="BD1403">
            <v>-3.3333333333333333E-2</v>
          </cell>
          <cell r="BE1403">
            <v>-0.27096586820788765</v>
          </cell>
          <cell r="BF1403">
            <v>0.5252640151977539</v>
          </cell>
          <cell r="BG1403">
            <v>0.19714799880981446</v>
          </cell>
        </row>
        <row r="1404">
          <cell r="D1404" t="str">
            <v>新能源发电业者</v>
          </cell>
          <cell r="M1404">
            <v>72.872850274000015</v>
          </cell>
          <cell r="N1404">
            <v>43.464203877998898</v>
          </cell>
          <cell r="O1404" t="str">
            <v>公用事业</v>
          </cell>
          <cell r="P1404" t="str">
            <v>公用事业Ⅱ</v>
          </cell>
          <cell r="Q1404" t="str">
            <v>独立电力生产商与能源贸易商Ⅲ</v>
          </cell>
          <cell r="BC1404">
            <v>2.6814911706998047E-2</v>
          </cell>
          <cell r="BD1404">
            <v>4.5969353764157193E-2</v>
          </cell>
          <cell r="BE1404">
            <v>9.0277777777777707E-2</v>
          </cell>
          <cell r="BF1404">
            <v>0.48382801055908203</v>
          </cell>
          <cell r="BG1404">
            <v>0.43007999420166015</v>
          </cell>
        </row>
        <row r="1405">
          <cell r="D1405" t="str">
            <v>家庭用品</v>
          </cell>
          <cell r="M1405">
            <v>59.720544000000004</v>
          </cell>
          <cell r="N1405">
            <v>35.613040027583843</v>
          </cell>
          <cell r="O1405" t="str">
            <v>日常消费</v>
          </cell>
          <cell r="P1405" t="str">
            <v>家庭与个人用品</v>
          </cell>
          <cell r="Q1405" t="str">
            <v>家庭用品Ⅲ</v>
          </cell>
          <cell r="BC1405">
            <v>9.5535714285714321E-2</v>
          </cell>
          <cell r="BD1405">
            <v>0.10740072202166061</v>
          </cell>
          <cell r="BE1405">
            <v>0.15668095998601475</v>
          </cell>
          <cell r="BF1405">
            <v>0.45284400939941405</v>
          </cell>
          <cell r="BG1405">
            <v>0.11792400360107422</v>
          </cell>
        </row>
        <row r="1406">
          <cell r="D1406" t="str">
            <v>金属非金属</v>
          </cell>
          <cell r="M1406">
            <v>245.54459484000003</v>
          </cell>
          <cell r="N1406">
            <v>146.40943206807501</v>
          </cell>
          <cell r="O1406" t="str">
            <v>材料</v>
          </cell>
          <cell r="P1406" t="str">
            <v>材料Ⅱ</v>
          </cell>
          <cell r="Q1406" t="str">
            <v>金属、非金属与采矿</v>
          </cell>
          <cell r="BC1406">
            <v>-2.8097062579821169E-2</v>
          </cell>
          <cell r="BD1406">
            <v>4.3895747599451342E-2</v>
          </cell>
          <cell r="BE1406">
            <v>-0.3087453438355624</v>
          </cell>
          <cell r="BF1406">
            <v>0.13649999618530273</v>
          </cell>
          <cell r="BG1406">
            <v>-0.1943400001525879</v>
          </cell>
        </row>
        <row r="1407">
          <cell r="D1407" t="str">
            <v>金属非金属</v>
          </cell>
          <cell r="M1407">
            <v>122.32639999999999</v>
          </cell>
          <cell r="N1407">
            <v>72.929828650736113</v>
          </cell>
          <cell r="O1407" t="str">
            <v>材料</v>
          </cell>
          <cell r="P1407" t="str">
            <v>材料Ⅱ</v>
          </cell>
          <cell r="Q1407" t="str">
            <v>金属、非金属与采矿</v>
          </cell>
          <cell r="BC1407">
            <v>-1.6339869281045839E-2</v>
          </cell>
          <cell r="BD1407">
            <v>-3.3112582781457717E-3</v>
          </cell>
          <cell r="BE1407">
            <v>-0.21919584954604415</v>
          </cell>
          <cell r="BF1407">
            <v>0.25460399627685548</v>
          </cell>
          <cell r="BG1407">
            <v>-0.12911999702453614</v>
          </cell>
        </row>
        <row r="1408">
          <cell r="D1408" t="str">
            <v>工业机械</v>
          </cell>
          <cell r="M1408">
            <v>53.480640000000001</v>
          </cell>
          <cell r="N1408">
            <v>31.882555696024692</v>
          </cell>
          <cell r="O1408" t="str">
            <v>工业</v>
          </cell>
          <cell r="P1408" t="str">
            <v>资本货物</v>
          </cell>
          <cell r="Q1408" t="str">
            <v>机械</v>
          </cell>
          <cell r="BC1408">
            <v>7.7251808021038829E-2</v>
          </cell>
          <cell r="BD1408">
            <v>-2.9755736491487654E-2</v>
          </cell>
          <cell r="BE1408">
            <v>2.0946004186704381</v>
          </cell>
          <cell r="BF1408">
            <v>0</v>
          </cell>
          <cell r="BG1408">
            <v>0</v>
          </cell>
        </row>
        <row r="1409">
          <cell r="D1409" t="str">
            <v>基础化工</v>
          </cell>
          <cell r="M1409">
            <v>38.071835999999998</v>
          </cell>
          <cell r="N1409">
            <v>22.696520320792988</v>
          </cell>
          <cell r="O1409" t="str">
            <v>材料</v>
          </cell>
          <cell r="P1409" t="str">
            <v>材料Ⅱ</v>
          </cell>
          <cell r="Q1409" t="str">
            <v>化工</v>
          </cell>
          <cell r="BC1409">
            <v>1.6455696202531518E-2</v>
          </cell>
          <cell r="BD1409">
            <v>-2.0731707317073165E-2</v>
          </cell>
          <cell r="BE1409">
            <v>0.20668742826547973</v>
          </cell>
          <cell r="BF1409">
            <v>0.63108001708984374</v>
          </cell>
          <cell r="BG1409">
            <v>0.20395200729370117</v>
          </cell>
        </row>
        <row r="1410">
          <cell r="D1410" t="str">
            <v>航天航空与国防</v>
          </cell>
          <cell r="M1410">
            <v>43.870311209999997</v>
          </cell>
          <cell r="N1410">
            <v>26.153274634794446</v>
          </cell>
          <cell r="O1410" t="str">
            <v>工业</v>
          </cell>
          <cell r="P1410" t="str">
            <v>资本货物</v>
          </cell>
          <cell r="Q1410" t="str">
            <v>航空航天与国防Ⅲ</v>
          </cell>
          <cell r="BC1410">
            <v>5.1625239005736054E-2</v>
          </cell>
          <cell r="BD1410">
            <v>1.8518518518518452E-2</v>
          </cell>
          <cell r="BE1410">
            <v>-0.36998854524627722</v>
          </cell>
          <cell r="BF1410">
            <v>0.11493599891662598</v>
          </cell>
          <cell r="BG1410">
            <v>2.9124000072479249E-2</v>
          </cell>
        </row>
        <row r="1411">
          <cell r="D1411" t="str">
            <v>机动车零配件与设备</v>
          </cell>
          <cell r="M1411">
            <v>94.519273975199994</v>
          </cell>
          <cell r="N1411">
            <v>56.346894035628019</v>
          </cell>
          <cell r="O1411" t="str">
            <v>可选消费</v>
          </cell>
          <cell r="P1411" t="str">
            <v>汽车与汽车零部件</v>
          </cell>
          <cell r="Q1411" t="str">
            <v>汽车零配件</v>
          </cell>
          <cell r="BC1411">
            <v>5.424954792043391E-3</v>
          </cell>
          <cell r="BD1411">
            <v>-5.6631892697465791E-3</v>
          </cell>
          <cell r="BE1411">
            <v>0.2591726052359738</v>
          </cell>
          <cell r="BF1411">
            <v>0.83252403259277341</v>
          </cell>
          <cell r="BG1411">
            <v>0</v>
          </cell>
        </row>
        <row r="1412">
          <cell r="D1412" t="str">
            <v>环境与设施服务</v>
          </cell>
          <cell r="M1412">
            <v>80.196613794499996</v>
          </cell>
          <cell r="N1412">
            <v>47.775629892334457</v>
          </cell>
          <cell r="O1412" t="str">
            <v>工业</v>
          </cell>
          <cell r="P1412" t="str">
            <v>商业和专业服务</v>
          </cell>
          <cell r="Q1412" t="str">
            <v>商业服务与用品</v>
          </cell>
          <cell r="BC1412">
            <v>0.10683760683760685</v>
          </cell>
          <cell r="BD1412">
            <v>-3.645833333333335E-2</v>
          </cell>
          <cell r="BE1412">
            <v>-0.20307692307692313</v>
          </cell>
          <cell r="BF1412">
            <v>0.10895999908447265</v>
          </cell>
          <cell r="BG1412">
            <v>0.13364399909973146</v>
          </cell>
        </row>
        <row r="1413">
          <cell r="D1413" t="str">
            <v>工业机械</v>
          </cell>
          <cell r="M1413">
            <v>67.695725999999993</v>
          </cell>
          <cell r="N1413">
            <v>40.322027406787406</v>
          </cell>
          <cell r="O1413" t="str">
            <v>工业</v>
          </cell>
          <cell r="P1413" t="str">
            <v>资本货物</v>
          </cell>
          <cell r="Q1413" t="str">
            <v>机械</v>
          </cell>
          <cell r="BC1413">
            <v>-3.5005834305718944E-3</v>
          </cell>
          <cell r="BD1413">
            <v>-5.5309734513274339E-2</v>
          </cell>
          <cell r="BE1413">
            <v>-0.56078551727964965</v>
          </cell>
          <cell r="BF1413">
            <v>0.16017599105834962</v>
          </cell>
          <cell r="BG1413">
            <v>-9.6948003768920904E-2</v>
          </cell>
        </row>
        <row r="1414">
          <cell r="D1414" t="str">
            <v>金属非金属</v>
          </cell>
          <cell r="M1414">
            <v>90.852455444399993</v>
          </cell>
          <cell r="N1414">
            <v>54.111878696320545</v>
          </cell>
          <cell r="O1414" t="str">
            <v>材料</v>
          </cell>
          <cell r="P1414" t="str">
            <v>材料Ⅱ</v>
          </cell>
          <cell r="Q1414" t="str">
            <v>金属、非金属与采矿</v>
          </cell>
          <cell r="BC1414">
            <v>4.1543026706231452E-2</v>
          </cell>
          <cell r="BD1414">
            <v>4.5680238331678162E-2</v>
          </cell>
          <cell r="BE1414">
            <v>0.12140575079872191</v>
          </cell>
          <cell r="BF1414">
            <v>0.15881999969482422</v>
          </cell>
          <cell r="BG1414">
            <v>-7.9559998512268068E-2</v>
          </cell>
        </row>
        <row r="1415">
          <cell r="D1415" t="str">
            <v>航空货运与物流</v>
          </cell>
          <cell r="M1415">
            <v>82.613267800000003</v>
          </cell>
          <cell r="N1415">
            <v>49.203537781764744</v>
          </cell>
          <cell r="O1415" t="str">
            <v>工业</v>
          </cell>
          <cell r="P1415" t="str">
            <v>运输</v>
          </cell>
          <cell r="Q1415" t="str">
            <v>航空货运与物流Ⅲ</v>
          </cell>
          <cell r="BC1415">
            <v>0.16004540295119182</v>
          </cell>
          <cell r="BD1415">
            <v>4.6059365404298988E-2</v>
          </cell>
          <cell r="BE1415">
            <v>-6.7885792802243286E-2</v>
          </cell>
          <cell r="BF1415">
            <v>0.42682800292968748</v>
          </cell>
          <cell r="BG1415">
            <v>0</v>
          </cell>
        </row>
        <row r="1416">
          <cell r="D1416" t="str">
            <v>石油天然气设备与服务</v>
          </cell>
          <cell r="M1416">
            <v>71.962971320000008</v>
          </cell>
          <cell r="N1416">
            <v>42.850076017306492</v>
          </cell>
          <cell r="O1416" t="str">
            <v>能源</v>
          </cell>
          <cell r="P1416" t="str">
            <v>能源Ⅱ</v>
          </cell>
          <cell r="Q1416" t="str">
            <v>能源设备与服务</v>
          </cell>
          <cell r="BC1416">
            <v>3.8510911424904041E-3</v>
          </cell>
          <cell r="BD1416">
            <v>-4.4593769089798438E-2</v>
          </cell>
          <cell r="BE1416">
            <v>-0.43862167982770994</v>
          </cell>
          <cell r="BF1416">
            <v>3.1152000427246095E-2</v>
          </cell>
          <cell r="BG1416">
            <v>0.1111680030822754</v>
          </cell>
        </row>
        <row r="1417">
          <cell r="D1417" t="str">
            <v>食品加工与肉类</v>
          </cell>
          <cell r="M1417">
            <v>50.789758709999994</v>
          </cell>
          <cell r="N1417">
            <v>30.237013232656732</v>
          </cell>
          <cell r="O1417" t="str">
            <v>日常消费</v>
          </cell>
          <cell r="P1417" t="str">
            <v>食品、饮料与烟草</v>
          </cell>
          <cell r="Q1417" t="str">
            <v>食品</v>
          </cell>
          <cell r="BC1417">
            <v>3.5714285714285587E-2</v>
          </cell>
          <cell r="BD1417">
            <v>-7.6433121019108347E-2</v>
          </cell>
          <cell r="BE1417">
            <v>-0.27800829875518684</v>
          </cell>
          <cell r="BF1417">
            <v>0.24560400009155273</v>
          </cell>
          <cell r="BG1417">
            <v>0.12498000144958496</v>
          </cell>
        </row>
        <row r="1418">
          <cell r="D1418" t="str">
            <v>纺织品</v>
          </cell>
          <cell r="M1418">
            <v>24.992000000000001</v>
          </cell>
          <cell r="N1418">
            <v>14.877888568090279</v>
          </cell>
          <cell r="O1418" t="str">
            <v>可选消费</v>
          </cell>
          <cell r="P1418" t="str">
            <v>耐用消费品与服装</v>
          </cell>
          <cell r="Q1418" t="str">
            <v>纺织品、服装与奢侈品</v>
          </cell>
          <cell r="BC1418">
            <v>3.856382978723405E-2</v>
          </cell>
          <cell r="BD1418">
            <v>5.9701492537313362E-2</v>
          </cell>
          <cell r="BE1418">
            <v>0.12196538882286685</v>
          </cell>
          <cell r="BF1418">
            <v>0.46582801818847658</v>
          </cell>
          <cell r="BG1418">
            <v>0.10154399871826172</v>
          </cell>
        </row>
        <row r="1419">
          <cell r="D1419" t="str">
            <v>药品零售</v>
          </cell>
          <cell r="M1419">
            <v>93.335999999999999</v>
          </cell>
          <cell r="N1419">
            <v>55.555699517369995</v>
          </cell>
          <cell r="O1419" t="str">
            <v>日常消费</v>
          </cell>
          <cell r="P1419" t="str">
            <v>食品与主要用品零售Ⅱ</v>
          </cell>
          <cell r="Q1419" t="str">
            <v>食品与主要用品零售Ⅲ</v>
          </cell>
          <cell r="BC1419">
            <v>6.1118690313779048E-2</v>
          </cell>
          <cell r="BD1419">
            <v>4.0674337704040761E-2</v>
          </cell>
          <cell r="BE1419">
            <v>-3.7992536309830842E-2</v>
          </cell>
          <cell r="BF1419">
            <v>0.4247999954223633</v>
          </cell>
          <cell r="BG1419">
            <v>0.2820359992980957</v>
          </cell>
        </row>
        <row r="1420">
          <cell r="D1420" t="str">
            <v>服装、服饰与奢侈品</v>
          </cell>
          <cell r="M1420">
            <v>167.86759999999998</v>
          </cell>
          <cell r="N1420">
            <v>99.900809139773955</v>
          </cell>
          <cell r="O1420" t="str">
            <v>可选消费</v>
          </cell>
          <cell r="P1420" t="str">
            <v>耐用消费品与服装</v>
          </cell>
          <cell r="Q1420" t="str">
            <v>纺织品、服装与奢侈品</v>
          </cell>
          <cell r="BC1420">
            <v>5.1470588235294325E-3</v>
          </cell>
          <cell r="BD1420">
            <v>-4.6722454672245464E-2</v>
          </cell>
          <cell r="BE1420">
            <v>-0.1851622714182003</v>
          </cell>
          <cell r="BF1420">
            <v>0.55958400726318358</v>
          </cell>
          <cell r="BG1420">
            <v>0</v>
          </cell>
        </row>
        <row r="1421">
          <cell r="D1421" t="str">
            <v>电力</v>
          </cell>
          <cell r="M1421">
            <v>110.60781741539998</v>
          </cell>
          <cell r="N1421">
            <v>65.823297003942827</v>
          </cell>
          <cell r="O1421" t="str">
            <v>公用事业</v>
          </cell>
          <cell r="P1421" t="str">
            <v>公用事业Ⅱ</v>
          </cell>
          <cell r="Q1421" t="str">
            <v>电力Ⅲ</v>
          </cell>
          <cell r="BC1421">
            <v>3.2310177705976691E-3</v>
          </cell>
          <cell r="BD1421">
            <v>-7.8635014836795289E-2</v>
          </cell>
          <cell r="BE1421">
            <v>4.0201005025125663E-2</v>
          </cell>
          <cell r="BF1421">
            <v>0.5389559936523437</v>
          </cell>
          <cell r="BG1421">
            <v>0.16773599624633789</v>
          </cell>
        </row>
        <row r="1422">
          <cell r="D1422" t="str">
            <v>服装、服饰与奢侈品</v>
          </cell>
          <cell r="M1422">
            <v>61.882589472000006</v>
          </cell>
          <cell r="N1422">
            <v>36.825488223471005</v>
          </cell>
          <cell r="O1422" t="str">
            <v>可选消费</v>
          </cell>
          <cell r="P1422" t="str">
            <v>耐用消费品与服装</v>
          </cell>
          <cell r="Q1422" t="str">
            <v>纺织品、服装与奢侈品</v>
          </cell>
          <cell r="BC1422">
            <v>1.8975332068312477E-3</v>
          </cell>
          <cell r="BD1422">
            <v>-4.5207956600361664E-2</v>
          </cell>
          <cell r="BE1422">
            <v>-0.30740373438164986</v>
          </cell>
          <cell r="BF1422">
            <v>0.44194801330566408</v>
          </cell>
          <cell r="BG1422">
            <v>6.7439999580383297E-2</v>
          </cell>
        </row>
        <row r="1423">
          <cell r="D1423" t="str">
            <v>金属非金属</v>
          </cell>
          <cell r="M1423">
            <v>45.822387000000006</v>
          </cell>
          <cell r="N1423">
            <v>27.267161959567904</v>
          </cell>
          <cell r="O1423" t="str">
            <v>材料</v>
          </cell>
          <cell r="P1423" t="str">
            <v>材料Ⅱ</v>
          </cell>
          <cell r="Q1423" t="str">
            <v>金属、非金属与采矿</v>
          </cell>
          <cell r="BC1423">
            <v>5.0400000000000063E-2</v>
          </cell>
          <cell r="BD1423">
            <v>-2.3791821561338182E-2</v>
          </cell>
          <cell r="BE1423">
            <v>-0.26689000558347287</v>
          </cell>
          <cell r="BF1423">
            <v>0.85655998229980468</v>
          </cell>
          <cell r="BG1423">
            <v>0.35668800354003904</v>
          </cell>
        </row>
        <row r="1424">
          <cell r="D1424" t="str">
            <v>复合型公用事业</v>
          </cell>
          <cell r="M1424">
            <v>28.932830596799999</v>
          </cell>
          <cell r="N1424">
            <v>17.216234820553396</v>
          </cell>
          <cell r="O1424" t="str">
            <v>公用事业</v>
          </cell>
          <cell r="P1424" t="str">
            <v>公用事业Ⅱ</v>
          </cell>
          <cell r="Q1424" t="str">
            <v>复合型公用事业Ⅲ</v>
          </cell>
          <cell r="BC1424">
            <v>1.30597014925372E-2</v>
          </cell>
          <cell r="BD1424">
            <v>-5.49450549450554E-3</v>
          </cell>
          <cell r="BE1424">
            <v>0.1407563025210084</v>
          </cell>
          <cell r="BF1424">
            <v>0.6637560272216797</v>
          </cell>
          <cell r="BG1424">
            <v>0.28623600006103517</v>
          </cell>
        </row>
        <row r="1425">
          <cell r="D1425" t="str">
            <v>建筑机械与重型卡车</v>
          </cell>
          <cell r="M1425">
            <v>36.800716428000001</v>
          </cell>
          <cell r="N1425">
            <v>21.895629309941853</v>
          </cell>
          <cell r="O1425" t="str">
            <v>工业</v>
          </cell>
          <cell r="P1425" t="str">
            <v>资本货物</v>
          </cell>
          <cell r="Q1425" t="str">
            <v>机械</v>
          </cell>
          <cell r="BC1425">
            <v>-2.075876879026492E-2</v>
          </cell>
          <cell r="BD1425">
            <v>-5.2631578947368411E-2</v>
          </cell>
          <cell r="BE1425">
            <v>-0.359374315713828</v>
          </cell>
          <cell r="BF1425">
            <v>0.13003199577331542</v>
          </cell>
          <cell r="BG1425">
            <v>0</v>
          </cell>
        </row>
        <row r="1426">
          <cell r="D1426" t="str">
            <v>基础化工</v>
          </cell>
          <cell r="M1426">
            <v>51.757683054000005</v>
          </cell>
          <cell r="N1426">
            <v>30.787909577758331</v>
          </cell>
          <cell r="O1426" t="str">
            <v>材料</v>
          </cell>
          <cell r="P1426" t="str">
            <v>材料Ⅱ</v>
          </cell>
          <cell r="Q1426" t="str">
            <v>化工</v>
          </cell>
          <cell r="BC1426">
            <v>6.2906724511930592E-2</v>
          </cell>
          <cell r="BD1426">
            <v>-5.7692307692307654E-2</v>
          </cell>
          <cell r="BE1426">
            <v>-0.20462959222419619</v>
          </cell>
          <cell r="BF1426">
            <v>0.55986000061035157</v>
          </cell>
          <cell r="BG1426">
            <v>0.19389600753784181</v>
          </cell>
        </row>
        <row r="1427">
          <cell r="D1427" t="str">
            <v>基础化工</v>
          </cell>
          <cell r="M1427">
            <v>20.189200000000003</v>
          </cell>
          <cell r="N1427">
            <v>12.009296409231021</v>
          </cell>
          <cell r="O1427" t="str">
            <v>材料</v>
          </cell>
          <cell r="P1427" t="str">
            <v>材料Ⅱ</v>
          </cell>
          <cell r="Q1427" t="str">
            <v>化工</v>
          </cell>
          <cell r="BC1427">
            <v>0</v>
          </cell>
          <cell r="BD1427">
            <v>0</v>
          </cell>
          <cell r="BE1427">
            <v>-0.38680982647179901</v>
          </cell>
          <cell r="BF1427">
            <v>0</v>
          </cell>
          <cell r="BG1427">
            <v>0</v>
          </cell>
        </row>
        <row r="1428">
          <cell r="D1428" t="str">
            <v>基础化工</v>
          </cell>
          <cell r="M1428">
            <v>41.635564171199995</v>
          </cell>
          <cell r="N1428">
            <v>24.764049641124942</v>
          </cell>
          <cell r="O1428" t="str">
            <v>材料</v>
          </cell>
          <cell r="P1428" t="str">
            <v>材料Ⅱ</v>
          </cell>
          <cell r="Q1428" t="str">
            <v>化工</v>
          </cell>
          <cell r="BC1428">
            <v>-1.1308562197092129E-2</v>
          </cell>
          <cell r="BD1428">
            <v>-0.11304347826086959</v>
          </cell>
          <cell r="BE1428">
            <v>-0.10787172011661811</v>
          </cell>
          <cell r="BF1428">
            <v>0.30685199737548829</v>
          </cell>
          <cell r="BG1428">
            <v>6.7944002151489255E-2</v>
          </cell>
        </row>
        <row r="1429">
          <cell r="D1429" t="str">
            <v>建筑与工程</v>
          </cell>
          <cell r="M1429">
            <v>80.22630320879999</v>
          </cell>
          <cell r="N1429">
            <v>47.705956783609459</v>
          </cell>
          <cell r="O1429" t="str">
            <v>工业</v>
          </cell>
          <cell r="P1429" t="str">
            <v>资本货物</v>
          </cell>
          <cell r="Q1429" t="str">
            <v>建筑与工程Ⅲ</v>
          </cell>
          <cell r="BC1429">
            <v>0.10339622641509429</v>
          </cell>
          <cell r="BD1429">
            <v>-4.2253521126760653E-2</v>
          </cell>
          <cell r="BE1429">
            <v>0.3751776659010202</v>
          </cell>
          <cell r="BF1429">
            <v>0.55045200347900392</v>
          </cell>
          <cell r="BG1429">
            <v>0.30610799789428711</v>
          </cell>
        </row>
        <row r="1430">
          <cell r="D1430" t="str">
            <v>重型电气设备</v>
          </cell>
          <cell r="M1430">
            <v>53.442493329100003</v>
          </cell>
          <cell r="N1430">
            <v>31.777194481615712</v>
          </cell>
          <cell r="O1430" t="str">
            <v>工业</v>
          </cell>
          <cell r="P1430" t="str">
            <v>资本货物</v>
          </cell>
          <cell r="Q1430" t="str">
            <v>电气设备</v>
          </cell>
          <cell r="BC1430">
            <v>6.1555075593952513E-2</v>
          </cell>
          <cell r="BD1430">
            <v>-1.601601601601603E-2</v>
          </cell>
          <cell r="BE1430">
            <v>-0.4430594900849858</v>
          </cell>
          <cell r="BF1430">
            <v>0.39466800689697268</v>
          </cell>
          <cell r="BG1430">
            <v>9.1583995819091796E-2</v>
          </cell>
        </row>
        <row r="1431">
          <cell r="D1431" t="str">
            <v>机动车零配件与设备</v>
          </cell>
          <cell r="M1431">
            <v>121.1386583611</v>
          </cell>
          <cell r="N1431">
            <v>72.028571763281292</v>
          </cell>
          <cell r="O1431" t="str">
            <v>可选消费</v>
          </cell>
          <cell r="P1431" t="str">
            <v>汽车与汽车零部件</v>
          </cell>
          <cell r="Q1431" t="str">
            <v>汽车零配件</v>
          </cell>
          <cell r="BC1431">
            <v>5.5140186915887839E-2</v>
          </cell>
          <cell r="BD1431">
            <v>-2.6724137931034526E-2</v>
          </cell>
          <cell r="BE1431">
            <v>0.21594858753204238</v>
          </cell>
          <cell r="BF1431">
            <v>0.53472000122070318</v>
          </cell>
          <cell r="BG1431">
            <v>0.29841600418090819</v>
          </cell>
        </row>
        <row r="1432">
          <cell r="D1432" t="str">
            <v>电力</v>
          </cell>
          <cell r="M1432">
            <v>41.941411336100003</v>
          </cell>
          <cell r="N1432">
            <v>24.935071819425001</v>
          </cell>
          <cell r="O1432" t="str">
            <v>公用事业</v>
          </cell>
          <cell r="P1432" t="str">
            <v>公用事业Ⅱ</v>
          </cell>
          <cell r="Q1432" t="str">
            <v>电力Ⅲ</v>
          </cell>
          <cell r="BC1432">
            <v>2.6350461133069852E-2</v>
          </cell>
          <cell r="BD1432">
            <v>-8.1367924528301924E-2</v>
          </cell>
          <cell r="BE1432">
            <v>-0.28728270814272644</v>
          </cell>
          <cell r="BF1432">
            <v>0.11496000289916992</v>
          </cell>
          <cell r="BG1432">
            <v>-6.7403998374938962E-2</v>
          </cell>
        </row>
        <row r="1433">
          <cell r="D1433" t="str">
            <v>基础化工</v>
          </cell>
          <cell r="M1433">
            <v>34.201709999999999</v>
          </cell>
          <cell r="N1433">
            <v>20.333603460464893</v>
          </cell>
          <cell r="O1433" t="str">
            <v>材料</v>
          </cell>
          <cell r="P1433" t="str">
            <v>材料Ⅱ</v>
          </cell>
          <cell r="Q1433" t="str">
            <v>化工</v>
          </cell>
          <cell r="BC1433">
            <v>6.1013443640124003E-2</v>
          </cell>
          <cell r="BD1433">
            <v>6.1672185430463509E-2</v>
          </cell>
          <cell r="BE1433">
            <v>0</v>
          </cell>
          <cell r="BF1433">
            <v>0</v>
          </cell>
          <cell r="BG1433">
            <v>0</v>
          </cell>
        </row>
        <row r="1434">
          <cell r="D1434" t="str">
            <v>电气部件与设备</v>
          </cell>
          <cell r="M1434">
            <v>84.168000000000006</v>
          </cell>
          <cell r="N1434">
            <v>50.037570053104176</v>
          </cell>
          <cell r="O1434" t="str">
            <v>工业</v>
          </cell>
          <cell r="P1434" t="str">
            <v>资本货物</v>
          </cell>
          <cell r="Q1434" t="str">
            <v>电气设备</v>
          </cell>
          <cell r="BC1434">
            <v>8.9130434782608722E-2</v>
          </cell>
          <cell r="BD1434">
            <v>6.8800000000000028E-2</v>
          </cell>
          <cell r="BE1434">
            <v>0</v>
          </cell>
          <cell r="BF1434">
            <v>0</v>
          </cell>
          <cell r="BG1434">
            <v>0</v>
          </cell>
        </row>
        <row r="1435">
          <cell r="D1435" t="str">
            <v>食品加工与肉类</v>
          </cell>
          <cell r="M1435">
            <v>53.311314136499995</v>
          </cell>
          <cell r="N1435">
            <v>31.677340329281478</v>
          </cell>
          <cell r="O1435" t="str">
            <v>日常消费</v>
          </cell>
          <cell r="P1435" t="str">
            <v>食品、饮料与烟草</v>
          </cell>
          <cell r="Q1435" t="str">
            <v>食品</v>
          </cell>
          <cell r="BC1435">
            <v>-3.4057545507927292E-2</v>
          </cell>
          <cell r="BD1435">
            <v>4.6437659033078796E-2</v>
          </cell>
          <cell r="BE1435">
            <v>0.18090452261306531</v>
          </cell>
          <cell r="BF1435">
            <v>0.6016559982299805</v>
          </cell>
          <cell r="BG1435">
            <v>5.0844001770019534E-2</v>
          </cell>
        </row>
        <row r="1436">
          <cell r="D1436" t="str">
            <v>钢铁</v>
          </cell>
          <cell r="M1436">
            <v>861.2511665052001</v>
          </cell>
          <cell r="N1436">
            <v>511.55706220986417</v>
          </cell>
          <cell r="O1436" t="str">
            <v>材料</v>
          </cell>
          <cell r="P1436" t="str">
            <v>材料Ⅱ</v>
          </cell>
          <cell r="Q1436" t="str">
            <v>金属、非金属与采矿</v>
          </cell>
          <cell r="BC1436">
            <v>-2.607076350093104E-2</v>
          </cell>
          <cell r="BD1436">
            <v>-3.5055350553505442E-2</v>
          </cell>
          <cell r="BE1436">
            <v>-0.25214010792724112</v>
          </cell>
          <cell r="BF1436">
            <v>0.27062400817871096</v>
          </cell>
          <cell r="BG1436">
            <v>1.5875999927520753E-2</v>
          </cell>
        </row>
        <row r="1437">
          <cell r="D1437" t="str">
            <v>金属非金属</v>
          </cell>
          <cell r="M1437">
            <v>41.010800000000003</v>
          </cell>
          <cell r="N1437">
            <v>24.358504670792282</v>
          </cell>
          <cell r="O1437" t="str">
            <v>材料</v>
          </cell>
          <cell r="P1437" t="str">
            <v>材料Ⅱ</v>
          </cell>
          <cell r="Q1437" t="str">
            <v>金属、非金属与采矿</v>
          </cell>
          <cell r="BC1437">
            <v>8.9572192513368967E-2</v>
          </cell>
          <cell r="BD1437">
            <v>8.8844355377421511E-2</v>
          </cell>
          <cell r="BE1437">
            <v>0.29365079365079372</v>
          </cell>
          <cell r="BF1437">
            <v>0.65822402954101566</v>
          </cell>
          <cell r="BG1437">
            <v>0.17359199523925781</v>
          </cell>
        </row>
        <row r="1438">
          <cell r="D1438" t="str">
            <v>调查和咨询服务</v>
          </cell>
          <cell r="M1438">
            <v>40.335498000000001</v>
          </cell>
          <cell r="N1438">
            <v>23.956296778992591</v>
          </cell>
          <cell r="O1438" t="str">
            <v>工业</v>
          </cell>
          <cell r="P1438" t="str">
            <v>商业和专业服务</v>
          </cell>
          <cell r="Q1438" t="str">
            <v>专业服务</v>
          </cell>
          <cell r="BC1438">
            <v>1.4461538461538427E-2</v>
          </cell>
          <cell r="BD1438">
            <v>-0.14430314041007014</v>
          </cell>
          <cell r="BE1438">
            <v>-8.6728277456647504E-2</v>
          </cell>
          <cell r="BF1438">
            <v>0</v>
          </cell>
          <cell r="BG1438">
            <v>0</v>
          </cell>
        </row>
        <row r="1439">
          <cell r="D1439" t="str">
            <v>电气部件与设备</v>
          </cell>
          <cell r="M1439">
            <v>33.497621499999994</v>
          </cell>
          <cell r="N1439">
            <v>19.887910607651619</v>
          </cell>
          <cell r="O1439" t="str">
            <v>工业</v>
          </cell>
          <cell r="P1439" t="str">
            <v>资本货物</v>
          </cell>
          <cell r="Q1439" t="str">
            <v>电气设备</v>
          </cell>
          <cell r="BC1439">
            <v>1.7795138888888895E-2</v>
          </cell>
          <cell r="BD1439">
            <v>-1.6771488469601765E-2</v>
          </cell>
          <cell r="BE1439">
            <v>-0.31332357247437775</v>
          </cell>
          <cell r="BF1439">
            <v>1.4603999853134155E-2</v>
          </cell>
          <cell r="BG1439">
            <v>0</v>
          </cell>
        </row>
        <row r="1440">
          <cell r="D1440" t="str">
            <v>煤炭与消费用燃料</v>
          </cell>
          <cell r="M1440">
            <v>67.357317600000002</v>
          </cell>
          <cell r="N1440">
            <v>39.989264270590667</v>
          </cell>
          <cell r="O1440" t="str">
            <v>能源</v>
          </cell>
          <cell r="P1440" t="str">
            <v>能源Ⅱ</v>
          </cell>
          <cell r="Q1440" t="str">
            <v>石油、天然气与供消费用燃料</v>
          </cell>
          <cell r="BC1440">
            <v>-7.4547390841320851E-3</v>
          </cell>
          <cell r="BD1440">
            <v>-6.3965884861407777E-3</v>
          </cell>
          <cell r="BE1440">
            <v>-0.21746431570109151</v>
          </cell>
          <cell r="BF1440">
            <v>9.2796001434326175E-2</v>
          </cell>
          <cell r="BG1440">
            <v>-0.16236000061035155</v>
          </cell>
        </row>
        <row r="1441">
          <cell r="D1441" t="str">
            <v>房地产开发</v>
          </cell>
          <cell r="M1441">
            <v>75.727301730999997</v>
          </cell>
          <cell r="N1441">
            <v>44.957325955850315</v>
          </cell>
          <cell r="O1441" t="str">
            <v>金融</v>
          </cell>
          <cell r="P1441" t="str">
            <v>房地产</v>
          </cell>
          <cell r="Q1441" t="str">
            <v>房地产管理与开发</v>
          </cell>
          <cell r="BC1441">
            <v>7.4719800747198636E-3</v>
          </cell>
          <cell r="BD1441">
            <v>-1.1002444987775044E-2</v>
          </cell>
          <cell r="BE1441">
            <v>-0.35650953057635093</v>
          </cell>
          <cell r="BF1441">
            <v>-3.7116000652313234E-2</v>
          </cell>
          <cell r="BG1441">
            <v>0.12872400283813476</v>
          </cell>
        </row>
        <row r="1442">
          <cell r="D1442" t="str">
            <v>电脑硬件</v>
          </cell>
          <cell r="M1442">
            <v>104.4768213104</v>
          </cell>
          <cell r="N1442">
            <v>62.017750590461262</v>
          </cell>
          <cell r="O1442" t="str">
            <v>信息技术</v>
          </cell>
          <cell r="P1442" t="str">
            <v>技术硬件与设备</v>
          </cell>
          <cell r="Q1442" t="str">
            <v>电脑与外围设备</v>
          </cell>
          <cell r="BC1442">
            <v>2.1052631578946921E-3</v>
          </cell>
          <cell r="BD1442">
            <v>-1.4492753623188465E-2</v>
          </cell>
          <cell r="BE1442">
            <v>-0.46513507285559713</v>
          </cell>
          <cell r="BF1442">
            <v>0.34028400421142579</v>
          </cell>
          <cell r="BG1442">
            <v>9.547200202941894E-2</v>
          </cell>
        </row>
        <row r="1443">
          <cell r="D1443" t="str">
            <v>金属非金属</v>
          </cell>
          <cell r="M1443">
            <v>89.6461550864</v>
          </cell>
          <cell r="N1443">
            <v>53.199005648495842</v>
          </cell>
          <cell r="O1443" t="str">
            <v>材料</v>
          </cell>
          <cell r="P1443" t="str">
            <v>材料Ⅱ</v>
          </cell>
          <cell r="Q1443" t="str">
            <v>金属、非金属与采矿</v>
          </cell>
          <cell r="BC1443">
            <v>4.2253521126760915E-3</v>
          </cell>
          <cell r="BD1443">
            <v>-0.10930668332292327</v>
          </cell>
          <cell r="BE1443">
            <v>-0.25340314136125663</v>
          </cell>
          <cell r="BF1443">
            <v>0.15790800094604493</v>
          </cell>
          <cell r="BG1443">
            <v>0.12790800094604493</v>
          </cell>
        </row>
        <row r="1444">
          <cell r="D1444" t="str">
            <v>综合性石油天然气</v>
          </cell>
          <cell r="M1444">
            <v>13964.500607513402</v>
          </cell>
          <cell r="N1444">
            <v>8286.1165318923831</v>
          </cell>
          <cell r="O1444" t="str">
            <v>能源</v>
          </cell>
          <cell r="P1444" t="str">
            <v>能源Ⅱ</v>
          </cell>
          <cell r="Q1444" t="str">
            <v>石油、天然气与供消费用燃料</v>
          </cell>
          <cell r="BC1444">
            <v>-3.1725888324873094E-2</v>
          </cell>
          <cell r="BD1444">
            <v>1.3280212483399686E-2</v>
          </cell>
          <cell r="BE1444">
            <v>-0.35390959240172282</v>
          </cell>
          <cell r="BF1444">
            <v>5.1827998161315919E-2</v>
          </cell>
          <cell r="BG1444">
            <v>-3.2544000148773192E-2</v>
          </cell>
        </row>
        <row r="1445">
          <cell r="D1445" t="str">
            <v>百货商店</v>
          </cell>
          <cell r="M1445">
            <v>46.691423215599997</v>
          </cell>
          <cell r="N1445">
            <v>27.68499995228871</v>
          </cell>
          <cell r="O1445" t="str">
            <v>可选消费</v>
          </cell>
          <cell r="P1445" t="str">
            <v>零售业</v>
          </cell>
          <cell r="Q1445" t="str">
            <v>多元化零售</v>
          </cell>
          <cell r="BC1445">
            <v>5.6726094003241726E-3</v>
          </cell>
          <cell r="BD1445">
            <v>-6.8318318318318333E-2</v>
          </cell>
          <cell r="BE1445">
            <v>-1.1942675159235697E-2</v>
          </cell>
          <cell r="BF1445">
            <v>0.57048000335693361</v>
          </cell>
          <cell r="BG1445">
            <v>0.19873199462890626</v>
          </cell>
        </row>
        <row r="1446">
          <cell r="D1446" t="str">
            <v>电力</v>
          </cell>
          <cell r="M1446">
            <v>58.283550000000005</v>
          </cell>
          <cell r="N1446">
            <v>34.553887833396303</v>
          </cell>
          <cell r="O1446" t="str">
            <v>公用事业</v>
          </cell>
          <cell r="P1446" t="str">
            <v>公用事业Ⅱ</v>
          </cell>
          <cell r="Q1446" t="str">
            <v>电力Ⅲ</v>
          </cell>
          <cell r="BC1446">
            <v>1.199400299850076E-2</v>
          </cell>
          <cell r="BD1446">
            <v>-3.1563845050215172E-2</v>
          </cell>
          <cell r="BE1446">
            <v>-0.11184210526315785</v>
          </cell>
          <cell r="BF1446">
            <v>0.9238320159912109</v>
          </cell>
          <cell r="BG1446">
            <v>0.29100000381469726</v>
          </cell>
        </row>
        <row r="1447">
          <cell r="D1447" t="str">
            <v>半导体产品</v>
          </cell>
          <cell r="M1447">
            <v>59.123652</v>
          </cell>
          <cell r="N1447">
            <v>35.043279390518521</v>
          </cell>
          <cell r="O1447" t="str">
            <v>信息技术</v>
          </cell>
          <cell r="P1447" t="str">
            <v>半导体与半导体生产设备</v>
          </cell>
          <cell r="Q1447" t="str">
            <v>半导体产品与半导体设备</v>
          </cell>
          <cell r="BC1447">
            <v>0.12480109115708103</v>
          </cell>
          <cell r="BD1447">
            <v>0.10200445434298437</v>
          </cell>
          <cell r="BE1447">
            <v>-4.6626089127929399E-2</v>
          </cell>
          <cell r="BF1447">
            <v>0</v>
          </cell>
          <cell r="BG1447">
            <v>0</v>
          </cell>
        </row>
        <row r="1448">
          <cell r="D1448" t="str">
            <v>生物科技</v>
          </cell>
          <cell r="M1448">
            <v>86.131919999999994</v>
          </cell>
          <cell r="N1448">
            <v>51.048256012397538</v>
          </cell>
          <cell r="O1448" t="str">
            <v>医疗保健</v>
          </cell>
          <cell r="P1448" t="str">
            <v>制药、生物科技与生命科学</v>
          </cell>
          <cell r="Q1448" t="str">
            <v>生物科技Ⅲ</v>
          </cell>
          <cell r="BC1448">
            <v>0.1386363636363635</v>
          </cell>
          <cell r="BD1448">
            <v>0.1691948658109684</v>
          </cell>
          <cell r="BE1448">
            <v>-4.3754576767372565E-2</v>
          </cell>
          <cell r="BF1448">
            <v>0.12885600090026855</v>
          </cell>
          <cell r="BG1448">
            <v>-6.8999999761581417E-3</v>
          </cell>
        </row>
        <row r="1449">
          <cell r="D1449" t="str">
            <v>建筑机械与重型卡车</v>
          </cell>
          <cell r="M1449">
            <v>92.064145513200003</v>
          </cell>
          <cell r="N1449">
            <v>54.524693608465554</v>
          </cell>
          <cell r="O1449" t="str">
            <v>工业</v>
          </cell>
          <cell r="P1449" t="str">
            <v>资本货物</v>
          </cell>
          <cell r="Q1449" t="str">
            <v>机械</v>
          </cell>
          <cell r="BC1449">
            <v>1.3297872340425603E-2</v>
          </cell>
          <cell r="BD1449">
            <v>-4.8689138576778986E-2</v>
          </cell>
          <cell r="BE1449">
            <v>-0.45006675488372772</v>
          </cell>
          <cell r="BF1449">
            <v>0.39086399078369138</v>
          </cell>
          <cell r="BG1449">
            <v>0.12338399887084961</v>
          </cell>
        </row>
        <row r="1450">
          <cell r="D1450" t="str">
            <v>信息科技咨询与其它服务</v>
          </cell>
          <cell r="M1450">
            <v>61.863872950000001</v>
          </cell>
          <cell r="N1450">
            <v>36.635639761129625</v>
          </cell>
          <cell r="O1450" t="str">
            <v>信息技术</v>
          </cell>
          <cell r="P1450" t="str">
            <v>软件与服务</v>
          </cell>
          <cell r="Q1450" t="str">
            <v>信息技术服务</v>
          </cell>
          <cell r="BC1450">
            <v>1.1744523621008189E-2</v>
          </cell>
          <cell r="BD1450">
            <v>-1.2239113630507637E-2</v>
          </cell>
          <cell r="BE1450">
            <v>0</v>
          </cell>
          <cell r="BF1450">
            <v>0</v>
          </cell>
          <cell r="BG1450">
            <v>0</v>
          </cell>
        </row>
        <row r="1451">
          <cell r="D1451" t="str">
            <v>服装、服饰与奢侈品</v>
          </cell>
          <cell r="M1451">
            <v>49.37</v>
          </cell>
          <cell r="N1451">
            <v>29.235509522938887</v>
          </cell>
          <cell r="O1451" t="str">
            <v>可选消费</v>
          </cell>
          <cell r="P1451" t="str">
            <v>耐用消费品与服装</v>
          </cell>
          <cell r="Q1451" t="str">
            <v>纺织品、服装与奢侈品</v>
          </cell>
          <cell r="BC1451">
            <v>9.7111111111111051E-2</v>
          </cell>
          <cell r="BD1451">
            <v>2.8541666666666615E-2</v>
          </cell>
          <cell r="BE1451">
            <v>0.37233946490984737</v>
          </cell>
          <cell r="BF1451">
            <v>0</v>
          </cell>
          <cell r="BG1451">
            <v>0</v>
          </cell>
        </row>
        <row r="1452">
          <cell r="D1452" t="str">
            <v>西药</v>
          </cell>
          <cell r="M1452">
            <v>71.098064120399997</v>
          </cell>
          <cell r="N1452">
            <v>42.087693544879066</v>
          </cell>
          <cell r="O1452" t="str">
            <v>医疗保健</v>
          </cell>
          <cell r="P1452" t="str">
            <v>制药、生物科技与生命科学</v>
          </cell>
          <cell r="Q1452" t="str">
            <v>制药</v>
          </cell>
          <cell r="BC1452">
            <v>1.0416666666666753E-2</v>
          </cell>
          <cell r="BD1452">
            <v>5.054151624548741E-2</v>
          </cell>
          <cell r="BE1452">
            <v>-0.15433825435555329</v>
          </cell>
          <cell r="BF1452">
            <v>0.16837200164794922</v>
          </cell>
          <cell r="BG1452">
            <v>7.3776001930236812E-2</v>
          </cell>
        </row>
        <row r="1453">
          <cell r="D1453" t="str">
            <v>航空货运与物流</v>
          </cell>
          <cell r="M1453">
            <v>80.789186986000004</v>
          </cell>
          <cell r="N1453">
            <v>47.821519045697457</v>
          </cell>
          <cell r="O1453" t="str">
            <v>工业</v>
          </cell>
          <cell r="P1453" t="str">
            <v>运输</v>
          </cell>
          <cell r="Q1453" t="str">
            <v>航空货运与物流Ⅲ</v>
          </cell>
          <cell r="BC1453">
            <v>0.18069087688219673</v>
          </cell>
          <cell r="BD1453">
            <v>0.14322469982847341</v>
          </cell>
          <cell r="BE1453">
            <v>-0.18402931029317654</v>
          </cell>
          <cell r="BF1453">
            <v>0.20763599395751953</v>
          </cell>
          <cell r="BG1453">
            <v>4.6848001480102541E-2</v>
          </cell>
        </row>
        <row r="1454">
          <cell r="D1454" t="str">
            <v>重型电气设备</v>
          </cell>
          <cell r="M1454">
            <v>188.75778</v>
          </cell>
          <cell r="N1454">
            <v>111.72766980664352</v>
          </cell>
          <cell r="O1454" t="str">
            <v>工业</v>
          </cell>
          <cell r="P1454" t="str">
            <v>资本货物</v>
          </cell>
          <cell r="Q1454" t="str">
            <v>电气设备</v>
          </cell>
          <cell r="BC1454">
            <v>1.2944983818770239E-2</v>
          </cell>
          <cell r="BD1454">
            <v>-2.1875000000000089E-2</v>
          </cell>
          <cell r="BE1454">
            <v>-0.50863422291993721</v>
          </cell>
          <cell r="BF1454">
            <v>0.25805999755859377</v>
          </cell>
          <cell r="BG1454">
            <v>-0.14383199691772461</v>
          </cell>
        </row>
        <row r="1455">
          <cell r="D1455" t="str">
            <v>金属与玻璃容器</v>
          </cell>
          <cell r="M1455">
            <v>50.142398280000002</v>
          </cell>
          <cell r="N1455">
            <v>29.671570254333336</v>
          </cell>
          <cell r="O1455" t="str">
            <v>材料</v>
          </cell>
          <cell r="P1455" t="str">
            <v>材料Ⅱ</v>
          </cell>
          <cell r="Q1455" t="str">
            <v>容器与包装</v>
          </cell>
          <cell r="BC1455">
            <v>-2.0100502512562832E-2</v>
          </cell>
          <cell r="BD1455">
            <v>-8.2352941176470615E-2</v>
          </cell>
          <cell r="BE1455">
            <v>-0.36688311688311692</v>
          </cell>
          <cell r="BF1455">
            <v>0.40922401428222654</v>
          </cell>
          <cell r="BG1455">
            <v>0.11493599891662598</v>
          </cell>
        </row>
        <row r="1456">
          <cell r="D1456" t="str">
            <v>房地产开发</v>
          </cell>
          <cell r="M1456">
            <v>721.11279239999999</v>
          </cell>
          <cell r="N1456">
            <v>426.65564037346252</v>
          </cell>
          <cell r="O1456" t="str">
            <v>金融</v>
          </cell>
          <cell r="P1456" t="str">
            <v>房地产</v>
          </cell>
          <cell r="Q1456" t="str">
            <v>房地产管理与开发</v>
          </cell>
          <cell r="BC1456">
            <v>0</v>
          </cell>
          <cell r="BD1456">
            <v>0</v>
          </cell>
          <cell r="BE1456">
            <v>6.8667652099465987E-2</v>
          </cell>
          <cell r="BF1456">
            <v>0.58683601379394534</v>
          </cell>
          <cell r="BG1456">
            <v>0.30278400421142576</v>
          </cell>
        </row>
        <row r="1457">
          <cell r="D1457" t="str">
            <v>建筑机械与重型卡车</v>
          </cell>
          <cell r="M1457">
            <v>344.52939950000001</v>
          </cell>
          <cell r="N1457">
            <v>203.82547731722099</v>
          </cell>
          <cell r="O1457" t="str">
            <v>工业</v>
          </cell>
          <cell r="P1457" t="str">
            <v>资本货物</v>
          </cell>
          <cell r="Q1457" t="str">
            <v>机械</v>
          </cell>
          <cell r="BC1457">
            <v>4.4194455604660279E-3</v>
          </cell>
          <cell r="BD1457">
            <v>2.4057738572573666E-3</v>
          </cell>
          <cell r="BE1457">
            <v>-0.46181292259640461</v>
          </cell>
          <cell r="BF1457">
            <v>0.1529640007019043</v>
          </cell>
          <cell r="BG1457">
            <v>-2.5920000672340392E-3</v>
          </cell>
        </row>
        <row r="1458">
          <cell r="D1458" t="str">
            <v>工业机械</v>
          </cell>
          <cell r="M1458">
            <v>149.4524823708</v>
          </cell>
          <cell r="N1458">
            <v>88.397247426338254</v>
          </cell>
          <cell r="O1458" t="str">
            <v>工业</v>
          </cell>
          <cell r="P1458" t="str">
            <v>资本货物</v>
          </cell>
          <cell r="Q1458" t="str">
            <v>机械</v>
          </cell>
          <cell r="BC1458">
            <v>0.10245231607629422</v>
          </cell>
          <cell r="BD1458">
            <v>8.3556507766470195E-2</v>
          </cell>
          <cell r="BE1458">
            <v>0.32138437708470408</v>
          </cell>
          <cell r="BF1458">
            <v>0.95297996520996098</v>
          </cell>
          <cell r="BG1458">
            <v>0.38865600585937499</v>
          </cell>
        </row>
        <row r="1459">
          <cell r="D1459" t="str">
            <v>信息科技咨询与其它服务</v>
          </cell>
          <cell r="M1459">
            <v>114.78489035200002</v>
          </cell>
          <cell r="N1459">
            <v>67.878154087023674</v>
          </cell>
          <cell r="O1459" t="str">
            <v>信息技术</v>
          </cell>
          <cell r="P1459" t="str">
            <v>软件与服务</v>
          </cell>
          <cell r="Q1459" t="str">
            <v>信息技术服务</v>
          </cell>
          <cell r="BC1459">
            <v>6.2893081761008001E-3</v>
          </cell>
          <cell r="BD1459">
            <v>-1.7016449234258414E-3</v>
          </cell>
          <cell r="BE1459">
            <v>-9.9557635050551568E-2</v>
          </cell>
          <cell r="BF1459">
            <v>0.43619998931884768</v>
          </cell>
          <cell r="BG1459">
            <v>0.33131999969482423</v>
          </cell>
        </row>
        <row r="1460">
          <cell r="D1460" t="str">
            <v>中药</v>
          </cell>
          <cell r="M1460">
            <v>49.941849319200003</v>
          </cell>
          <cell r="N1460">
            <v>29.524709986516381</v>
          </cell>
          <cell r="O1460" t="str">
            <v>医疗保健</v>
          </cell>
          <cell r="P1460" t="str">
            <v>制药、生物科技与生命科学</v>
          </cell>
          <cell r="Q1460" t="str">
            <v>制药</v>
          </cell>
          <cell r="BC1460">
            <v>-1.9849418206707676E-2</v>
          </cell>
          <cell r="BD1460">
            <v>-4.0857334226389784E-2</v>
          </cell>
          <cell r="BE1460">
            <v>-0.25280579858556718</v>
          </cell>
          <cell r="BF1460">
            <v>0.17660400390625</v>
          </cell>
          <cell r="BG1460">
            <v>6.7523999214172362E-2</v>
          </cell>
        </row>
        <row r="1461">
          <cell r="D1461" t="str">
            <v>工业机械</v>
          </cell>
          <cell r="M1461">
            <v>72.185401299600002</v>
          </cell>
          <cell r="N1461">
            <v>42.671264104183329</v>
          </cell>
          <cell r="O1461" t="str">
            <v>工业</v>
          </cell>
          <cell r="P1461" t="str">
            <v>资本货物</v>
          </cell>
          <cell r="Q1461" t="str">
            <v>机械</v>
          </cell>
          <cell r="BC1461">
            <v>-2.640264026402701E-3</v>
          </cell>
          <cell r="BD1461">
            <v>-5.2664576802507829E-2</v>
          </cell>
          <cell r="BE1461">
            <v>-2.4531956100710187E-2</v>
          </cell>
          <cell r="BF1461">
            <v>0.85215599060058589</v>
          </cell>
          <cell r="BG1461">
            <v>0.23737199783325194</v>
          </cell>
        </row>
        <row r="1462">
          <cell r="D1462" t="str">
            <v>电气部件与设备</v>
          </cell>
          <cell r="M1462">
            <v>47.632458</v>
          </cell>
          <cell r="N1462">
            <v>28.153708393588268</v>
          </cell>
          <cell r="O1462" t="str">
            <v>工业</v>
          </cell>
          <cell r="P1462" t="str">
            <v>资本货物</v>
          </cell>
          <cell r="Q1462" t="str">
            <v>电气设备</v>
          </cell>
          <cell r="BC1462">
            <v>-1.9271948608137014E-2</v>
          </cell>
          <cell r="BD1462">
            <v>3.3860045146726941E-2</v>
          </cell>
          <cell r="BE1462">
            <v>0.29929078014184402</v>
          </cell>
          <cell r="BF1462">
            <v>0.57019199371337892</v>
          </cell>
          <cell r="BG1462">
            <v>0</v>
          </cell>
        </row>
        <row r="1463">
          <cell r="D1463" t="str">
            <v>百货商店</v>
          </cell>
          <cell r="M1463">
            <v>63.560562300000001</v>
          </cell>
          <cell r="N1463">
            <v>37.56504964938425</v>
          </cell>
          <cell r="O1463" t="str">
            <v>可选消费</v>
          </cell>
          <cell r="P1463" t="str">
            <v>零售业</v>
          </cell>
          <cell r="Q1463" t="str">
            <v>多元化零售</v>
          </cell>
          <cell r="BC1463">
            <v>1.1166253101736955E-2</v>
          </cell>
          <cell r="BD1463">
            <v>-2.7446300715990503E-2</v>
          </cell>
          <cell r="BE1463">
            <v>-0.17100942323902737</v>
          </cell>
          <cell r="BF1463">
            <v>0.25645200729370116</v>
          </cell>
          <cell r="BG1463">
            <v>-2.2679999470710754E-3</v>
          </cell>
        </row>
        <row r="1464">
          <cell r="D1464" t="str">
            <v>建筑与工程</v>
          </cell>
          <cell r="M1464">
            <v>115.5</v>
          </cell>
          <cell r="N1464">
            <v>68.249548112033324</v>
          </cell>
          <cell r="O1464" t="str">
            <v>工业</v>
          </cell>
          <cell r="P1464" t="str">
            <v>资本货物</v>
          </cell>
          <cell r="Q1464" t="str">
            <v>建筑与工程Ⅲ</v>
          </cell>
          <cell r="BC1464">
            <v>-2.534113060428848E-2</v>
          </cell>
          <cell r="BD1464">
            <v>1.9367991845056012E-2</v>
          </cell>
          <cell r="BE1464">
            <v>-0.24939760837070257</v>
          </cell>
          <cell r="BF1464">
            <v>0</v>
          </cell>
          <cell r="BG1464">
            <v>0</v>
          </cell>
        </row>
        <row r="1465">
          <cell r="D1465" t="str">
            <v>非传统电信运营商</v>
          </cell>
          <cell r="M1465">
            <v>102.996230697</v>
          </cell>
          <cell r="N1465">
            <v>60.804645360392087</v>
          </cell>
          <cell r="O1465" t="str">
            <v>电信服务</v>
          </cell>
          <cell r="P1465" t="str">
            <v>电信服务Ⅱ</v>
          </cell>
          <cell r="Q1465" t="str">
            <v>多元电信服务</v>
          </cell>
          <cell r="BC1465">
            <v>3.6977491961414859E-2</v>
          </cell>
          <cell r="BD1465">
            <v>-8.5754783841247281E-2</v>
          </cell>
          <cell r="BE1465">
            <v>-0.17667622257169174</v>
          </cell>
          <cell r="BF1465">
            <v>0.44710800170898435</v>
          </cell>
          <cell r="BG1465">
            <v>0.3277199935913086</v>
          </cell>
        </row>
        <row r="1466">
          <cell r="D1466" t="str">
            <v>建筑与工程</v>
          </cell>
          <cell r="M1466">
            <v>134.70943766279998</v>
          </cell>
          <cell r="N1466">
            <v>79.526421503182277</v>
          </cell>
          <cell r="O1466" t="str">
            <v>工业</v>
          </cell>
          <cell r="P1466" t="str">
            <v>资本货物</v>
          </cell>
          <cell r="Q1466" t="str">
            <v>建筑与工程Ⅲ</v>
          </cell>
          <cell r="BC1466">
            <v>5.2220595412396306E-2</v>
          </cell>
          <cell r="BD1466">
            <v>5.9459459459459324E-2</v>
          </cell>
          <cell r="BE1466">
            <v>-3.5647604255647412E-2</v>
          </cell>
          <cell r="BF1466">
            <v>0.20359199523925781</v>
          </cell>
          <cell r="BG1466">
            <v>6.0060000419616698E-2</v>
          </cell>
        </row>
        <row r="1467">
          <cell r="D1467" t="str">
            <v>工业机械</v>
          </cell>
          <cell r="M1467">
            <v>63.713940360000002</v>
          </cell>
          <cell r="N1467">
            <v>37.609487468775029</v>
          </cell>
          <cell r="O1467" t="str">
            <v>工业</v>
          </cell>
          <cell r="P1467" t="str">
            <v>资本货物</v>
          </cell>
          <cell r="Q1467" t="str">
            <v>机械</v>
          </cell>
          <cell r="BC1467">
            <v>0.20418848167539258</v>
          </cell>
          <cell r="BD1467">
            <v>0.150575287643822</v>
          </cell>
          <cell r="BE1467">
            <v>3.9313149570718527E-2</v>
          </cell>
          <cell r="BF1467">
            <v>0.43549198150634766</v>
          </cell>
          <cell r="BG1467">
            <v>0.21580799102783202</v>
          </cell>
        </row>
        <row r="1468">
          <cell r="D1468" t="str">
            <v>工业机械</v>
          </cell>
          <cell r="M1468">
            <v>110.3552</v>
          </cell>
          <cell r="N1468">
            <v>65.137867328755675</v>
          </cell>
          <cell r="O1468" t="str">
            <v>工业</v>
          </cell>
          <cell r="P1468" t="str">
            <v>资本货物</v>
          </cell>
          <cell r="Q1468" t="str">
            <v>机械</v>
          </cell>
          <cell r="BC1468">
            <v>5.279265493496553E-2</v>
          </cell>
          <cell r="BD1468">
            <v>-2.6874115983026928E-2</v>
          </cell>
          <cell r="BE1468">
            <v>9.2930897537728346E-2</v>
          </cell>
          <cell r="BF1468">
            <v>8.0783996582031253E-2</v>
          </cell>
          <cell r="BG1468">
            <v>0</v>
          </cell>
        </row>
        <row r="1469">
          <cell r="D1469" t="str">
            <v>工业机械</v>
          </cell>
          <cell r="M1469">
            <v>60.855136000000002</v>
          </cell>
          <cell r="N1469">
            <v>35.905759175523329</v>
          </cell>
          <cell r="O1469" t="str">
            <v>工业</v>
          </cell>
          <cell r="P1469" t="str">
            <v>资本货物</v>
          </cell>
          <cell r="Q1469" t="str">
            <v>机械</v>
          </cell>
          <cell r="BC1469">
            <v>3.0727762803234516E-2</v>
          </cell>
          <cell r="BD1469">
            <v>-2.087682672233776E-3</v>
          </cell>
          <cell r="BE1469">
            <v>-0.30186534497816597</v>
          </cell>
          <cell r="BF1469">
            <v>0</v>
          </cell>
          <cell r="BG1469">
            <v>0</v>
          </cell>
        </row>
        <row r="1470">
          <cell r="D1470" t="str">
            <v>化纤</v>
          </cell>
          <cell r="M1470">
            <v>144.8501159864</v>
          </cell>
          <cell r="N1470">
            <v>85.425682388623031</v>
          </cell>
          <cell r="O1470" t="str">
            <v>材料</v>
          </cell>
          <cell r="P1470" t="str">
            <v>材料Ⅱ</v>
          </cell>
          <cell r="Q1470" t="str">
            <v>化工</v>
          </cell>
          <cell r="BC1470">
            <v>-5.8573853989813206E-2</v>
          </cell>
          <cell r="BD1470">
            <v>-9.0983606557377014E-2</v>
          </cell>
          <cell r="BE1470">
            <v>6.4299424184261031E-2</v>
          </cell>
          <cell r="BF1470">
            <v>0.37930801391601565</v>
          </cell>
          <cell r="BG1470">
            <v>7.0799998939037319E-4</v>
          </cell>
        </row>
        <row r="1471">
          <cell r="D1471" t="str">
            <v>电子元件</v>
          </cell>
          <cell r="M1471">
            <v>58.839039999999997</v>
          </cell>
          <cell r="N1471">
            <v>34.6991396997118</v>
          </cell>
          <cell r="O1471" t="str">
            <v>信息技术</v>
          </cell>
          <cell r="P1471" t="str">
            <v>技术硬件与设备</v>
          </cell>
          <cell r="Q1471" t="str">
            <v>电子设备、仪器和元件</v>
          </cell>
          <cell r="BC1471">
            <v>2.8504944735311136E-2</v>
          </cell>
          <cell r="BD1471">
            <v>-3.5460992907801345E-2</v>
          </cell>
          <cell r="BE1471">
            <v>-4.9664289469293875E-2</v>
          </cell>
          <cell r="BF1471">
            <v>8.8956003189086919E-2</v>
          </cell>
          <cell r="BG1471">
            <v>0.12439200401306152</v>
          </cell>
        </row>
        <row r="1472">
          <cell r="D1472" t="str">
            <v>通信设备</v>
          </cell>
          <cell r="M1472">
            <v>51.043199999999999</v>
          </cell>
          <cell r="N1472">
            <v>30.097081903290281</v>
          </cell>
          <cell r="O1472" t="str">
            <v>信息技术</v>
          </cell>
          <cell r="P1472" t="str">
            <v>技术硬件与设备</v>
          </cell>
          <cell r="Q1472" t="str">
            <v>通信设备Ⅲ</v>
          </cell>
          <cell r="BC1472">
            <v>1.9950124688279322E-2</v>
          </cell>
          <cell r="BD1472">
            <v>0.12827586206896549</v>
          </cell>
          <cell r="BE1472">
            <v>-3.6540803897687131E-3</v>
          </cell>
          <cell r="BF1472">
            <v>6.025199890136719E-2</v>
          </cell>
          <cell r="BG1472">
            <v>-1.8444000482559203E-2</v>
          </cell>
        </row>
        <row r="1473">
          <cell r="D1473" t="str">
            <v>航天航空与国防</v>
          </cell>
          <cell r="M1473">
            <v>257.95501092159998</v>
          </cell>
          <cell r="N1473">
            <v>152.0990732242669</v>
          </cell>
          <cell r="O1473" t="str">
            <v>工业</v>
          </cell>
          <cell r="P1473" t="str">
            <v>资本货物</v>
          </cell>
          <cell r="Q1473" t="str">
            <v>航空航天与国防Ⅲ</v>
          </cell>
          <cell r="BC1473">
            <v>4.5639187574671364E-2</v>
          </cell>
          <cell r="BD1473">
            <v>-8.384319057330716E-3</v>
          </cell>
          <cell r="BE1473">
            <v>-8.5944283436375446E-2</v>
          </cell>
          <cell r="BF1473">
            <v>0.33638401031494142</v>
          </cell>
          <cell r="BG1473">
            <v>0.1524839973449707</v>
          </cell>
        </row>
        <row r="1474">
          <cell r="D1474" t="str">
            <v>特种化工</v>
          </cell>
          <cell r="M1474">
            <v>84.287733999999986</v>
          </cell>
          <cell r="N1474">
            <v>49.698584782521188</v>
          </cell>
          <cell r="O1474" t="str">
            <v>材料</v>
          </cell>
          <cell r="P1474" t="str">
            <v>材料Ⅱ</v>
          </cell>
          <cell r="Q1474" t="str">
            <v>化工</v>
          </cell>
          <cell r="BC1474">
            <v>1.5067650676506606E-2</v>
          </cell>
          <cell r="BD1474">
            <v>-1.4038231780167231E-2</v>
          </cell>
          <cell r="BE1474">
            <v>0.77331298218777811</v>
          </cell>
          <cell r="BF1474">
            <v>0.42457199096679688</v>
          </cell>
          <cell r="BG1474">
            <v>0</v>
          </cell>
        </row>
        <row r="1475">
          <cell r="D1475" t="str">
            <v>互联网软件与服务</v>
          </cell>
          <cell r="M1475">
            <v>1091.336912904</v>
          </cell>
          <cell r="N1475">
            <v>643.37304142188827</v>
          </cell>
          <cell r="O1475" t="str">
            <v>信息技术</v>
          </cell>
          <cell r="P1475" t="str">
            <v>软件与服务</v>
          </cell>
          <cell r="Q1475" t="str">
            <v>互联网软件与服务Ⅲ</v>
          </cell>
          <cell r="BC1475">
            <v>0</v>
          </cell>
          <cell r="BD1475">
            <v>0</v>
          </cell>
          <cell r="BE1475">
            <v>0.49771340899431843</v>
          </cell>
          <cell r="BF1475">
            <v>0.75655197143554687</v>
          </cell>
          <cell r="BG1475">
            <v>0.7748159790039062</v>
          </cell>
        </row>
        <row r="1476">
          <cell r="D1476" t="str">
            <v>环境与设施服务</v>
          </cell>
          <cell r="M1476">
            <v>42.431999999999995</v>
          </cell>
          <cell r="N1476">
            <v>25.014368609659261</v>
          </cell>
          <cell r="O1476" t="str">
            <v>工业</v>
          </cell>
          <cell r="P1476" t="str">
            <v>商业和专业服务</v>
          </cell>
          <cell r="Q1476" t="str">
            <v>商业服务与用品</v>
          </cell>
          <cell r="BC1476">
            <v>6.2606715993169856E-3</v>
          </cell>
          <cell r="BD1476">
            <v>6.4098705988564639E-2</v>
          </cell>
          <cell r="BE1476">
            <v>2.0224518703241833E-2</v>
          </cell>
          <cell r="BF1476">
            <v>0</v>
          </cell>
          <cell r="BG1476">
            <v>0</v>
          </cell>
        </row>
        <row r="1477">
          <cell r="D1477" t="str">
            <v>钢铁</v>
          </cell>
          <cell r="M1477">
            <v>88.105671080400001</v>
          </cell>
          <cell r="N1477">
            <v>51.932312599294804</v>
          </cell>
          <cell r="O1477" t="str">
            <v>材料</v>
          </cell>
          <cell r="P1477" t="str">
            <v>材料Ⅱ</v>
          </cell>
          <cell r="Q1477" t="str">
            <v>金属、非金属与采矿</v>
          </cell>
          <cell r="BC1477">
            <v>4.4910179640718674E-2</v>
          </cell>
          <cell r="BD1477">
            <v>-1.9662921348314519E-2</v>
          </cell>
          <cell r="BE1477">
            <v>-0.41549180634651689</v>
          </cell>
          <cell r="BF1477">
            <v>0.33729598999023436</v>
          </cell>
          <cell r="BG1477">
            <v>0.24226800918579103</v>
          </cell>
        </row>
        <row r="1478">
          <cell r="D1478" t="str">
            <v>房地产开发</v>
          </cell>
          <cell r="M1478">
            <v>62.594456805599997</v>
          </cell>
          <cell r="N1478">
            <v>36.889896027519889</v>
          </cell>
          <cell r="O1478" t="str">
            <v>金融</v>
          </cell>
          <cell r="P1478" t="str">
            <v>房地产</v>
          </cell>
          <cell r="Q1478" t="str">
            <v>房地产管理与开发</v>
          </cell>
          <cell r="BC1478">
            <v>0.32962962962962949</v>
          </cell>
          <cell r="BD1478">
            <v>0.32962962962962949</v>
          </cell>
          <cell r="BE1478">
            <v>-7.2368443817187669E-3</v>
          </cell>
          <cell r="BF1478">
            <v>0.57673198699951167</v>
          </cell>
          <cell r="BG1478">
            <v>0.1936199951171875</v>
          </cell>
        </row>
        <row r="1479">
          <cell r="D1479" t="str">
            <v>互联网软件与服务</v>
          </cell>
          <cell r="M1479">
            <v>81.321749999999994</v>
          </cell>
          <cell r="N1479">
            <v>47.906256452314807</v>
          </cell>
          <cell r="O1479" t="str">
            <v>信息技术</v>
          </cell>
          <cell r="P1479" t="str">
            <v>软件与服务</v>
          </cell>
          <cell r="Q1479" t="str">
            <v>互联网软件与服务Ⅲ</v>
          </cell>
          <cell r="BC1479">
            <v>1.689685571554498E-2</v>
          </cell>
          <cell r="BD1479">
            <v>-6.5991902834008104E-2</v>
          </cell>
          <cell r="BE1479">
            <v>-0.23139549670408907</v>
          </cell>
          <cell r="BF1479">
            <v>0.34972801208496096</v>
          </cell>
          <cell r="BG1479">
            <v>0.12857999801635742</v>
          </cell>
        </row>
        <row r="1480">
          <cell r="D1480" t="str">
            <v>工业机械</v>
          </cell>
          <cell r="M1480">
            <v>181.80439469999999</v>
          </cell>
          <cell r="N1480">
            <v>107.07312685690577</v>
          </cell>
          <cell r="O1480" t="str">
            <v>工业</v>
          </cell>
          <cell r="P1480" t="str">
            <v>资本货物</v>
          </cell>
          <cell r="Q1480" t="str">
            <v>机械</v>
          </cell>
          <cell r="BC1480">
            <v>7.1683734222433862E-2</v>
          </cell>
          <cell r="BD1480">
            <v>5.4605108975861218E-2</v>
          </cell>
          <cell r="BE1480">
            <v>0.73812282734646573</v>
          </cell>
          <cell r="BF1480">
            <v>0.88398002624511718</v>
          </cell>
          <cell r="BG1480">
            <v>0.31431600570678708</v>
          </cell>
        </row>
        <row r="1481">
          <cell r="D1481" t="str">
            <v>航天航空与国防</v>
          </cell>
          <cell r="M1481">
            <v>187.91055157439999</v>
          </cell>
          <cell r="N1481">
            <v>110.63776270435331</v>
          </cell>
          <cell r="O1481" t="str">
            <v>工业</v>
          </cell>
          <cell r="P1481" t="str">
            <v>资本货物</v>
          </cell>
          <cell r="Q1481" t="str">
            <v>航空航天与国防Ⅲ</v>
          </cell>
          <cell r="BC1481">
            <v>4.0206185567010368E-2</v>
          </cell>
          <cell r="BD1481">
            <v>6.4837905236907233E-3</v>
          </cell>
          <cell r="BE1481">
            <v>-8.1590839919718577E-2</v>
          </cell>
          <cell r="BF1481">
            <v>0.29761199951171874</v>
          </cell>
          <cell r="BG1481">
            <v>0.17240400314331056</v>
          </cell>
        </row>
        <row r="1482">
          <cell r="D1482" t="str">
            <v>汽车制造</v>
          </cell>
          <cell r="M1482">
            <v>80.95232062800001</v>
          </cell>
          <cell r="N1482">
            <v>47.65891320635648</v>
          </cell>
          <cell r="O1482" t="str">
            <v>可选消费</v>
          </cell>
          <cell r="P1482" t="str">
            <v>汽车与汽车零部件</v>
          </cell>
          <cell r="Q1482" t="str">
            <v>汽车</v>
          </cell>
          <cell r="BC1482">
            <v>-4.3956043956043932E-2</v>
          </cell>
          <cell r="BD1482">
            <v>0.17145421903052066</v>
          </cell>
          <cell r="BE1482">
            <v>0.79504814305364535</v>
          </cell>
          <cell r="BF1482">
            <v>0.72909599304199224</v>
          </cell>
          <cell r="BG1482">
            <v>0.16797599792480469</v>
          </cell>
        </row>
        <row r="1483">
          <cell r="D1483" t="str">
            <v>半导体产品</v>
          </cell>
          <cell r="M1483">
            <v>67.065929999999994</v>
          </cell>
          <cell r="N1483">
            <v>39.482376371050847</v>
          </cell>
          <cell r="O1483" t="str">
            <v>信息技术</v>
          </cell>
          <cell r="P1483" t="str">
            <v>半导体与半导体生产设备</v>
          </cell>
          <cell r="Q1483" t="str">
            <v>半导体产品与半导体设备</v>
          </cell>
          <cell r="BC1483">
            <v>9.6142069810165362E-2</v>
          </cell>
          <cell r="BD1483">
            <v>9.3463653023823909E-2</v>
          </cell>
          <cell r="BE1483">
            <v>9.1091441513851141E-3</v>
          </cell>
          <cell r="BF1483">
            <v>0.13803600311279296</v>
          </cell>
          <cell r="BG1483">
            <v>0</v>
          </cell>
        </row>
        <row r="1484">
          <cell r="D1484" t="str">
            <v>纸包装</v>
          </cell>
          <cell r="M1484">
            <v>57.615435999999995</v>
          </cell>
          <cell r="N1484">
            <v>33.900556236672948</v>
          </cell>
          <cell r="O1484" t="str">
            <v>材料</v>
          </cell>
          <cell r="P1484" t="str">
            <v>材料Ⅱ</v>
          </cell>
          <cell r="Q1484" t="str">
            <v>容器与包装</v>
          </cell>
          <cell r="BC1484">
            <v>6.5721649484536057E-2</v>
          </cell>
          <cell r="BD1484">
            <v>2.4242424242423726E-3</v>
          </cell>
          <cell r="BE1484">
            <v>-0.17793240556660048</v>
          </cell>
          <cell r="BF1484">
            <v>-6.5064001083374026E-2</v>
          </cell>
          <cell r="BG1484">
            <v>0</v>
          </cell>
        </row>
        <row r="1485">
          <cell r="D1485" t="str">
            <v>医疗保健用品</v>
          </cell>
          <cell r="M1485">
            <v>69.607199999999992</v>
          </cell>
          <cell r="N1485">
            <v>40.95311234033737</v>
          </cell>
          <cell r="O1485" t="str">
            <v>医疗保健</v>
          </cell>
          <cell r="P1485" t="str">
            <v>医疗保健设备与服务</v>
          </cell>
          <cell r="Q1485" t="str">
            <v>医疗保健设备与用品</v>
          </cell>
          <cell r="BC1485">
            <v>0.1050024764735016</v>
          </cell>
          <cell r="BD1485">
            <v>8.6702386751095831E-2</v>
          </cell>
          <cell r="BE1485">
            <v>0.44294130014752875</v>
          </cell>
          <cell r="BF1485">
            <v>0.45194400787353517</v>
          </cell>
          <cell r="BG1485">
            <v>0.17848800659179687</v>
          </cell>
        </row>
        <row r="1486">
          <cell r="D1486" t="str">
            <v>电子元件</v>
          </cell>
          <cell r="M1486">
            <v>46.726963656000002</v>
          </cell>
          <cell r="N1486">
            <v>27.489391266968056</v>
          </cell>
          <cell r="O1486" t="str">
            <v>信息技术</v>
          </cell>
          <cell r="P1486" t="str">
            <v>技术硬件与设备</v>
          </cell>
          <cell r="Q1486" t="str">
            <v>电子设备、仪器和元件</v>
          </cell>
          <cell r="BC1486">
            <v>6.4017660044150188E-2</v>
          </cell>
          <cell r="BD1486">
            <v>6.2630480167015752E-3</v>
          </cell>
          <cell r="BE1486">
            <v>-6.1013220600755536E-2</v>
          </cell>
          <cell r="BF1486">
            <v>0.19540800094604494</v>
          </cell>
          <cell r="BG1486">
            <v>0.17259599685668944</v>
          </cell>
        </row>
        <row r="1487">
          <cell r="D1487" t="str">
            <v>西药</v>
          </cell>
          <cell r="M1487">
            <v>32.587544412</v>
          </cell>
          <cell r="N1487">
            <v>19.166887062623406</v>
          </cell>
          <cell r="O1487" t="str">
            <v>医疗保健</v>
          </cell>
          <cell r="P1487" t="str">
            <v>制药、生物科技与生命科学</v>
          </cell>
          <cell r="Q1487" t="str">
            <v>制药</v>
          </cell>
          <cell r="BC1487">
            <v>0</v>
          </cell>
          <cell r="BD1487">
            <v>0</v>
          </cell>
          <cell r="BE1487">
            <v>-0.24946081955427754</v>
          </cell>
          <cell r="BF1487">
            <v>0.24017999649047853</v>
          </cell>
          <cell r="BG1487">
            <v>7.195199966430664E-2</v>
          </cell>
        </row>
        <row r="1488">
          <cell r="D1488" t="str">
            <v>林木产品</v>
          </cell>
          <cell r="M1488">
            <v>33.471899999999998</v>
          </cell>
          <cell r="N1488">
            <v>19.686850333360493</v>
          </cell>
          <cell r="O1488" t="str">
            <v>材料</v>
          </cell>
          <cell r="P1488" t="str">
            <v>材料Ⅱ</v>
          </cell>
          <cell r="Q1488" t="str">
            <v>纸与林木产品</v>
          </cell>
          <cell r="BC1488">
            <v>-4.3478260869565237E-2</v>
          </cell>
          <cell r="BD1488">
            <v>5.8939096267190537E-2</v>
          </cell>
          <cell r="BE1488">
            <v>0.13443367467309866</v>
          </cell>
          <cell r="BF1488">
            <v>0.21866399765014649</v>
          </cell>
          <cell r="BG1488">
            <v>4.5791997909545898E-2</v>
          </cell>
        </row>
        <row r="1489">
          <cell r="D1489" t="str">
            <v>西药</v>
          </cell>
          <cell r="M1489">
            <v>55.153074703999998</v>
          </cell>
          <cell r="N1489">
            <v>32.438011882247572</v>
          </cell>
          <cell r="O1489" t="str">
            <v>医疗保健</v>
          </cell>
          <cell r="P1489" t="str">
            <v>制药、生物科技与生命科学</v>
          </cell>
          <cell r="Q1489" t="str">
            <v>制药</v>
          </cell>
          <cell r="BC1489">
            <v>0</v>
          </cell>
          <cell r="BD1489">
            <v>-3.0405405405405359E-2</v>
          </cell>
          <cell r="BE1489">
            <v>-0.24534565599226826</v>
          </cell>
          <cell r="BF1489">
            <v>0.20114400863647461</v>
          </cell>
          <cell r="BG1489">
            <v>2.8691999912261963E-2</v>
          </cell>
        </row>
        <row r="1490">
          <cell r="D1490" t="str">
            <v>工业机械</v>
          </cell>
          <cell r="M1490">
            <v>57.188312000000003</v>
          </cell>
          <cell r="N1490">
            <v>33.625924345997959</v>
          </cell>
          <cell r="O1490" t="str">
            <v>工业</v>
          </cell>
          <cell r="P1490" t="str">
            <v>资本货物</v>
          </cell>
          <cell r="Q1490" t="str">
            <v>机械</v>
          </cell>
          <cell r="BC1490">
            <v>-1.014198782961439E-3</v>
          </cell>
          <cell r="BD1490">
            <v>-3.8085937500000056E-2</v>
          </cell>
          <cell r="BE1490">
            <v>-0.11757392592909945</v>
          </cell>
          <cell r="BF1490">
            <v>0.69305999755859371</v>
          </cell>
          <cell r="BG1490">
            <v>0</v>
          </cell>
        </row>
        <row r="1491">
          <cell r="D1491" t="str">
            <v>基础化工</v>
          </cell>
          <cell r="M1491">
            <v>31.104722214399999</v>
          </cell>
          <cell r="N1491">
            <v>18.288614127516663</v>
          </cell>
          <cell r="O1491" t="str">
            <v>材料</v>
          </cell>
          <cell r="P1491" t="str">
            <v>材料Ⅱ</v>
          </cell>
          <cell r="Q1491" t="str">
            <v>化工</v>
          </cell>
          <cell r="BC1491">
            <v>0</v>
          </cell>
          <cell r="BD1491">
            <v>0</v>
          </cell>
          <cell r="BE1491">
            <v>-0.24331926863572437</v>
          </cell>
          <cell r="BF1491">
            <v>0.16541999816894531</v>
          </cell>
          <cell r="BG1491">
            <v>-3.4272000789642335E-2</v>
          </cell>
        </row>
        <row r="1492">
          <cell r="D1492" t="str">
            <v>房地产开发</v>
          </cell>
          <cell r="M1492">
            <v>67.532399999999996</v>
          </cell>
          <cell r="N1492">
            <v>39.706564356016358</v>
          </cell>
          <cell r="O1492" t="str">
            <v>金融</v>
          </cell>
          <cell r="P1492" t="str">
            <v>房地产</v>
          </cell>
          <cell r="Q1492" t="str">
            <v>房地产管理与开发</v>
          </cell>
          <cell r="BC1492">
            <v>-3.5906642728905673E-3</v>
          </cell>
          <cell r="BD1492">
            <v>-0.10339256865912771</v>
          </cell>
          <cell r="BE1492">
            <v>4.3233082706766832E-2</v>
          </cell>
          <cell r="BF1492">
            <v>0.47752799987792971</v>
          </cell>
          <cell r="BG1492">
            <v>8.8620004653930662E-2</v>
          </cell>
        </row>
        <row r="1493">
          <cell r="D1493" t="str">
            <v>煤炭与消费用燃料</v>
          </cell>
          <cell r="M1493">
            <v>436.59094237200003</v>
          </cell>
          <cell r="N1493">
            <v>256.67734547897709</v>
          </cell>
          <cell r="O1493" t="str">
            <v>能源</v>
          </cell>
          <cell r="P1493" t="str">
            <v>能源Ⅱ</v>
          </cell>
          <cell r="Q1493" t="str">
            <v>石油、天然气与供消费用燃料</v>
          </cell>
          <cell r="BC1493">
            <v>-1.2658227848101333E-2</v>
          </cell>
          <cell r="BD1493">
            <v>-3.7037037037037014E-2</v>
          </cell>
          <cell r="BE1493">
            <v>4.4968460698337209E-2</v>
          </cell>
          <cell r="BF1493">
            <v>0.61484401702880864</v>
          </cell>
          <cell r="BG1493">
            <v>0.20665199279785157</v>
          </cell>
        </row>
        <row r="1494">
          <cell r="D1494" t="str">
            <v>通信设备</v>
          </cell>
          <cell r="M1494">
            <v>121.35775665120001</v>
          </cell>
          <cell r="N1494">
            <v>71.34757590765544</v>
          </cell>
          <cell r="O1494" t="str">
            <v>信息技术</v>
          </cell>
          <cell r="P1494" t="str">
            <v>技术硬件与设备</v>
          </cell>
          <cell r="Q1494" t="str">
            <v>通信设备Ⅲ</v>
          </cell>
          <cell r="BC1494">
            <v>2.7068832173240499E-2</v>
          </cell>
          <cell r="BD1494">
            <v>-1.8477457501847747E-2</v>
          </cell>
          <cell r="BE1494">
            <v>-0.16418015118434162</v>
          </cell>
          <cell r="BF1494">
            <v>0.37602001190185547</v>
          </cell>
          <cell r="BG1494">
            <v>0.211835994720459</v>
          </cell>
        </row>
        <row r="1495">
          <cell r="D1495" t="str">
            <v>西药</v>
          </cell>
          <cell r="M1495">
            <v>31.991371229000002</v>
          </cell>
          <cell r="N1495">
            <v>18.800726480680186</v>
          </cell>
          <cell r="O1495" t="str">
            <v>医疗保健</v>
          </cell>
          <cell r="P1495" t="str">
            <v>制药、生物科技与生命科学</v>
          </cell>
          <cell r="Q1495" t="str">
            <v>制药</v>
          </cell>
          <cell r="BC1495">
            <v>3.7095919448860773E-3</v>
          </cell>
          <cell r="BD1495">
            <v>-2.2703818369452927E-2</v>
          </cell>
          <cell r="BE1495">
            <v>-2.885188075993092E-2</v>
          </cell>
          <cell r="BF1495">
            <v>0.39183601379394534</v>
          </cell>
          <cell r="BG1495">
            <v>0.14320799827575684</v>
          </cell>
        </row>
        <row r="1496">
          <cell r="D1496" t="str">
            <v>特种化工</v>
          </cell>
          <cell r="M1496">
            <v>109.20490728</v>
          </cell>
          <cell r="N1496">
            <v>64.157411894253812</v>
          </cell>
          <cell r="O1496" t="str">
            <v>材料</v>
          </cell>
          <cell r="P1496" t="str">
            <v>材料Ⅱ</v>
          </cell>
          <cell r="Q1496" t="str">
            <v>化工</v>
          </cell>
          <cell r="BC1496">
            <v>6.033829840949257E-2</v>
          </cell>
          <cell r="BD1496">
            <v>0.24999999999999994</v>
          </cell>
          <cell r="BE1496">
            <v>1.1588762922897278</v>
          </cell>
          <cell r="BF1496">
            <v>0.50015998840332032</v>
          </cell>
          <cell r="BG1496">
            <v>0</v>
          </cell>
        </row>
        <row r="1497">
          <cell r="D1497" t="str">
            <v>家用电器</v>
          </cell>
          <cell r="M1497">
            <v>46.641000000000005</v>
          </cell>
          <cell r="N1497">
            <v>27.399199998349076</v>
          </cell>
          <cell r="O1497" t="str">
            <v>可选消费</v>
          </cell>
          <cell r="P1497" t="str">
            <v>耐用消费品与服装</v>
          </cell>
          <cell r="Q1497" t="str">
            <v>家庭耐用消费品</v>
          </cell>
          <cell r="BC1497">
            <v>4.9126121870571519E-2</v>
          </cell>
          <cell r="BD1497">
            <v>-5.9296908089792405E-2</v>
          </cell>
          <cell r="BE1497">
            <v>0</v>
          </cell>
          <cell r="BF1497">
            <v>0</v>
          </cell>
          <cell r="BG1497">
            <v>0</v>
          </cell>
        </row>
        <row r="1498">
          <cell r="D1498" t="str">
            <v>建材</v>
          </cell>
          <cell r="M1498">
            <v>97.476367699999997</v>
          </cell>
          <cell r="N1498">
            <v>57.256170353531878</v>
          </cell>
          <cell r="O1498" t="str">
            <v>材料</v>
          </cell>
          <cell r="P1498" t="str">
            <v>材料Ⅱ</v>
          </cell>
          <cell r="Q1498" t="str">
            <v>建材Ⅲ</v>
          </cell>
          <cell r="BC1498">
            <v>-2.5252525252525276E-2</v>
          </cell>
          <cell r="BD1498">
            <v>-4.4554455445544594E-2</v>
          </cell>
          <cell r="BE1498">
            <v>-2.1717361664166889E-2</v>
          </cell>
          <cell r="BF1498">
            <v>0.13079999923706054</v>
          </cell>
          <cell r="BG1498">
            <v>0</v>
          </cell>
        </row>
        <row r="1499">
          <cell r="D1499" t="str">
            <v>工业机械</v>
          </cell>
          <cell r="M1499">
            <v>35.504000000000005</v>
          </cell>
          <cell r="N1499">
            <v>20.847440397208292</v>
          </cell>
          <cell r="O1499" t="str">
            <v>工业</v>
          </cell>
          <cell r="P1499" t="str">
            <v>资本货物</v>
          </cell>
          <cell r="Q1499" t="str">
            <v>机械</v>
          </cell>
          <cell r="BC1499">
            <v>0.11580429426258357</v>
          </cell>
          <cell r="BD1499">
            <v>0.11228070175438594</v>
          </cell>
          <cell r="BE1499">
            <v>0.30803312936344951</v>
          </cell>
          <cell r="BF1499">
            <v>0</v>
          </cell>
          <cell r="BG1499">
            <v>0</v>
          </cell>
        </row>
        <row r="1500">
          <cell r="D1500" t="str">
            <v>应用软件</v>
          </cell>
          <cell r="M1500">
            <v>106.54836742020001</v>
          </cell>
          <cell r="N1500">
            <v>62.561411245461706</v>
          </cell>
          <cell r="O1500" t="str">
            <v>信息技术</v>
          </cell>
          <cell r="P1500" t="str">
            <v>软件与服务</v>
          </cell>
          <cell r="Q1500" t="str">
            <v>软件</v>
          </cell>
          <cell r="BC1500">
            <v>6.1592608886933816E-3</v>
          </cell>
          <cell r="BD1500">
            <v>-5.4568003307151725E-2</v>
          </cell>
          <cell r="BE1500">
            <v>8.0902179692563775E-2</v>
          </cell>
          <cell r="BF1500">
            <v>0.72302398681640623</v>
          </cell>
          <cell r="BG1500">
            <v>0</v>
          </cell>
        </row>
        <row r="1501">
          <cell r="D1501" t="str">
            <v>综合货品商店</v>
          </cell>
          <cell r="M1501">
            <v>39.898966876999999</v>
          </cell>
          <cell r="N1501">
            <v>23.424886271747717</v>
          </cell>
          <cell r="O1501" t="str">
            <v>可选消费</v>
          </cell>
          <cell r="P1501" t="str">
            <v>零售业</v>
          </cell>
          <cell r="Q1501" t="str">
            <v>多元化零售</v>
          </cell>
          <cell r="BC1501">
            <v>3.0898876404494346E-2</v>
          </cell>
          <cell r="BD1501">
            <v>-2.3936170212765923E-2</v>
          </cell>
          <cell r="BE1501">
            <v>-0.17459472919581215</v>
          </cell>
          <cell r="BF1501">
            <v>0.24560400009155273</v>
          </cell>
          <cell r="BG1501">
            <v>7.4916000366210933E-2</v>
          </cell>
        </row>
        <row r="1502">
          <cell r="D1502" t="str">
            <v>大卖场与超市</v>
          </cell>
          <cell r="M1502">
            <v>39.475493977500001</v>
          </cell>
          <cell r="N1502">
            <v>23.170291239296294</v>
          </cell>
          <cell r="O1502" t="str">
            <v>日常消费</v>
          </cell>
          <cell r="P1502" t="str">
            <v>食品与主要用品零售Ⅱ</v>
          </cell>
          <cell r="Q1502" t="str">
            <v>食品与主要用品零售Ⅲ</v>
          </cell>
          <cell r="BC1502">
            <v>-1.4864864864864907E-2</v>
          </cell>
          <cell r="BD1502">
            <v>7.3637702503681887E-2</v>
          </cell>
          <cell r="BE1502">
            <v>-0.14235294117647057</v>
          </cell>
          <cell r="BF1502">
            <v>-7.9812002182006833E-2</v>
          </cell>
          <cell r="BG1502">
            <v>3.9312000274658206E-2</v>
          </cell>
        </row>
        <row r="1503">
          <cell r="D1503" t="str">
            <v>公路与铁路</v>
          </cell>
          <cell r="M1503">
            <v>109.2970482552</v>
          </cell>
          <cell r="N1503">
            <v>64.140846604346109</v>
          </cell>
          <cell r="O1503" t="str">
            <v>工业</v>
          </cell>
          <cell r="P1503" t="str">
            <v>运输</v>
          </cell>
          <cell r="Q1503" t="str">
            <v>交通基础设施</v>
          </cell>
          <cell r="BC1503">
            <v>6.4516129032256685E-3</v>
          </cell>
          <cell r="BD1503">
            <v>-1.6806722689075647E-2</v>
          </cell>
          <cell r="BE1503">
            <v>-0.12386156600220596</v>
          </cell>
          <cell r="BF1503">
            <v>0.31431600570678708</v>
          </cell>
          <cell r="BG1503">
            <v>1.5216000080108642E-2</v>
          </cell>
        </row>
        <row r="1504">
          <cell r="D1504" t="str">
            <v>房地产开发</v>
          </cell>
          <cell r="M1504">
            <v>39.786884285599996</v>
          </cell>
          <cell r="N1504">
            <v>23.34814641118664</v>
          </cell>
          <cell r="O1504" t="str">
            <v>金融</v>
          </cell>
          <cell r="P1504" t="str">
            <v>房地产</v>
          </cell>
          <cell r="Q1504" t="str">
            <v>房地产管理与开发</v>
          </cell>
          <cell r="BC1504">
            <v>3.0544488711819327E-2</v>
          </cell>
          <cell r="BD1504">
            <v>-1.1464968152866224E-2</v>
          </cell>
          <cell r="BE1504">
            <v>-0.20977596741344201</v>
          </cell>
          <cell r="BF1504">
            <v>0.25966800689697267</v>
          </cell>
          <cell r="BG1504">
            <v>7.2695999145507811E-2</v>
          </cell>
        </row>
        <row r="1505">
          <cell r="D1505" t="str">
            <v>工业机械</v>
          </cell>
          <cell r="M1505">
            <v>64.400259987200002</v>
          </cell>
          <cell r="N1505">
            <v>37.790301620279728</v>
          </cell>
          <cell r="O1505" t="str">
            <v>工业</v>
          </cell>
          <cell r="P1505" t="str">
            <v>资本货物</v>
          </cell>
          <cell r="Q1505" t="str">
            <v>机械</v>
          </cell>
          <cell r="BC1505">
            <v>8.6757990867580501E-3</v>
          </cell>
          <cell r="BD1505">
            <v>1.5165441176470508E-2</v>
          </cell>
          <cell r="BE1505">
            <v>-0.32016475802807698</v>
          </cell>
          <cell r="BF1505">
            <v>-5.3003997802734376E-2</v>
          </cell>
          <cell r="BG1505">
            <v>0</v>
          </cell>
        </row>
        <row r="1506">
          <cell r="D1506" t="str">
            <v>特种化工</v>
          </cell>
          <cell r="M1506">
            <v>47.550888</v>
          </cell>
          <cell r="N1506">
            <v>27.902630121330663</v>
          </cell>
          <cell r="O1506" t="str">
            <v>材料</v>
          </cell>
          <cell r="P1506" t="str">
            <v>材料Ⅱ</v>
          </cell>
          <cell r="Q1506" t="str">
            <v>化工</v>
          </cell>
          <cell r="BC1506">
            <v>0.10046189376443415</v>
          </cell>
          <cell r="BD1506">
            <v>0.30191256830601088</v>
          </cell>
          <cell r="BE1506">
            <v>0.2723416096579036</v>
          </cell>
          <cell r="BF1506">
            <v>0.20703599929809571</v>
          </cell>
          <cell r="BG1506">
            <v>4.9488000869750977E-2</v>
          </cell>
        </row>
        <row r="1507">
          <cell r="D1507" t="str">
            <v>基础化工</v>
          </cell>
          <cell r="M1507">
            <v>35.432000000000002</v>
          </cell>
          <cell r="N1507">
            <v>20.790385570832161</v>
          </cell>
          <cell r="O1507" t="str">
            <v>材料</v>
          </cell>
          <cell r="P1507" t="str">
            <v>材料Ⅱ</v>
          </cell>
          <cell r="Q1507" t="str">
            <v>化工</v>
          </cell>
          <cell r="BC1507">
            <v>0</v>
          </cell>
          <cell r="BD1507">
            <v>7.2776893336365771E-3</v>
          </cell>
          <cell r="BE1507">
            <v>0.39935057102362198</v>
          </cell>
          <cell r="BF1507">
            <v>0</v>
          </cell>
          <cell r="BG1507">
            <v>0</v>
          </cell>
        </row>
        <row r="1508">
          <cell r="D1508" t="str">
            <v>机动车零配件与设备</v>
          </cell>
          <cell r="M1508">
            <v>27.238392000000001</v>
          </cell>
          <cell r="N1508">
            <v>15.981731100983334</v>
          </cell>
          <cell r="O1508" t="str">
            <v>可选消费</v>
          </cell>
          <cell r="P1508" t="str">
            <v>汽车与汽车零部件</v>
          </cell>
          <cell r="Q1508" t="str">
            <v>汽车零配件</v>
          </cell>
          <cell r="BC1508">
            <v>-4.7040376323010972E-3</v>
          </cell>
          <cell r="BD1508">
            <v>-5.9281215264912854E-2</v>
          </cell>
          <cell r="BE1508">
            <v>0.35380376940626995</v>
          </cell>
          <cell r="BF1508">
            <v>0.57349201202392575</v>
          </cell>
          <cell r="BG1508">
            <v>0.1954439926147461</v>
          </cell>
        </row>
        <row r="1509">
          <cell r="D1509" t="str">
            <v>电子设备和仪器</v>
          </cell>
          <cell r="M1509">
            <v>39.25</v>
          </cell>
          <cell r="N1509">
            <v>23.027754841385555</v>
          </cell>
          <cell r="O1509" t="str">
            <v>信息技术</v>
          </cell>
          <cell r="P1509" t="str">
            <v>技术硬件与设备</v>
          </cell>
          <cell r="Q1509" t="str">
            <v>电子设备、仪器和元件</v>
          </cell>
          <cell r="BC1509">
            <v>6.8741450068399504E-2</v>
          </cell>
          <cell r="BD1509">
            <v>5.1657412081440354E-2</v>
          </cell>
          <cell r="BE1509">
            <v>0.17545497185741102</v>
          </cell>
          <cell r="BF1509">
            <v>0</v>
          </cell>
          <cell r="BG1509">
            <v>0</v>
          </cell>
        </row>
        <row r="1510">
          <cell r="D1510" t="str">
            <v>特种化工</v>
          </cell>
          <cell r="M1510">
            <v>28.071680000000001</v>
          </cell>
          <cell r="N1510">
            <v>16.468354090151522</v>
          </cell>
          <cell r="O1510" t="str">
            <v>材料</v>
          </cell>
          <cell r="P1510" t="str">
            <v>材料Ⅱ</v>
          </cell>
          <cell r="Q1510" t="str">
            <v>化工</v>
          </cell>
          <cell r="BC1510">
            <v>2.6624068157614481E-2</v>
          </cell>
          <cell r="BD1510">
            <v>2.0790020790022196E-3</v>
          </cell>
          <cell r="BE1510">
            <v>-0.30987365801299133</v>
          </cell>
          <cell r="BF1510">
            <v>6.064799785614014E-2</v>
          </cell>
          <cell r="BG1510">
            <v>-8.3976001739501954E-2</v>
          </cell>
        </row>
        <row r="1511">
          <cell r="D1511" t="str">
            <v>综合支持服务</v>
          </cell>
          <cell r="M1511">
            <v>63.678913999999999</v>
          </cell>
          <cell r="N1511">
            <v>37.350773024130106</v>
          </cell>
          <cell r="O1511" t="str">
            <v>工业</v>
          </cell>
          <cell r="P1511" t="str">
            <v>商业和专业服务</v>
          </cell>
          <cell r="Q1511" t="str">
            <v>商业服务与用品</v>
          </cell>
          <cell r="BC1511">
            <v>3.2194480946123531E-2</v>
          </cell>
          <cell r="BD1511">
            <v>-8.9275362318840534E-2</v>
          </cell>
          <cell r="BE1511">
            <v>0</v>
          </cell>
          <cell r="BF1511">
            <v>0</v>
          </cell>
          <cell r="BG1511">
            <v>0</v>
          </cell>
        </row>
        <row r="1512">
          <cell r="D1512" t="str">
            <v>房地产开发</v>
          </cell>
          <cell r="M1512">
            <v>62.506251284400001</v>
          </cell>
          <cell r="N1512">
            <v>36.65589076181142</v>
          </cell>
          <cell r="O1512" t="str">
            <v>金融</v>
          </cell>
          <cell r="P1512" t="str">
            <v>房地产</v>
          </cell>
          <cell r="Q1512" t="str">
            <v>房地产管理与开发</v>
          </cell>
          <cell r="BC1512">
            <v>0.25346784363177804</v>
          </cell>
          <cell r="BD1512">
            <v>0.14914748976146658</v>
          </cell>
          <cell r="BE1512">
            <v>4.3742292860641774</v>
          </cell>
          <cell r="BF1512">
            <v>1.4068919372558595</v>
          </cell>
          <cell r="BG1512">
            <v>0.55826400756835937</v>
          </cell>
        </row>
        <row r="1513">
          <cell r="D1513" t="str">
            <v>百货商店</v>
          </cell>
          <cell r="M1513">
            <v>108.66240000000001</v>
          </cell>
          <cell r="N1513">
            <v>63.716395904791902</v>
          </cell>
          <cell r="O1513" t="str">
            <v>可选消费</v>
          </cell>
          <cell r="P1513" t="str">
            <v>零售业</v>
          </cell>
          <cell r="Q1513" t="str">
            <v>多元化零售</v>
          </cell>
          <cell r="BC1513">
            <v>1.7301038062283676E-2</v>
          </cell>
          <cell r="BD1513">
            <v>-8.4317032040471876E-3</v>
          </cell>
          <cell r="BE1513">
            <v>-0.47771141511333171</v>
          </cell>
          <cell r="BF1513">
            <v>0.67725601196289065</v>
          </cell>
          <cell r="BG1513">
            <v>0</v>
          </cell>
        </row>
        <row r="1514">
          <cell r="D1514" t="str">
            <v>燃气</v>
          </cell>
          <cell r="M1514">
            <v>179.09559999999999</v>
          </cell>
          <cell r="N1514">
            <v>104.99157413914361</v>
          </cell>
          <cell r="O1514" t="str">
            <v>公用事业</v>
          </cell>
          <cell r="P1514" t="str">
            <v>公用事业Ⅱ</v>
          </cell>
          <cell r="Q1514" t="str">
            <v>燃气Ⅲ</v>
          </cell>
          <cell r="BC1514">
            <v>0.22316684378320931</v>
          </cell>
          <cell r="BD1514">
            <v>0.16262626262626256</v>
          </cell>
          <cell r="BE1514">
            <v>-5.0254376740376784E-2</v>
          </cell>
          <cell r="BF1514">
            <v>0</v>
          </cell>
          <cell r="BG1514">
            <v>0</v>
          </cell>
        </row>
        <row r="1515">
          <cell r="D1515" t="str">
            <v>特种化工</v>
          </cell>
          <cell r="M1515">
            <v>39.938163466999995</v>
          </cell>
          <cell r="N1515">
            <v>23.406671002184996</v>
          </cell>
          <cell r="O1515" t="str">
            <v>材料</v>
          </cell>
          <cell r="P1515" t="str">
            <v>材料Ⅱ</v>
          </cell>
          <cell r="Q1515" t="str">
            <v>化工</v>
          </cell>
          <cell r="BC1515">
            <v>3.103983445421632E-2</v>
          </cell>
          <cell r="BD1515">
            <v>-2.0638820638820721E-2</v>
          </cell>
          <cell r="BE1515">
            <v>-0.41870655570855037</v>
          </cell>
          <cell r="BF1515">
            <v>0.34292400360107422</v>
          </cell>
          <cell r="BG1515">
            <v>0.10628399848937989</v>
          </cell>
        </row>
        <row r="1516">
          <cell r="D1516" t="str">
            <v>金属非金属</v>
          </cell>
          <cell r="M1516">
            <v>175.01052648040002</v>
          </cell>
          <cell r="N1516">
            <v>102.56611986968767</v>
          </cell>
          <cell r="O1516" t="str">
            <v>材料</v>
          </cell>
          <cell r="P1516" t="str">
            <v>材料Ⅱ</v>
          </cell>
          <cell r="Q1516" t="str">
            <v>金属、非金属与采矿</v>
          </cell>
          <cell r="BC1516">
            <v>3.8775510204081529E-2</v>
          </cell>
          <cell r="BD1516">
            <v>1.6983016983016977E-2</v>
          </cell>
          <cell r="BE1516">
            <v>-0.20406567630961686</v>
          </cell>
          <cell r="BF1516">
            <v>0.24037200927734376</v>
          </cell>
          <cell r="BG1516">
            <v>1.9883999824523924E-2</v>
          </cell>
        </row>
        <row r="1517">
          <cell r="D1517" t="str">
            <v>互联网软件与服务</v>
          </cell>
          <cell r="M1517">
            <v>74.288808000000003</v>
          </cell>
          <cell r="N1517">
            <v>43.498306898767503</v>
          </cell>
          <cell r="O1517" t="str">
            <v>信息技术</v>
          </cell>
          <cell r="P1517" t="str">
            <v>软件与服务</v>
          </cell>
          <cell r="Q1517" t="str">
            <v>互联网软件与服务Ⅲ</v>
          </cell>
          <cell r="BC1517">
            <v>6.9690265486725758E-2</v>
          </cell>
          <cell r="BD1517">
            <v>7.5041689827682126E-2</v>
          </cell>
          <cell r="BE1517">
            <v>-0.49398206058752003</v>
          </cell>
          <cell r="BF1517">
            <v>0.39670799255371092</v>
          </cell>
          <cell r="BG1517">
            <v>0</v>
          </cell>
        </row>
        <row r="1518">
          <cell r="D1518" t="str">
            <v>金属与玻璃容器</v>
          </cell>
          <cell r="M1518">
            <v>48.063777505200008</v>
          </cell>
          <cell r="N1518">
            <v>28.141088194350008</v>
          </cell>
          <cell r="O1518" t="str">
            <v>材料</v>
          </cell>
          <cell r="P1518" t="str">
            <v>材料Ⅱ</v>
          </cell>
          <cell r="Q1518" t="str">
            <v>容器与包装</v>
          </cell>
          <cell r="BC1518">
            <v>2.9710711493354247E-2</v>
          </cell>
          <cell r="BD1518">
            <v>-7.2535211267605593E-2</v>
          </cell>
          <cell r="BE1518">
            <v>0.36053719008264468</v>
          </cell>
          <cell r="BF1518">
            <v>0.40728000640869139</v>
          </cell>
          <cell r="BG1518">
            <v>2.8896000385284424E-2</v>
          </cell>
        </row>
        <row r="1519">
          <cell r="D1519" t="str">
            <v>半导体产品</v>
          </cell>
          <cell r="M1519">
            <v>131.9377718062</v>
          </cell>
          <cell r="N1519">
            <v>77.231973177819867</v>
          </cell>
          <cell r="O1519" t="str">
            <v>信息技术</v>
          </cell>
          <cell r="P1519" t="str">
            <v>半导体与半导体生产设备</v>
          </cell>
          <cell r="Q1519" t="str">
            <v>半导体产品与半导体设备</v>
          </cell>
          <cell r="BC1519">
            <v>6.0790273556231055E-3</v>
          </cell>
          <cell r="BD1519">
            <v>-4.885057471264366E-2</v>
          </cell>
          <cell r="BE1519">
            <v>-0.16736907822081271</v>
          </cell>
          <cell r="BF1519">
            <v>0.28963199615478513</v>
          </cell>
          <cell r="BG1519">
            <v>0</v>
          </cell>
        </row>
        <row r="1520">
          <cell r="D1520" t="str">
            <v>西药</v>
          </cell>
          <cell r="M1520">
            <v>209.66400000000002</v>
          </cell>
          <cell r="N1520">
            <v>122.72526085011573</v>
          </cell>
          <cell r="O1520" t="str">
            <v>医疗保健</v>
          </cell>
          <cell r="P1520" t="str">
            <v>制药、生物科技与生命科学</v>
          </cell>
          <cell r="Q1520" t="str">
            <v>制药</v>
          </cell>
          <cell r="BC1520">
            <v>-8.849557522123826E-3</v>
          </cell>
          <cell r="BD1520">
            <v>-1.6880486158001348E-2</v>
          </cell>
          <cell r="BE1520">
            <v>-0.25673555894896183</v>
          </cell>
          <cell r="BF1520">
            <v>4.9103999137878419E-2</v>
          </cell>
          <cell r="BG1520">
            <v>-5.2499999999999998E-2</v>
          </cell>
        </row>
        <row r="1521">
          <cell r="D1521" t="str">
            <v>纺织品</v>
          </cell>
          <cell r="M1521">
            <v>38.951940499199992</v>
          </cell>
          <cell r="N1521">
            <v>22.7994472879315</v>
          </cell>
          <cell r="O1521" t="str">
            <v>可选消费</v>
          </cell>
          <cell r="P1521" t="str">
            <v>耐用消费品与服装</v>
          </cell>
          <cell r="Q1521" t="str">
            <v>纺织品、服装与奢侈品</v>
          </cell>
          <cell r="BC1521">
            <v>0.15584415584415579</v>
          </cell>
          <cell r="BD1521">
            <v>0.15210355987055019</v>
          </cell>
          <cell r="BE1521">
            <v>0.69730656510419453</v>
          </cell>
          <cell r="BF1521">
            <v>0.41618400573730469</v>
          </cell>
          <cell r="BG1521">
            <v>0.17620800018310548</v>
          </cell>
        </row>
        <row r="1522">
          <cell r="D1522" t="str">
            <v>家用器具与特殊消费品</v>
          </cell>
          <cell r="M1522">
            <v>43.362168000000004</v>
          </cell>
          <cell r="N1522">
            <v>25.372610786816548</v>
          </cell>
          <cell r="O1522" t="str">
            <v>可选消费</v>
          </cell>
          <cell r="P1522" t="str">
            <v>耐用消费品与服装</v>
          </cell>
          <cell r="Q1522" t="str">
            <v>家庭耐用消费品</v>
          </cell>
          <cell r="BC1522">
            <v>2.7752081406106511E-3</v>
          </cell>
          <cell r="BD1522">
            <v>-3.0700447093889541E-2</v>
          </cell>
          <cell r="BE1522">
            <v>0</v>
          </cell>
          <cell r="BF1522">
            <v>0</v>
          </cell>
          <cell r="BG1522">
            <v>0</v>
          </cell>
        </row>
        <row r="1523">
          <cell r="D1523" t="str">
            <v>工业机械</v>
          </cell>
          <cell r="M1523">
            <v>69</v>
          </cell>
          <cell r="N1523">
            <v>40.365332844748394</v>
          </cell>
          <cell r="O1523" t="str">
            <v>工业</v>
          </cell>
          <cell r="P1523" t="str">
            <v>资本货物</v>
          </cell>
          <cell r="Q1523" t="str">
            <v>机械</v>
          </cell>
          <cell r="BC1523">
            <v>-1.5832263585793795E-2</v>
          </cell>
          <cell r="BD1523">
            <v>1.098901098901099E-2</v>
          </cell>
          <cell r="BE1523">
            <v>0.82975338106603014</v>
          </cell>
          <cell r="BF1523">
            <v>0.6774600219726562</v>
          </cell>
          <cell r="BG1523">
            <v>0.34445999145507811</v>
          </cell>
        </row>
        <row r="1524">
          <cell r="D1524" t="str">
            <v>通信设备</v>
          </cell>
          <cell r="M1524">
            <v>46.371722474999999</v>
          </cell>
          <cell r="N1524">
            <v>27.117448761142597</v>
          </cell>
          <cell r="O1524" t="str">
            <v>信息技术</v>
          </cell>
          <cell r="P1524" t="str">
            <v>技术硬件与设备</v>
          </cell>
          <cell r="Q1524" t="str">
            <v>通信设备Ⅲ</v>
          </cell>
          <cell r="BC1524">
            <v>3.7158469945355176E-2</v>
          </cell>
          <cell r="BD1524">
            <v>1.0649627263045755E-2</v>
          </cell>
          <cell r="BE1524">
            <v>-0.29703703703703704</v>
          </cell>
          <cell r="BF1524">
            <v>-1.1843999624252319E-2</v>
          </cell>
          <cell r="BG1524">
            <v>7.0116000175476076E-2</v>
          </cell>
        </row>
        <row r="1525">
          <cell r="D1525" t="str">
            <v>化纤</v>
          </cell>
          <cell r="M1525">
            <v>28.142565400000002</v>
          </cell>
          <cell r="N1525">
            <v>16.454280416412963</v>
          </cell>
          <cell r="O1525" t="str">
            <v>材料</v>
          </cell>
          <cell r="P1525" t="str">
            <v>材料Ⅱ</v>
          </cell>
          <cell r="Q1525" t="str">
            <v>化工</v>
          </cell>
          <cell r="BC1525">
            <v>3.8699690402477331E-3</v>
          </cell>
          <cell r="BD1525">
            <v>-1.5396458814472343E-3</v>
          </cell>
          <cell r="BE1525">
            <v>4.7235837861211549E-2</v>
          </cell>
          <cell r="BF1525">
            <v>0.10384799957275391</v>
          </cell>
          <cell r="BG1525">
            <v>0</v>
          </cell>
        </row>
        <row r="1526">
          <cell r="D1526" t="str">
            <v>房地产开发</v>
          </cell>
          <cell r="M1526">
            <v>53.094713774399999</v>
          </cell>
          <cell r="N1526">
            <v>31.034181984018627</v>
          </cell>
          <cell r="O1526" t="str">
            <v>金融</v>
          </cell>
          <cell r="P1526" t="str">
            <v>房地产</v>
          </cell>
          <cell r="Q1526" t="str">
            <v>房地产管理与开发</v>
          </cell>
          <cell r="BC1526">
            <v>1.0183299389002001E-2</v>
          </cell>
          <cell r="BD1526">
            <v>-1.5873015873015886E-2</v>
          </cell>
          <cell r="BE1526">
            <v>-0.22212274146429031</v>
          </cell>
          <cell r="BF1526">
            <v>0.25295999526977542</v>
          </cell>
          <cell r="BG1526">
            <v>-4.2671999931335448E-2</v>
          </cell>
        </row>
        <row r="1527">
          <cell r="D1527" t="str">
            <v>服装、服饰与奢侈品</v>
          </cell>
          <cell r="M1527">
            <v>39.421872</v>
          </cell>
          <cell r="N1527">
            <v>23.041263518685465</v>
          </cell>
          <cell r="O1527" t="str">
            <v>可选消费</v>
          </cell>
          <cell r="P1527" t="str">
            <v>耐用消费品与服装</v>
          </cell>
          <cell r="Q1527" t="str">
            <v>纺织品、服装与奢侈品</v>
          </cell>
          <cell r="BC1527">
            <v>9.0909090909091668E-3</v>
          </cell>
          <cell r="BD1527">
            <v>-2.6315789473684171E-2</v>
          </cell>
          <cell r="BE1527">
            <v>-0.20668402016009477</v>
          </cell>
          <cell r="BF1527">
            <v>0</v>
          </cell>
          <cell r="BG1527">
            <v>0</v>
          </cell>
        </row>
        <row r="1528">
          <cell r="D1528" t="str">
            <v>应用软件</v>
          </cell>
          <cell r="M1528">
            <v>84.836706890000002</v>
          </cell>
          <cell r="N1528">
            <v>49.569823497023762</v>
          </cell>
          <cell r="O1528" t="str">
            <v>信息技术</v>
          </cell>
          <cell r="P1528" t="str">
            <v>软件与服务</v>
          </cell>
          <cell r="Q1528" t="str">
            <v>软件</v>
          </cell>
          <cell r="BC1528">
            <v>5.0505050505049182E-3</v>
          </cell>
          <cell r="BD1528">
            <v>-7.032828282828292E-2</v>
          </cell>
          <cell r="BE1528">
            <v>0.80240318595748406</v>
          </cell>
          <cell r="BF1528">
            <v>0.83967597961425777</v>
          </cell>
          <cell r="BG1528">
            <v>0</v>
          </cell>
        </row>
        <row r="1529">
          <cell r="D1529" t="str">
            <v>百货商店</v>
          </cell>
          <cell r="M1529">
            <v>93.908075414999999</v>
          </cell>
          <cell r="N1529">
            <v>54.855942589109567</v>
          </cell>
          <cell r="O1529" t="str">
            <v>可选消费</v>
          </cell>
          <cell r="P1529" t="str">
            <v>零售业</v>
          </cell>
          <cell r="Q1529" t="str">
            <v>多元化零售</v>
          </cell>
          <cell r="BC1529">
            <v>5.9633027522935811E-2</v>
          </cell>
          <cell r="BD1529">
            <v>-6.7796610169491511E-2</v>
          </cell>
          <cell r="BE1529">
            <v>-0.18085723356414077</v>
          </cell>
          <cell r="BF1529">
            <v>1.0499999523162842E-2</v>
          </cell>
          <cell r="BG1529">
            <v>-5.3807997703552247E-2</v>
          </cell>
        </row>
        <row r="1530">
          <cell r="D1530" t="str">
            <v>贸易公司与工业品经销商</v>
          </cell>
          <cell r="M1530">
            <v>31.461055999999999</v>
          </cell>
          <cell r="N1530">
            <v>18.372683905020345</v>
          </cell>
          <cell r="O1530" t="str">
            <v>工业</v>
          </cell>
          <cell r="P1530" t="str">
            <v>资本货物</v>
          </cell>
          <cell r="Q1530" t="str">
            <v>贸易公司与工业品经销商Ⅲ</v>
          </cell>
          <cell r="BC1530">
            <v>4.9652432969214434E-3</v>
          </cell>
          <cell r="BD1530">
            <v>2.7411167512690314E-2</v>
          </cell>
          <cell r="BE1530">
            <v>-7.1559633027523037E-2</v>
          </cell>
          <cell r="BF1530">
            <v>0.16808399200439453</v>
          </cell>
          <cell r="BG1530">
            <v>7.0704002380371098E-2</v>
          </cell>
        </row>
        <row r="1531">
          <cell r="D1531" t="str">
            <v>建筑机械与重型卡车</v>
          </cell>
          <cell r="M1531">
            <v>86.067808695400018</v>
          </cell>
          <cell r="N1531">
            <v>50.261555206731906</v>
          </cell>
          <cell r="O1531" t="str">
            <v>工业</v>
          </cell>
          <cell r="P1531" t="str">
            <v>资本货物</v>
          </cell>
          <cell r="Q1531" t="str">
            <v>机械</v>
          </cell>
          <cell r="BC1531">
            <v>1.3565891472868272E-2</v>
          </cell>
          <cell r="BD1531">
            <v>-0.12614870509607348</v>
          </cell>
          <cell r="BE1531">
            <v>-0.34793148613952812</v>
          </cell>
          <cell r="BF1531">
            <v>7.3559999465942383E-2</v>
          </cell>
          <cell r="BG1531">
            <v>0.2313599967956543</v>
          </cell>
        </row>
        <row r="1532">
          <cell r="D1532" t="str">
            <v>电气部件与设备</v>
          </cell>
          <cell r="M1532">
            <v>88.126000000000005</v>
          </cell>
          <cell r="N1532">
            <v>51.458992968302688</v>
          </cell>
          <cell r="O1532" t="str">
            <v>工业</v>
          </cell>
          <cell r="P1532" t="str">
            <v>资本货物</v>
          </cell>
          <cell r="Q1532" t="str">
            <v>电气设备</v>
          </cell>
          <cell r="BC1532">
            <v>1.9061583577712593E-2</v>
          </cell>
          <cell r="BD1532">
            <v>-5.4421768707482922E-2</v>
          </cell>
          <cell r="BE1532">
            <v>-1.3734182616953484E-2</v>
          </cell>
          <cell r="BF1532">
            <v>0.53204399108886724</v>
          </cell>
          <cell r="BG1532">
            <v>0.27360000610351565</v>
          </cell>
        </row>
        <row r="1533">
          <cell r="D1533" t="str">
            <v>基础化工</v>
          </cell>
          <cell r="M1533">
            <v>34.380000000000003</v>
          </cell>
          <cell r="N1533">
            <v>20.075138137800927</v>
          </cell>
          <cell r="O1533" t="str">
            <v>材料</v>
          </cell>
          <cell r="P1533" t="str">
            <v>材料Ⅱ</v>
          </cell>
          <cell r="Q1533" t="str">
            <v>化工</v>
          </cell>
          <cell r="BC1533">
            <v>1.058201058201067E-2</v>
          </cell>
          <cell r="BD1533">
            <v>-5.1324503311258214E-2</v>
          </cell>
          <cell r="BE1533">
            <v>-0.1700648034358756</v>
          </cell>
          <cell r="BF1533">
            <v>0.18651599884033204</v>
          </cell>
          <cell r="BG1533">
            <v>0</v>
          </cell>
        </row>
        <row r="1534">
          <cell r="D1534" t="str">
            <v>基础化工</v>
          </cell>
          <cell r="M1534">
            <v>29.327999999999999</v>
          </cell>
          <cell r="N1534">
            <v>17.122154568042671</v>
          </cell>
          <cell r="O1534" t="str">
            <v>材料</v>
          </cell>
          <cell r="P1534" t="str">
            <v>材料Ⅱ</v>
          </cell>
          <cell r="Q1534" t="str">
            <v>化工</v>
          </cell>
          <cell r="BC1534">
            <v>0.10421686746987932</v>
          </cell>
          <cell r="BD1534">
            <v>0.19818092062447465</v>
          </cell>
          <cell r="BE1534">
            <v>1.0346684558289427</v>
          </cell>
          <cell r="BF1534">
            <v>0.62662799835205074</v>
          </cell>
          <cell r="BG1534">
            <v>0</v>
          </cell>
        </row>
        <row r="1535">
          <cell r="D1535" t="str">
            <v>基础化工</v>
          </cell>
          <cell r="M1535">
            <v>74.167999999999992</v>
          </cell>
          <cell r="N1535">
            <v>43.293382893679997</v>
          </cell>
          <cell r="O1535" t="str">
            <v>材料</v>
          </cell>
          <cell r="P1535" t="str">
            <v>材料Ⅱ</v>
          </cell>
          <cell r="Q1535" t="str">
            <v>化工</v>
          </cell>
          <cell r="BC1535">
            <v>0.15887499999999993</v>
          </cell>
          <cell r="BD1535">
            <v>0.2071614583333333</v>
          </cell>
          <cell r="BE1535">
            <v>0</v>
          </cell>
          <cell r="BF1535">
            <v>0</v>
          </cell>
          <cell r="BG1535">
            <v>0</v>
          </cell>
        </row>
        <row r="1536">
          <cell r="D1536" t="str">
            <v>汽车零售</v>
          </cell>
          <cell r="M1536">
            <v>43.323180704999999</v>
          </cell>
          <cell r="N1536">
            <v>25.286015568146833</v>
          </cell>
          <cell r="O1536" t="str">
            <v>可选消费</v>
          </cell>
          <cell r="P1536" t="str">
            <v>零售业</v>
          </cell>
          <cell r="Q1536" t="str">
            <v>专营零售</v>
          </cell>
          <cell r="BC1536">
            <v>8.16777041942605E-2</v>
          </cell>
          <cell r="BD1536">
            <v>2.0449897750512628E-3</v>
          </cell>
          <cell r="BE1536">
            <v>-2.5730975731769083E-2</v>
          </cell>
          <cell r="BF1536">
            <v>0.54632400512695312</v>
          </cell>
          <cell r="BG1536">
            <v>0.17469600677490235</v>
          </cell>
        </row>
        <row r="1537">
          <cell r="D1537" t="str">
            <v>食品加工与肉类</v>
          </cell>
          <cell r="M1537">
            <v>65.023226870000002</v>
          </cell>
          <cell r="N1537">
            <v>37.947506872016746</v>
          </cell>
          <cell r="O1537" t="str">
            <v>日常消费</v>
          </cell>
          <cell r="P1537" t="str">
            <v>食品、饮料与烟草</v>
          </cell>
          <cell r="Q1537" t="str">
            <v>食品</v>
          </cell>
          <cell r="BC1537">
            <v>4.6431642304385137E-2</v>
          </cell>
          <cell r="BD1537">
            <v>0.10837887067395259</v>
          </cell>
          <cell r="BE1537">
            <v>0.21457085828343317</v>
          </cell>
          <cell r="BF1537">
            <v>0.42959999084472655</v>
          </cell>
          <cell r="BG1537">
            <v>8.6555995941162103E-2</v>
          </cell>
        </row>
        <row r="1538">
          <cell r="D1538" t="str">
            <v>通信设备</v>
          </cell>
          <cell r="M1538">
            <v>116.02211559040001</v>
          </cell>
          <cell r="N1538">
            <v>67.641615966817312</v>
          </cell>
          <cell r="O1538" t="str">
            <v>信息技术</v>
          </cell>
          <cell r="P1538" t="str">
            <v>技术硬件与设备</v>
          </cell>
          <cell r="Q1538" t="str">
            <v>通信设备Ⅲ</v>
          </cell>
          <cell r="BC1538">
            <v>0</v>
          </cell>
          <cell r="BD1538">
            <v>0</v>
          </cell>
          <cell r="BE1538">
            <v>0.1164220061663943</v>
          </cell>
          <cell r="BF1538">
            <v>0.64489196777343749</v>
          </cell>
          <cell r="BG1538">
            <v>0.28763999938964846</v>
          </cell>
        </row>
        <row r="1539">
          <cell r="D1539" t="str">
            <v>金属非金属</v>
          </cell>
          <cell r="M1539">
            <v>85.639267697199998</v>
          </cell>
          <cell r="N1539">
            <v>49.917213302240356</v>
          </cell>
          <cell r="O1539" t="str">
            <v>材料</v>
          </cell>
          <cell r="P1539" t="str">
            <v>材料Ⅱ</v>
          </cell>
          <cell r="Q1539" t="str">
            <v>金属、非金属与采矿</v>
          </cell>
          <cell r="BC1539">
            <v>2.9233870967742027E-2</v>
          </cell>
          <cell r="BD1539">
            <v>-6.330275229357793E-2</v>
          </cell>
          <cell r="BE1539">
            <v>-0.27946365561044456</v>
          </cell>
          <cell r="BF1539">
            <v>3.8747999668121341E-2</v>
          </cell>
          <cell r="BG1539">
            <v>0.13043999671936035</v>
          </cell>
        </row>
        <row r="1540">
          <cell r="D1540" t="str">
            <v>建筑产品</v>
          </cell>
          <cell r="M1540">
            <v>38.788848000000002</v>
          </cell>
          <cell r="N1540">
            <v>22.608016988133748</v>
          </cell>
          <cell r="O1540" t="str">
            <v>工业</v>
          </cell>
          <cell r="P1540" t="str">
            <v>资本货物</v>
          </cell>
          <cell r="Q1540" t="str">
            <v>建筑产品Ⅲ</v>
          </cell>
          <cell r="BC1540">
            <v>0</v>
          </cell>
          <cell r="BD1540">
            <v>0</v>
          </cell>
          <cell r="BE1540">
            <v>0.21612481609738102</v>
          </cell>
          <cell r="BF1540">
            <v>0.52520401000976558</v>
          </cell>
          <cell r="BG1540">
            <v>0</v>
          </cell>
        </row>
        <row r="1541">
          <cell r="D1541" t="str">
            <v>机动车零配件与设备</v>
          </cell>
          <cell r="M1541">
            <v>33.57</v>
          </cell>
          <cell r="N1541">
            <v>19.565797542283331</v>
          </cell>
          <cell r="O1541" t="str">
            <v>可选消费</v>
          </cell>
          <cell r="P1541" t="str">
            <v>汽车与汽车零部件</v>
          </cell>
          <cell r="Q1541" t="str">
            <v>汽车零配件</v>
          </cell>
          <cell r="BC1541">
            <v>0</v>
          </cell>
          <cell r="BD1541">
            <v>2.0895522388059786E-3</v>
          </cell>
          <cell r="BE1541">
            <v>0</v>
          </cell>
          <cell r="BF1541">
            <v>0</v>
          </cell>
          <cell r="BG1541">
            <v>0</v>
          </cell>
        </row>
        <row r="1542">
          <cell r="D1542" t="str">
            <v>半导体产品</v>
          </cell>
          <cell r="M1542">
            <v>141.02029238159997</v>
          </cell>
          <cell r="N1542">
            <v>82.178610730387362</v>
          </cell>
          <cell r="O1542" t="str">
            <v>信息技术</v>
          </cell>
          <cell r="P1542" t="str">
            <v>半导体与半导体生产设备</v>
          </cell>
          <cell r="Q1542" t="str">
            <v>半导体产品与半导体设备</v>
          </cell>
          <cell r="BC1542">
            <v>4.1551246537396058E-2</v>
          </cell>
          <cell r="BD1542">
            <v>8.4615384615384523E-2</v>
          </cell>
          <cell r="BE1542">
            <v>-0.11111111111111113</v>
          </cell>
          <cell r="BF1542">
            <v>0.16527599334716797</v>
          </cell>
          <cell r="BG1542">
            <v>-1.0512000322341919E-2</v>
          </cell>
        </row>
        <row r="1543">
          <cell r="D1543" t="str">
            <v>金属与玻璃容器</v>
          </cell>
          <cell r="M1543">
            <v>110.88</v>
          </cell>
          <cell r="N1543">
            <v>64.610887534602625</v>
          </cell>
          <cell r="O1543" t="str">
            <v>材料</v>
          </cell>
          <cell r="P1543" t="str">
            <v>材料Ⅱ</v>
          </cell>
          <cell r="Q1543" t="str">
            <v>容器与包装</v>
          </cell>
          <cell r="BC1543">
            <v>-1.7491626349088293E-2</v>
          </cell>
          <cell r="BD1543">
            <v>9.5435684647302788E-2</v>
          </cell>
          <cell r="BE1543">
            <v>0</v>
          </cell>
          <cell r="BF1543">
            <v>0</v>
          </cell>
          <cell r="BG1543">
            <v>0</v>
          </cell>
        </row>
        <row r="1544">
          <cell r="D1544" t="str">
            <v>电子元件</v>
          </cell>
          <cell r="M1544">
            <v>45.823829772500005</v>
          </cell>
          <cell r="N1544">
            <v>26.698455328763615</v>
          </cell>
          <cell r="O1544" t="str">
            <v>信息技术</v>
          </cell>
          <cell r="P1544" t="str">
            <v>技术硬件与设备</v>
          </cell>
          <cell r="Q1544" t="str">
            <v>电子设备、仪器和元件</v>
          </cell>
          <cell r="BC1544">
            <v>0.16088631984585741</v>
          </cell>
          <cell r="BD1544">
            <v>0.12616822429906557</v>
          </cell>
          <cell r="BE1544">
            <v>1.8787765978938675E-2</v>
          </cell>
          <cell r="BF1544">
            <v>0.17043600082397461</v>
          </cell>
          <cell r="BG1544">
            <v>0.14606399536132814</v>
          </cell>
        </row>
        <row r="1545">
          <cell r="D1545" t="str">
            <v>互联网软件与服务</v>
          </cell>
          <cell r="M1545">
            <v>190.39999984319999</v>
          </cell>
          <cell r="N1545">
            <v>110.89158101226325</v>
          </cell>
          <cell r="O1545" t="str">
            <v>信息技术</v>
          </cell>
          <cell r="P1545" t="str">
            <v>软件与服务</v>
          </cell>
          <cell r="Q1545" t="str">
            <v>互联网软件与服务Ⅲ</v>
          </cell>
          <cell r="BC1545">
            <v>-4.0485829959514335E-3</v>
          </cell>
          <cell r="BD1545">
            <v>-6.9204152249135523E-3</v>
          </cell>
          <cell r="BE1545">
            <v>-0.38606071927798408</v>
          </cell>
          <cell r="BF1545">
            <v>6.5748000144958491E-2</v>
          </cell>
          <cell r="BG1545">
            <v>0</v>
          </cell>
        </row>
        <row r="1546">
          <cell r="D1546" t="str">
            <v>广告</v>
          </cell>
          <cell r="M1546">
            <v>84.431257456699996</v>
          </cell>
          <cell r="N1546">
            <v>49.15839709466298</v>
          </cell>
          <cell r="O1546" t="str">
            <v>可选消费</v>
          </cell>
          <cell r="P1546" t="str">
            <v>媒体Ⅱ</v>
          </cell>
          <cell r="Q1546" t="str">
            <v>媒体Ⅲ</v>
          </cell>
          <cell r="BC1546">
            <v>9.0746016671942546E-3</v>
          </cell>
          <cell r="BD1546">
            <v>-8.5842653665997554E-2</v>
          </cell>
          <cell r="BE1546">
            <v>0.31522454951150586</v>
          </cell>
          <cell r="BF1546">
            <v>0.40928398132324217</v>
          </cell>
          <cell r="BG1546">
            <v>0</v>
          </cell>
        </row>
        <row r="1547">
          <cell r="D1547" t="str">
            <v>电气部件与设备</v>
          </cell>
          <cell r="M1547">
            <v>30.236799999999999</v>
          </cell>
          <cell r="N1547">
            <v>17.602188724371015</v>
          </cell>
          <cell r="O1547" t="str">
            <v>工业</v>
          </cell>
          <cell r="P1547" t="str">
            <v>资本货物</v>
          </cell>
          <cell r="Q1547" t="str">
            <v>电气设备</v>
          </cell>
          <cell r="BC1547">
            <v>0</v>
          </cell>
          <cell r="BD1547">
            <v>-6.0688901038819E-2</v>
          </cell>
          <cell r="BE1547">
            <v>0.16317367083474144</v>
          </cell>
          <cell r="BF1547">
            <v>0</v>
          </cell>
          <cell r="BG1547">
            <v>0</v>
          </cell>
        </row>
        <row r="1548">
          <cell r="D1548" t="str">
            <v>应用软件</v>
          </cell>
          <cell r="M1548">
            <v>347.45363323200002</v>
          </cell>
          <cell r="N1548">
            <v>202.26797162183829</v>
          </cell>
          <cell r="O1548" t="str">
            <v>信息技术</v>
          </cell>
          <cell r="P1548" t="str">
            <v>软件与服务</v>
          </cell>
          <cell r="Q1548" t="str">
            <v>软件</v>
          </cell>
          <cell r="BC1548">
            <v>8.5504728816830716E-2</v>
          </cell>
          <cell r="BD1548">
            <v>0.30124942156409079</v>
          </cell>
          <cell r="BE1548">
            <v>-0.45134864341478304</v>
          </cell>
          <cell r="BF1548">
            <v>0.56400001525878907</v>
          </cell>
          <cell r="BG1548">
            <v>0.28416000366210936</v>
          </cell>
        </row>
        <row r="1549">
          <cell r="D1549" t="str">
            <v>综合类行业</v>
          </cell>
          <cell r="M1549">
            <v>44.558855725999997</v>
          </cell>
          <cell r="N1549">
            <v>25.936667585182331</v>
          </cell>
          <cell r="O1549" t="str">
            <v>工业</v>
          </cell>
          <cell r="P1549" t="str">
            <v>资本货物</v>
          </cell>
          <cell r="Q1549" t="str">
            <v>综合类Ⅲ</v>
          </cell>
          <cell r="BC1549">
            <v>-3.846153846153901E-3</v>
          </cell>
          <cell r="BD1549">
            <v>3.1872509960159251E-2</v>
          </cell>
          <cell r="BE1549">
            <v>-0.17616668426584864</v>
          </cell>
          <cell r="BF1549">
            <v>0.18455999374389648</v>
          </cell>
          <cell r="BG1549">
            <v>0.12051600456237793</v>
          </cell>
        </row>
        <row r="1550">
          <cell r="D1550" t="str">
            <v>房地产开发</v>
          </cell>
          <cell r="M1550">
            <v>86.071211055000006</v>
          </cell>
          <cell r="N1550">
            <v>50.097788650880538</v>
          </cell>
          <cell r="O1550" t="str">
            <v>金融</v>
          </cell>
          <cell r="P1550" t="str">
            <v>房地产</v>
          </cell>
          <cell r="Q1550" t="str">
            <v>房地产管理与开发</v>
          </cell>
          <cell r="BC1550">
            <v>-4.8426150121064345E-3</v>
          </cell>
          <cell r="BD1550">
            <v>-9.6385542168674777E-3</v>
          </cell>
          <cell r="BE1550">
            <v>-0.33380705191887466</v>
          </cell>
          <cell r="BF1550">
            <v>0.32116798400878904</v>
          </cell>
          <cell r="BG1550">
            <v>7.5900001525878905E-2</v>
          </cell>
        </row>
        <row r="1551">
          <cell r="D1551" t="str">
            <v>无线电信业务</v>
          </cell>
          <cell r="M1551">
            <v>39.068734165199999</v>
          </cell>
          <cell r="N1551">
            <v>22.738322426144538</v>
          </cell>
          <cell r="O1551" t="str">
            <v>电信服务</v>
          </cell>
          <cell r="P1551" t="str">
            <v>电信服务Ⅱ</v>
          </cell>
          <cell r="Q1551" t="str">
            <v>无线电信业务Ⅲ</v>
          </cell>
          <cell r="BC1551">
            <v>2.4144869215291711E-2</v>
          </cell>
          <cell r="BD1551">
            <v>-7.1521456436931859E-3</v>
          </cell>
          <cell r="BE1551">
            <v>-0.44353108969890409</v>
          </cell>
          <cell r="BF1551">
            <v>-9.9588003158569333E-2</v>
          </cell>
          <cell r="BG1551">
            <v>0.15864000320434571</v>
          </cell>
        </row>
        <row r="1552">
          <cell r="D1552" t="str">
            <v>建材</v>
          </cell>
          <cell r="M1552">
            <v>30.473518546800001</v>
          </cell>
          <cell r="N1552">
            <v>17.733425157205367</v>
          </cell>
          <cell r="O1552" t="str">
            <v>材料</v>
          </cell>
          <cell r="P1552" t="str">
            <v>材料Ⅱ</v>
          </cell>
          <cell r="Q1552" t="str">
            <v>建材Ⅲ</v>
          </cell>
          <cell r="BC1552">
            <v>2.702702702702714E-2</v>
          </cell>
          <cell r="BD1552">
            <v>1.0126582278481022E-2</v>
          </cell>
          <cell r="BE1552">
            <v>-0.26922091866727282</v>
          </cell>
          <cell r="BF1552">
            <v>0.12923999786376952</v>
          </cell>
          <cell r="BG1552">
            <v>5.0472002029418948E-2</v>
          </cell>
        </row>
        <row r="1553">
          <cell r="D1553" t="str">
            <v>农产品</v>
          </cell>
          <cell r="M1553">
            <v>244.51887351999997</v>
          </cell>
          <cell r="N1553">
            <v>142.28630785033178</v>
          </cell>
          <cell r="O1553" t="str">
            <v>日常消费</v>
          </cell>
          <cell r="P1553" t="str">
            <v>食品、饮料与烟草</v>
          </cell>
          <cell r="Q1553" t="str">
            <v>食品</v>
          </cell>
          <cell r="BC1553">
            <v>4.1876046901172533E-2</v>
          </cell>
          <cell r="BD1553">
            <v>9.1228070175438519E-2</v>
          </cell>
          <cell r="BE1553">
            <v>-0.36916835699797157</v>
          </cell>
          <cell r="BF1553">
            <v>-0.11423999786376954</v>
          </cell>
          <cell r="BG1553">
            <v>-0.10734000205993652</v>
          </cell>
        </row>
        <row r="1554">
          <cell r="D1554" t="str">
            <v>电脑硬件</v>
          </cell>
          <cell r="M1554">
            <v>58.189824000000002</v>
          </cell>
          <cell r="N1554">
            <v>33.853414905606662</v>
          </cell>
          <cell r="O1554" t="str">
            <v>信息技术</v>
          </cell>
          <cell r="P1554" t="str">
            <v>技术硬件与设备</v>
          </cell>
          <cell r="Q1554" t="str">
            <v>电脑与外围设备</v>
          </cell>
          <cell r="BC1554">
            <v>0</v>
          </cell>
          <cell r="BD1554">
            <v>0</v>
          </cell>
          <cell r="BE1554">
            <v>0</v>
          </cell>
          <cell r="BF1554">
            <v>0</v>
          </cell>
          <cell r="BG1554">
            <v>0</v>
          </cell>
        </row>
        <row r="1555">
          <cell r="D1555" t="str">
            <v>航天航空与国防</v>
          </cell>
          <cell r="M1555">
            <v>154.89101851300001</v>
          </cell>
          <cell r="N1555">
            <v>90.089483049956982</v>
          </cell>
          <cell r="O1555" t="str">
            <v>工业</v>
          </cell>
          <cell r="P1555" t="str">
            <v>资本货物</v>
          </cell>
          <cell r="Q1555" t="str">
            <v>航空航天与国防Ⅲ</v>
          </cell>
          <cell r="BC1555">
            <v>3.2571032571032617E-2</v>
          </cell>
          <cell r="BD1555">
            <v>-1.9091507570770189E-2</v>
          </cell>
          <cell r="BE1555">
            <v>-0.25462731365682834</v>
          </cell>
          <cell r="BF1555">
            <v>0.26367599487304688</v>
          </cell>
          <cell r="BG1555">
            <v>0.11239199638366699</v>
          </cell>
        </row>
        <row r="1556">
          <cell r="D1556" t="str">
            <v>生物科技</v>
          </cell>
          <cell r="M1556">
            <v>102.20629708420002</v>
          </cell>
          <cell r="N1556">
            <v>59.43654470042604</v>
          </cell>
          <cell r="O1556" t="str">
            <v>医疗保健</v>
          </cell>
          <cell r="P1556" t="str">
            <v>制药、生物科技与生命科学</v>
          </cell>
          <cell r="Q1556" t="str">
            <v>生物科技Ⅲ</v>
          </cell>
          <cell r="BC1556">
            <v>4.0281973816717947E-3</v>
          </cell>
          <cell r="BD1556">
            <v>-6.252938410907373E-2</v>
          </cell>
          <cell r="BE1556">
            <v>-0.36471152887418418</v>
          </cell>
          <cell r="BF1556">
            <v>2.5116000175476074E-2</v>
          </cell>
          <cell r="BG1556">
            <v>0.12195599555969239</v>
          </cell>
        </row>
        <row r="1557">
          <cell r="D1557" t="str">
            <v>特种化工</v>
          </cell>
          <cell r="M1557">
            <v>30.160628652</v>
          </cell>
          <cell r="N1557">
            <v>17.535891514734637</v>
          </cell>
          <cell r="O1557" t="str">
            <v>材料</v>
          </cell>
          <cell r="P1557" t="str">
            <v>材料Ⅱ</v>
          </cell>
          <cell r="Q1557" t="str">
            <v>化工</v>
          </cell>
          <cell r="BC1557">
            <v>3.6853295535081598E-2</v>
          </cell>
          <cell r="BD1557">
            <v>-0.11761158021712893</v>
          </cell>
          <cell r="BE1557">
            <v>0.68314146910726958</v>
          </cell>
          <cell r="BF1557">
            <v>0.80719200134277347</v>
          </cell>
          <cell r="BG1557">
            <v>0</v>
          </cell>
        </row>
        <row r="1558">
          <cell r="D1558" t="str">
            <v>消费品经销商</v>
          </cell>
          <cell r="M1558">
            <v>406.60809894720001</v>
          </cell>
          <cell r="N1558">
            <v>236.36514010218065</v>
          </cell>
          <cell r="O1558" t="str">
            <v>可选消费</v>
          </cell>
          <cell r="P1558" t="str">
            <v>零售业</v>
          </cell>
          <cell r="Q1558" t="str">
            <v>消费品经销商Ⅲ</v>
          </cell>
          <cell r="BC1558">
            <v>-1.4511873350923524E-2</v>
          </cell>
          <cell r="BD1558">
            <v>5.3835800807537065E-3</v>
          </cell>
          <cell r="BE1558">
            <v>-0.42308626697426999</v>
          </cell>
          <cell r="BF1558">
            <v>0.72284400939941407</v>
          </cell>
          <cell r="BG1558">
            <v>0.1248840045928955</v>
          </cell>
        </row>
        <row r="1559">
          <cell r="D1559" t="str">
            <v>特种化工</v>
          </cell>
          <cell r="M1559">
            <v>43.842112</v>
          </cell>
          <cell r="N1559">
            <v>25.483041357866671</v>
          </cell>
          <cell r="O1559" t="str">
            <v>材料</v>
          </cell>
          <cell r="P1559" t="str">
            <v>材料Ⅱ</v>
          </cell>
          <cell r="Q1559" t="str">
            <v>化工</v>
          </cell>
          <cell r="BC1559">
            <v>2.8169014084507694E-3</v>
          </cell>
          <cell r="BD1559">
            <v>-3.3921302578018994E-2</v>
          </cell>
          <cell r="BE1559">
            <v>-0.35382727150285714</v>
          </cell>
          <cell r="BF1559">
            <v>5.903999805450439E-3</v>
          </cell>
          <cell r="BG1559">
            <v>0</v>
          </cell>
        </row>
        <row r="1560">
          <cell r="D1560" t="str">
            <v>酒店、度假村与豪华游轮</v>
          </cell>
          <cell r="M1560">
            <v>61.280766</v>
          </cell>
          <cell r="N1560">
            <v>35.619174864031109</v>
          </cell>
          <cell r="O1560" t="str">
            <v>可选消费</v>
          </cell>
          <cell r="P1560" t="str">
            <v>消费者服务Ⅱ</v>
          </cell>
          <cell r="Q1560" t="str">
            <v>酒店、餐馆与休闲Ⅲ</v>
          </cell>
          <cell r="BC1560">
            <v>0.1064034665382764</v>
          </cell>
          <cell r="BD1560">
            <v>0.23747980613893377</v>
          </cell>
          <cell r="BE1560">
            <v>0.15648666031108888</v>
          </cell>
          <cell r="BF1560">
            <v>0</v>
          </cell>
          <cell r="BG1560">
            <v>0</v>
          </cell>
        </row>
        <row r="1561">
          <cell r="D1561" t="str">
            <v>建筑与工程</v>
          </cell>
          <cell r="M1561">
            <v>55.549590951600003</v>
          </cell>
          <cell r="N1561">
            <v>32.285025629530864</v>
          </cell>
          <cell r="O1561" t="str">
            <v>工业</v>
          </cell>
          <cell r="P1561" t="str">
            <v>资本货物</v>
          </cell>
          <cell r="Q1561" t="str">
            <v>建筑与工程Ⅲ</v>
          </cell>
          <cell r="BC1561">
            <v>8.5889570552147576E-3</v>
          </cell>
          <cell r="BD1561">
            <v>8.5889570552147576E-3</v>
          </cell>
          <cell r="BE1561">
            <v>-0.36457591590021332</v>
          </cell>
          <cell r="BF1561">
            <v>0.2120039939880371</v>
          </cell>
          <cell r="BG1561">
            <v>3.1031999588012695E-2</v>
          </cell>
        </row>
        <row r="1562">
          <cell r="D1562" t="str">
            <v>金属非金属</v>
          </cell>
          <cell r="M1562">
            <v>57.85107060819999</v>
          </cell>
          <cell r="N1562">
            <v>33.621869012509258</v>
          </cell>
          <cell r="O1562" t="str">
            <v>材料</v>
          </cell>
          <cell r="P1562" t="str">
            <v>材料Ⅱ</v>
          </cell>
          <cell r="Q1562" t="str">
            <v>金属、非金属与采矿</v>
          </cell>
          <cell r="BC1562">
            <v>0</v>
          </cell>
          <cell r="BD1562">
            <v>0</v>
          </cell>
          <cell r="BE1562">
            <v>-0.13378378378378381</v>
          </cell>
          <cell r="BF1562">
            <v>4.2336001396179199E-2</v>
          </cell>
          <cell r="BG1562">
            <v>0.21540000915527344</v>
          </cell>
        </row>
        <row r="1563">
          <cell r="D1563" t="str">
            <v>电子元件</v>
          </cell>
          <cell r="M1563">
            <v>74.359126945999989</v>
          </cell>
          <cell r="N1563">
            <v>43.215476682046273</v>
          </cell>
          <cell r="O1563" t="str">
            <v>信息技术</v>
          </cell>
          <cell r="P1563" t="str">
            <v>技术硬件与设备</v>
          </cell>
          <cell r="Q1563" t="str">
            <v>电子设备、仪器和元件</v>
          </cell>
          <cell r="BC1563">
            <v>4.3209876543209833E-2</v>
          </cell>
          <cell r="BD1563">
            <v>-1.1820330969268987E-3</v>
          </cell>
          <cell r="BE1563">
            <v>8.8222078776832594E-2</v>
          </cell>
          <cell r="BF1563">
            <v>0.38434799194335939</v>
          </cell>
          <cell r="BG1563">
            <v>0</v>
          </cell>
        </row>
        <row r="1564">
          <cell r="D1564" t="str">
            <v>工业机械</v>
          </cell>
          <cell r="M1564">
            <v>40.637509999999999</v>
          </cell>
          <cell r="N1564">
            <v>23.613164052484262</v>
          </cell>
          <cell r="O1564" t="str">
            <v>工业</v>
          </cell>
          <cell r="P1564" t="str">
            <v>资本货物</v>
          </cell>
          <cell r="Q1564" t="str">
            <v>机械</v>
          </cell>
          <cell r="BC1564">
            <v>1.8701870187018695E-2</v>
          </cell>
          <cell r="BD1564">
            <v>6.5217391304348369E-3</v>
          </cell>
          <cell r="BE1564">
            <v>-9.2156862745098003E-2</v>
          </cell>
          <cell r="BF1564">
            <v>0.24518400192260742</v>
          </cell>
          <cell r="BG1564">
            <v>4.5227999687194827E-2</v>
          </cell>
        </row>
        <row r="1565">
          <cell r="D1565" t="str">
            <v>药品零售</v>
          </cell>
          <cell r="M1565">
            <v>40.6</v>
          </cell>
          <cell r="N1565">
            <v>23.588312579287042</v>
          </cell>
          <cell r="O1565" t="str">
            <v>日常消费</v>
          </cell>
          <cell r="P1565" t="str">
            <v>食品与主要用品零售Ⅱ</v>
          </cell>
          <cell r="Q1565" t="str">
            <v>食品与主要用品零售Ⅲ</v>
          </cell>
          <cell r="BC1565">
            <v>1.3560743743883668E-2</v>
          </cell>
          <cell r="BD1565">
            <v>-4.303062302006342E-2</v>
          </cell>
          <cell r="BE1565">
            <v>0</v>
          </cell>
          <cell r="BF1565">
            <v>0</v>
          </cell>
          <cell r="BG1565">
            <v>0</v>
          </cell>
        </row>
        <row r="1566">
          <cell r="D1566" t="str">
            <v>信息科技咨询与其它服务</v>
          </cell>
          <cell r="M1566">
            <v>104.72872675720002</v>
          </cell>
          <cell r="N1566">
            <v>60.837905977945177</v>
          </cell>
          <cell r="O1566" t="str">
            <v>信息技术</v>
          </cell>
          <cell r="P1566" t="str">
            <v>软件与服务</v>
          </cell>
          <cell r="Q1566" t="str">
            <v>信息技术服务</v>
          </cell>
          <cell r="BC1566">
            <v>0</v>
          </cell>
          <cell r="BD1566">
            <v>-0.10081566068515498</v>
          </cell>
          <cell r="BE1566">
            <v>0.65526424505489533</v>
          </cell>
          <cell r="BF1566">
            <v>1.0223880004882813</v>
          </cell>
          <cell r="BG1566">
            <v>0</v>
          </cell>
        </row>
        <row r="1567">
          <cell r="D1567" t="str">
            <v>食品加工与肉类</v>
          </cell>
          <cell r="M1567">
            <v>39.777256999999999</v>
          </cell>
          <cell r="N1567">
            <v>23.097539528155561</v>
          </cell>
          <cell r="O1567" t="str">
            <v>日常消费</v>
          </cell>
          <cell r="P1567" t="str">
            <v>食品、饮料与烟草</v>
          </cell>
          <cell r="Q1567" t="str">
            <v>食品</v>
          </cell>
          <cell r="BC1567">
            <v>0.10407569141193593</v>
          </cell>
          <cell r="BD1567">
            <v>8.6436170212766481E-3</v>
          </cell>
          <cell r="BE1567">
            <v>-0.15628476084538379</v>
          </cell>
          <cell r="BF1567">
            <v>0.66513603210449224</v>
          </cell>
          <cell r="BG1567">
            <v>0.24690000534057618</v>
          </cell>
        </row>
        <row r="1568">
          <cell r="D1568" t="str">
            <v>应用软件</v>
          </cell>
          <cell r="M1568">
            <v>303.69295514999999</v>
          </cell>
          <cell r="N1568">
            <v>176.3253252151969</v>
          </cell>
          <cell r="O1568" t="str">
            <v>信息技术</v>
          </cell>
          <cell r="P1568" t="str">
            <v>软件与服务</v>
          </cell>
          <cell r="Q1568" t="str">
            <v>软件</v>
          </cell>
          <cell r="BC1568">
            <v>0.15791149315504607</v>
          </cell>
          <cell r="BD1568">
            <v>0.11087354917532057</v>
          </cell>
          <cell r="BE1568">
            <v>-0.1563778918982599</v>
          </cell>
          <cell r="BF1568">
            <v>0.93812400817871089</v>
          </cell>
          <cell r="BG1568">
            <v>0.68085601806640628</v>
          </cell>
        </row>
        <row r="1569">
          <cell r="D1569" t="str">
            <v>消费电子产品</v>
          </cell>
          <cell r="M1569">
            <v>122.805215808</v>
          </cell>
          <cell r="N1569">
            <v>71.290806946700002</v>
          </cell>
          <cell r="O1569" t="str">
            <v>可选消费</v>
          </cell>
          <cell r="P1569" t="str">
            <v>耐用消费品与服装</v>
          </cell>
          <cell r="Q1569" t="str">
            <v>家庭耐用消费品</v>
          </cell>
          <cell r="BC1569">
            <v>0</v>
          </cell>
          <cell r="BD1569">
            <v>-8.765652951699468E-2</v>
          </cell>
          <cell r="BE1569">
            <v>5.1062847805713019E-2</v>
          </cell>
          <cell r="BF1569">
            <v>0.85830001831054692</v>
          </cell>
          <cell r="BG1569">
            <v>0.34503601074218748</v>
          </cell>
        </row>
        <row r="1570">
          <cell r="D1570" t="str">
            <v>重型电气设备</v>
          </cell>
          <cell r="M1570">
            <v>29.275799999999997</v>
          </cell>
          <cell r="N1570">
            <v>16.994731133567896</v>
          </cell>
          <cell r="O1570" t="str">
            <v>工业</v>
          </cell>
          <cell r="P1570" t="str">
            <v>资本货物</v>
          </cell>
          <cell r="Q1570" t="str">
            <v>电气设备</v>
          </cell>
          <cell r="BC1570">
            <v>2.4242424242423726E-3</v>
          </cell>
          <cell r="BD1570">
            <v>1.2936279269293572E-3</v>
          </cell>
          <cell r="BE1570">
            <v>-0.1905592122227748</v>
          </cell>
          <cell r="BF1570">
            <v>0.40183200836181643</v>
          </cell>
          <cell r="BG1570">
            <v>6.832799911499024E-2</v>
          </cell>
        </row>
        <row r="1571">
          <cell r="D1571" t="str">
            <v>个人用品</v>
          </cell>
          <cell r="M1571">
            <v>48.581041800000001</v>
          </cell>
          <cell r="N1571">
            <v>28.1888956630191</v>
          </cell>
          <cell r="O1571" t="str">
            <v>日常消费</v>
          </cell>
          <cell r="P1571" t="str">
            <v>家庭与个人用品</v>
          </cell>
          <cell r="Q1571" t="str">
            <v>个人用品Ⅲ</v>
          </cell>
          <cell r="BC1571">
            <v>1.1787819253438213E-2</v>
          </cell>
          <cell r="BD1571">
            <v>-6.5335753176043454E-2</v>
          </cell>
          <cell r="BE1571">
            <v>-0.12532578112083337</v>
          </cell>
          <cell r="BF1571">
            <v>0.14197199821472167</v>
          </cell>
          <cell r="BG1571">
            <v>-5.9664001464843748E-2</v>
          </cell>
        </row>
        <row r="1572">
          <cell r="D1572" t="str">
            <v>化肥与农用化工</v>
          </cell>
          <cell r="M1572">
            <v>346.21819201760002</v>
          </cell>
          <cell r="N1572">
            <v>200.78435954440374</v>
          </cell>
          <cell r="O1572" t="str">
            <v>材料</v>
          </cell>
          <cell r="P1572" t="str">
            <v>材料Ⅱ</v>
          </cell>
          <cell r="Q1572" t="str">
            <v>化工</v>
          </cell>
          <cell r="BC1572">
            <v>1.9693654266958391E-2</v>
          </cell>
          <cell r="BD1572">
            <v>-1.8947368421052602E-2</v>
          </cell>
          <cell r="BE1572">
            <v>-0.35295648776403155</v>
          </cell>
          <cell r="BF1572">
            <v>0.14722800254821777</v>
          </cell>
          <cell r="BG1572">
            <v>-0.16587600708007813</v>
          </cell>
        </row>
        <row r="1573">
          <cell r="D1573" t="str">
            <v>贸易公司与工业品经销商</v>
          </cell>
          <cell r="M1573">
            <v>131.13050673149999</v>
          </cell>
          <cell r="N1573">
            <v>76.028128409414691</v>
          </cell>
          <cell r="O1573" t="str">
            <v>工业</v>
          </cell>
          <cell r="P1573" t="str">
            <v>资本货物</v>
          </cell>
          <cell r="Q1573" t="str">
            <v>贸易公司与工业品经销商Ⅲ</v>
          </cell>
          <cell r="BC1573">
            <v>1.5180265654648971E-2</v>
          </cell>
          <cell r="BD1573">
            <v>-2.9038112522686052E-2</v>
          </cell>
          <cell r="BE1573">
            <v>-0.19319412929651408</v>
          </cell>
          <cell r="BF1573">
            <v>1.8899999856948853E-2</v>
          </cell>
          <cell r="BG1573">
            <v>0.16025999069213867</v>
          </cell>
        </row>
        <row r="1574">
          <cell r="D1574" t="str">
            <v>特种化工</v>
          </cell>
          <cell r="M1574">
            <v>94.657999999999987</v>
          </cell>
          <cell r="N1574">
            <v>54.879084077217499</v>
          </cell>
          <cell r="O1574" t="str">
            <v>材料</v>
          </cell>
          <cell r="P1574" t="str">
            <v>材料Ⅱ</v>
          </cell>
          <cell r="Q1574" t="str">
            <v>化工</v>
          </cell>
          <cell r="BC1574">
            <v>0.12681388012618294</v>
          </cell>
          <cell r="BD1574">
            <v>0.12221174992145777</v>
          </cell>
          <cell r="BE1574">
            <v>0</v>
          </cell>
          <cell r="BF1574">
            <v>0</v>
          </cell>
          <cell r="BG1574">
            <v>0</v>
          </cell>
        </row>
        <row r="1575">
          <cell r="D1575" t="str">
            <v>通信设备</v>
          </cell>
          <cell r="M1575">
            <v>214.15840877060003</v>
          </cell>
          <cell r="N1575">
            <v>124.10482328205785</v>
          </cell>
          <cell r="O1575" t="str">
            <v>信息技术</v>
          </cell>
          <cell r="P1575" t="str">
            <v>技术硬件与设备</v>
          </cell>
          <cell r="Q1575" t="str">
            <v>通信设备Ⅲ</v>
          </cell>
          <cell r="BC1575">
            <v>5.270555165144062E-2</v>
          </cell>
          <cell r="BD1575">
            <v>-6.4918851435705319E-2</v>
          </cell>
          <cell r="BE1575">
            <v>-0.3141025641025641</v>
          </cell>
          <cell r="BF1575">
            <v>0.81029998779296875</v>
          </cell>
          <cell r="BG1575">
            <v>0.36959999084472656</v>
          </cell>
        </row>
        <row r="1576">
          <cell r="D1576" t="str">
            <v>电子设备和仪器</v>
          </cell>
          <cell r="M1576">
            <v>64.304000000000002</v>
          </cell>
          <cell r="N1576">
            <v>37.260810389868283</v>
          </cell>
          <cell r="O1576" t="str">
            <v>信息技术</v>
          </cell>
          <cell r="P1576" t="str">
            <v>技术硬件与设备</v>
          </cell>
          <cell r="Q1576" t="str">
            <v>电子设备、仪器和元件</v>
          </cell>
          <cell r="BC1576">
            <v>5.8188520273828356E-2</v>
          </cell>
          <cell r="BD1576">
            <v>-4.9881796690307317E-2</v>
          </cell>
          <cell r="BE1576">
            <v>0</v>
          </cell>
          <cell r="BF1576">
            <v>0</v>
          </cell>
          <cell r="BG1576">
            <v>0</v>
          </cell>
        </row>
        <row r="1577">
          <cell r="D1577" t="str">
            <v>食品加工与肉类</v>
          </cell>
          <cell r="M1577">
            <v>85.606399999999994</v>
          </cell>
          <cell r="N1577">
            <v>49.5991349596775</v>
          </cell>
          <cell r="O1577" t="str">
            <v>日常消费</v>
          </cell>
          <cell r="P1577" t="str">
            <v>食品、饮料与烟草</v>
          </cell>
          <cell r="Q1577" t="str">
            <v>食品</v>
          </cell>
          <cell r="BC1577">
            <v>3.0181086519114761E-2</v>
          </cell>
          <cell r="BD1577">
            <v>-1.3487475915221633E-2</v>
          </cell>
          <cell r="BE1577">
            <v>-0.21599237951418954</v>
          </cell>
          <cell r="BF1577">
            <v>0.19252799987792968</v>
          </cell>
          <cell r="BG1577">
            <v>7.8491997718811032E-2</v>
          </cell>
        </row>
        <row r="1578">
          <cell r="D1578" t="str">
            <v>化肥与农用化工</v>
          </cell>
          <cell r="M1578">
            <v>41.04992</v>
          </cell>
          <cell r="N1578">
            <v>23.781969472904009</v>
          </cell>
          <cell r="O1578" t="str">
            <v>材料</v>
          </cell>
          <cell r="P1578" t="str">
            <v>材料Ⅱ</v>
          </cell>
          <cell r="Q1578" t="str">
            <v>化工</v>
          </cell>
          <cell r="BC1578">
            <v>2.3407022106631953E-2</v>
          </cell>
          <cell r="BD1578">
            <v>-3.1980319803198112E-2</v>
          </cell>
          <cell r="BE1578">
            <v>-6.973995271867621E-2</v>
          </cell>
          <cell r="BF1578">
            <v>0.24262800216674804</v>
          </cell>
          <cell r="BG1578">
            <v>7.636799812316894E-2</v>
          </cell>
        </row>
        <row r="1579">
          <cell r="D1579" t="str">
            <v>食品加工与肉类</v>
          </cell>
          <cell r="M1579">
            <v>48.163917323</v>
          </cell>
          <cell r="N1579">
            <v>27.883173479223171</v>
          </cell>
          <cell r="O1579" t="str">
            <v>日常消费</v>
          </cell>
          <cell r="P1579" t="str">
            <v>食品、饮料与烟草</v>
          </cell>
          <cell r="Q1579" t="str">
            <v>食品</v>
          </cell>
          <cell r="BC1579">
            <v>0.11586901763224167</v>
          </cell>
          <cell r="BD1579">
            <v>6.3880883765609908E-2</v>
          </cell>
          <cell r="BE1579">
            <v>0.17104008645621377</v>
          </cell>
          <cell r="BF1579">
            <v>0.1593239974975586</v>
          </cell>
          <cell r="BG1579">
            <v>0</v>
          </cell>
        </row>
        <row r="1580">
          <cell r="D1580" t="str">
            <v>电子设备和仪器</v>
          </cell>
          <cell r="M1580">
            <v>46.675381027499995</v>
          </cell>
          <cell r="N1580">
            <v>27.018403258686689</v>
          </cell>
          <cell r="O1580" t="str">
            <v>信息技术</v>
          </cell>
          <cell r="P1580" t="str">
            <v>技术硬件与设备</v>
          </cell>
          <cell r="Q1580" t="str">
            <v>电子设备、仪器和元件</v>
          </cell>
          <cell r="BC1580">
            <v>0.13045738045738056</v>
          </cell>
          <cell r="BD1580">
            <v>7.5667655786350208E-2</v>
          </cell>
          <cell r="BE1580">
            <v>0.49843736728848748</v>
          </cell>
          <cell r="BF1580">
            <v>0.2645400047302246</v>
          </cell>
          <cell r="BG1580">
            <v>3.3924000263214113E-2</v>
          </cell>
        </row>
        <row r="1581">
          <cell r="D1581" t="str">
            <v>半导体产品</v>
          </cell>
          <cell r="M1581">
            <v>37.955007999999999</v>
          </cell>
          <cell r="N1581">
            <v>21.968136953747212</v>
          </cell>
          <cell r="O1581" t="str">
            <v>信息技术</v>
          </cell>
          <cell r="P1581" t="str">
            <v>半导体与半导体生产设备</v>
          </cell>
          <cell r="Q1581" t="str">
            <v>半导体产品与半导体设备</v>
          </cell>
          <cell r="BC1581">
            <v>0.16493313521545311</v>
          </cell>
          <cell r="BD1581">
            <v>-0.13562252394220256</v>
          </cell>
          <cell r="BE1581">
            <v>1.31605526840166</v>
          </cell>
          <cell r="BF1581">
            <v>0.89446800231933599</v>
          </cell>
          <cell r="BG1581">
            <v>0</v>
          </cell>
        </row>
        <row r="1582">
          <cell r="D1582" t="str">
            <v>家用器具与特殊消费品</v>
          </cell>
          <cell r="M1582">
            <v>54.598732509999998</v>
          </cell>
          <cell r="N1582">
            <v>31.591591191005396</v>
          </cell>
          <cell r="O1582" t="str">
            <v>可选消费</v>
          </cell>
          <cell r="P1582" t="str">
            <v>耐用消费品与服装</v>
          </cell>
          <cell r="Q1582" t="str">
            <v>家庭耐用消费品</v>
          </cell>
          <cell r="BC1582">
            <v>7.3189522342064661E-2</v>
          </cell>
          <cell r="BD1582">
            <v>0.22085889570552142</v>
          </cell>
          <cell r="BE1582">
            <v>-1.2056737588652477E-2</v>
          </cell>
          <cell r="BF1582">
            <v>-1.4988000392913819E-2</v>
          </cell>
          <cell r="BG1582">
            <v>0</v>
          </cell>
        </row>
        <row r="1583">
          <cell r="D1583" t="str">
            <v>机动车零配件与设备</v>
          </cell>
          <cell r="M1583">
            <v>117.55499999999999</v>
          </cell>
          <cell r="N1583">
            <v>68.016973858755549</v>
          </cell>
          <cell r="O1583" t="str">
            <v>可选消费</v>
          </cell>
          <cell r="P1583" t="str">
            <v>汽车与汽车零部件</v>
          </cell>
          <cell r="Q1583" t="str">
            <v>汽车零配件</v>
          </cell>
          <cell r="BC1583">
            <v>0</v>
          </cell>
          <cell r="BD1583">
            <v>0</v>
          </cell>
          <cell r="BE1583">
            <v>0.74024554847696611</v>
          </cell>
          <cell r="BF1583">
            <v>0.83680801391601567</v>
          </cell>
          <cell r="BG1583">
            <v>0.30286800384521484</v>
          </cell>
        </row>
        <row r="1584">
          <cell r="D1584" t="str">
            <v>电子元件</v>
          </cell>
          <cell r="M1584">
            <v>92.077013100000016</v>
          </cell>
          <cell r="N1584">
            <v>53.264323406000642</v>
          </cell>
          <cell r="O1584" t="str">
            <v>信息技术</v>
          </cell>
          <cell r="P1584" t="str">
            <v>技术硬件与设备</v>
          </cell>
          <cell r="Q1584" t="str">
            <v>电子设备、仪器和元件</v>
          </cell>
          <cell r="BC1584">
            <v>0</v>
          </cell>
          <cell r="BD1584">
            <v>0</v>
          </cell>
          <cell r="BE1584">
            <v>-6.5102206585496744E-2</v>
          </cell>
          <cell r="BF1584">
            <v>0.3960240173339844</v>
          </cell>
          <cell r="BG1584">
            <v>0.2090760040283203</v>
          </cell>
        </row>
        <row r="1585">
          <cell r="D1585" t="str">
            <v>建筑产品</v>
          </cell>
          <cell r="M1585">
            <v>41.539259999999999</v>
          </cell>
          <cell r="N1585">
            <v>24.028040528030868</v>
          </cell>
          <cell r="O1585" t="str">
            <v>工业</v>
          </cell>
          <cell r="P1585" t="str">
            <v>资本货物</v>
          </cell>
          <cell r="Q1585" t="str">
            <v>建筑产品Ⅲ</v>
          </cell>
          <cell r="BC1585">
            <v>2.0161290322580215E-3</v>
          </cell>
          <cell r="BD1585">
            <v>9.8747236551215908E-2</v>
          </cell>
          <cell r="BE1585">
            <v>-6.1674008810572709E-2</v>
          </cell>
          <cell r="BF1585">
            <v>0.12016799926757812</v>
          </cell>
          <cell r="BG1585">
            <v>0.12350399971008301</v>
          </cell>
        </row>
        <row r="1586">
          <cell r="D1586" t="str">
            <v>房地产开发</v>
          </cell>
          <cell r="M1586">
            <v>318.41057147999993</v>
          </cell>
          <cell r="N1586">
            <v>184.15513730392627</v>
          </cell>
          <cell r="O1586" t="str">
            <v>金融</v>
          </cell>
          <cell r="P1586" t="str">
            <v>房地产</v>
          </cell>
          <cell r="Q1586" t="str">
            <v>房地产管理与开发</v>
          </cell>
          <cell r="BC1586">
            <v>2.0854021847070414E-2</v>
          </cell>
          <cell r="BD1586">
            <v>-4.770727188513206E-2</v>
          </cell>
          <cell r="BE1586">
            <v>4.042446377365163E-2</v>
          </cell>
          <cell r="BF1586">
            <v>0.67378799438476566</v>
          </cell>
          <cell r="BG1586">
            <v>0.2070599937438965</v>
          </cell>
        </row>
        <row r="1587">
          <cell r="D1587" t="str">
            <v>电子设备和仪器</v>
          </cell>
          <cell r="M1587">
            <v>140.70000000000002</v>
          </cell>
          <cell r="N1587">
            <v>81.363188644990714</v>
          </cell>
          <cell r="O1587" t="str">
            <v>信息技术</v>
          </cell>
          <cell r="P1587" t="str">
            <v>技术硬件与设备</v>
          </cell>
          <cell r="Q1587" t="str">
            <v>电子设备、仪器和元件</v>
          </cell>
          <cell r="BC1587">
            <v>1.357466063348425E-2</v>
          </cell>
          <cell r="BD1587">
            <v>3.0358785648574117E-2</v>
          </cell>
          <cell r="BE1587">
            <v>2.9625494936756809</v>
          </cell>
          <cell r="BF1587">
            <v>1.1294879913330078</v>
          </cell>
          <cell r="BG1587">
            <v>0.50076000213623051</v>
          </cell>
        </row>
        <row r="1588">
          <cell r="D1588" t="str">
            <v>重型电气设备</v>
          </cell>
          <cell r="M1588">
            <v>49.216317753200002</v>
          </cell>
          <cell r="N1588">
            <v>28.457149428858699</v>
          </cell>
          <cell r="O1588" t="str">
            <v>工业</v>
          </cell>
          <cell r="P1588" t="str">
            <v>资本货物</v>
          </cell>
          <cell r="Q1588" t="str">
            <v>电气设备</v>
          </cell>
          <cell r="BC1588">
            <v>7.0175438596491169E-2</v>
          </cell>
          <cell r="BD1588">
            <v>3.2552083333333336E-2</v>
          </cell>
          <cell r="BE1588">
            <v>9.9197034426782682E-2</v>
          </cell>
          <cell r="BF1588">
            <v>0.12021599769592285</v>
          </cell>
          <cell r="BG1588">
            <v>2.2871999740600585E-2</v>
          </cell>
        </row>
        <row r="1589">
          <cell r="D1589" t="str">
            <v>金属非金属</v>
          </cell>
          <cell r="M1589">
            <v>64.24278566240001</v>
          </cell>
          <cell r="N1589">
            <v>37.142254337360896</v>
          </cell>
          <cell r="O1589" t="str">
            <v>材料</v>
          </cell>
          <cell r="P1589" t="str">
            <v>材料Ⅱ</v>
          </cell>
          <cell r="Q1589" t="str">
            <v>金属、非金属与采矿</v>
          </cell>
          <cell r="BC1589">
            <v>-3.7174721189590287E-3</v>
          </cell>
          <cell r="BD1589">
            <v>-7.2664359861591685E-2</v>
          </cell>
          <cell r="BE1589">
            <v>-0.35689838719057465</v>
          </cell>
          <cell r="BF1589">
            <v>0.19134000778198243</v>
          </cell>
          <cell r="BG1589">
            <v>8.5475997924804689E-2</v>
          </cell>
        </row>
        <row r="1590">
          <cell r="D1590" t="str">
            <v>啤酒</v>
          </cell>
          <cell r="M1590">
            <v>202.08927074970001</v>
          </cell>
          <cell r="N1590">
            <v>116.82908010150928</v>
          </cell>
          <cell r="O1590" t="str">
            <v>日常消费</v>
          </cell>
          <cell r="P1590" t="str">
            <v>食品、饮料与烟草</v>
          </cell>
          <cell r="Q1590" t="str">
            <v>饮料</v>
          </cell>
          <cell r="BC1590">
            <v>9.8591549295775054E-3</v>
          </cell>
          <cell r="BD1590">
            <v>1.3966480446927076E-3</v>
          </cell>
          <cell r="BE1590">
            <v>-0.21542167487060471</v>
          </cell>
          <cell r="BF1590">
            <v>4.1556000709533691E-2</v>
          </cell>
          <cell r="BG1590">
            <v>-2.2260000705718996E-2</v>
          </cell>
        </row>
        <row r="1591">
          <cell r="D1591" t="str">
            <v>工业机械</v>
          </cell>
          <cell r="M1591">
            <v>138.58960999999999</v>
          </cell>
          <cell r="N1591">
            <v>80.111847210670845</v>
          </cell>
          <cell r="O1591" t="str">
            <v>工业</v>
          </cell>
          <cell r="P1591" t="str">
            <v>资本货物</v>
          </cell>
          <cell r="Q1591" t="str">
            <v>机械</v>
          </cell>
          <cell r="BC1591">
            <v>1.9558676028084102E-2</v>
          </cell>
          <cell r="BD1591">
            <v>-5.4858205485820696E-2</v>
          </cell>
          <cell r="BE1591">
            <v>-4.9381838400334395E-2</v>
          </cell>
          <cell r="BF1591">
            <v>0.37093200683593752</v>
          </cell>
          <cell r="BG1591">
            <v>0</v>
          </cell>
        </row>
        <row r="1592">
          <cell r="D1592" t="str">
            <v>机动车零配件与设备</v>
          </cell>
          <cell r="M1592">
            <v>57.178452248799992</v>
          </cell>
          <cell r="N1592">
            <v>33.051510786012727</v>
          </cell>
          <cell r="O1592" t="str">
            <v>可选消费</v>
          </cell>
          <cell r="P1592" t="str">
            <v>汽车与汽车零部件</v>
          </cell>
          <cell r="Q1592" t="str">
            <v>汽车零配件</v>
          </cell>
          <cell r="BC1592">
            <v>2.4232633279482951E-2</v>
          </cell>
          <cell r="BD1592">
            <v>6.3492063492063553E-3</v>
          </cell>
          <cell r="BE1592">
            <v>-0.21399412101769885</v>
          </cell>
          <cell r="BF1592">
            <v>0.39111598968505862</v>
          </cell>
          <cell r="BG1592">
            <v>2.4948000907897949E-2</v>
          </cell>
        </row>
        <row r="1593">
          <cell r="D1593" t="str">
            <v>电子设备和仪器</v>
          </cell>
          <cell r="M1593">
            <v>67.95</v>
          </cell>
          <cell r="N1593">
            <v>39.270166670061847</v>
          </cell>
          <cell r="O1593" t="str">
            <v>信息技术</v>
          </cell>
          <cell r="P1593" t="str">
            <v>技术硬件与设备</v>
          </cell>
          <cell r="Q1593" t="str">
            <v>电子设备、仪器和元件</v>
          </cell>
          <cell r="BC1593">
            <v>0</v>
          </cell>
          <cell r="BD1593">
            <v>0</v>
          </cell>
          <cell r="BE1593">
            <v>-1.7474229510676419E-2</v>
          </cell>
          <cell r="BF1593">
            <v>0.39113998413085938</v>
          </cell>
          <cell r="BG1593">
            <v>0</v>
          </cell>
        </row>
        <row r="1594">
          <cell r="D1594" t="str">
            <v>铝</v>
          </cell>
          <cell r="M1594">
            <v>57.640052789099997</v>
          </cell>
          <cell r="N1594">
            <v>33.3107247637884</v>
          </cell>
          <cell r="O1594" t="str">
            <v>材料</v>
          </cell>
          <cell r="P1594" t="str">
            <v>材料Ⅱ</v>
          </cell>
          <cell r="Q1594" t="str">
            <v>金属、非金属与采矿</v>
          </cell>
          <cell r="BC1594">
            <v>0</v>
          </cell>
          <cell r="BD1594">
            <v>0</v>
          </cell>
          <cell r="BE1594">
            <v>6.8489614886471414E-2</v>
          </cell>
          <cell r="BF1594">
            <v>0.26512800216674803</v>
          </cell>
          <cell r="BG1594">
            <v>0.15732000350952149</v>
          </cell>
        </row>
        <row r="1595">
          <cell r="D1595" t="str">
            <v>电子设备和仪器</v>
          </cell>
          <cell r="M1595">
            <v>29.73912</v>
          </cell>
          <cell r="N1595">
            <v>17.179409292408888</v>
          </cell>
          <cell r="O1595" t="str">
            <v>信息技术</v>
          </cell>
          <cell r="P1595" t="str">
            <v>技术硬件与设备</v>
          </cell>
          <cell r="Q1595" t="str">
            <v>电子设备、仪器和元件</v>
          </cell>
          <cell r="BC1595">
            <v>1.6880580357142769E-2</v>
          </cell>
          <cell r="BD1595">
            <v>-2.8780812791472307E-2</v>
          </cell>
          <cell r="BE1595">
            <v>0.22517226233635462</v>
          </cell>
          <cell r="BF1595">
            <v>0</v>
          </cell>
          <cell r="BG1595">
            <v>0</v>
          </cell>
        </row>
        <row r="1596">
          <cell r="D1596" t="str">
            <v>服装、服饰与奢侈品</v>
          </cell>
          <cell r="M1596">
            <v>134.13059999999999</v>
          </cell>
          <cell r="N1596">
            <v>77.456282300208329</v>
          </cell>
          <cell r="O1596" t="str">
            <v>可选消费</v>
          </cell>
          <cell r="P1596" t="str">
            <v>耐用消费品与服装</v>
          </cell>
          <cell r="Q1596" t="str">
            <v>纺织品、服装与奢侈品</v>
          </cell>
          <cell r="BC1596">
            <v>0.193258426966292</v>
          </cell>
          <cell r="BD1596">
            <v>7.2727272727272613E-2</v>
          </cell>
          <cell r="BE1596">
            <v>-0.2062460279572646</v>
          </cell>
          <cell r="BF1596">
            <v>0.18593999862670899</v>
          </cell>
          <cell r="BG1596">
            <v>-5.7431998252868655E-2</v>
          </cell>
        </row>
        <row r="1597">
          <cell r="D1597" t="str">
            <v>贸易公司与工业品经销商</v>
          </cell>
          <cell r="M1597">
            <v>56.177004000000004</v>
          </cell>
          <cell r="N1597">
            <v>32.438697774808332</v>
          </cell>
          <cell r="O1597" t="str">
            <v>工业</v>
          </cell>
          <cell r="P1597" t="str">
            <v>资本货物</v>
          </cell>
          <cell r="Q1597" t="str">
            <v>贸易公司与工业品经销商Ⅲ</v>
          </cell>
          <cell r="BC1597">
            <v>2.2078621432417886E-2</v>
          </cell>
          <cell r="BD1597">
            <v>-0.11059044048734767</v>
          </cell>
          <cell r="BE1597">
            <v>-0.15220694313183131</v>
          </cell>
          <cell r="BF1597">
            <v>0.75222000122070309</v>
          </cell>
          <cell r="BG1597">
            <v>0.22371599197387695</v>
          </cell>
        </row>
        <row r="1598">
          <cell r="D1598" t="str">
            <v>海运</v>
          </cell>
          <cell r="M1598">
            <v>71.908761120099996</v>
          </cell>
          <cell r="N1598">
            <v>41.522516900958578</v>
          </cell>
          <cell r="O1598" t="str">
            <v>工业</v>
          </cell>
          <cell r="P1598" t="str">
            <v>运输</v>
          </cell>
          <cell r="Q1598" t="str">
            <v>海运Ⅲ</v>
          </cell>
          <cell r="BC1598">
            <v>1.0620915032679657E-2</v>
          </cell>
          <cell r="BD1598">
            <v>-3.7354085603112874E-2</v>
          </cell>
          <cell r="BE1598">
            <v>0.70620689655172408</v>
          </cell>
          <cell r="BF1598">
            <v>0.78908401489257818</v>
          </cell>
          <cell r="BG1598">
            <v>0.22255199432373046</v>
          </cell>
        </row>
        <row r="1599">
          <cell r="D1599" t="str">
            <v>化肥与农用化工</v>
          </cell>
          <cell r="M1599">
            <v>38.668500000000002</v>
          </cell>
          <cell r="N1599">
            <v>22.32486457061481</v>
          </cell>
          <cell r="O1599" t="str">
            <v>材料</v>
          </cell>
          <cell r="P1599" t="str">
            <v>材料Ⅱ</v>
          </cell>
          <cell r="Q1599" t="str">
            <v>化工</v>
          </cell>
          <cell r="BC1599">
            <v>2.959501557632405E-2</v>
          </cell>
          <cell r="BD1599">
            <v>1.6923076923076971E-2</v>
          </cell>
          <cell r="BE1599">
            <v>-0.3027426160337553</v>
          </cell>
          <cell r="BF1599">
            <v>0.20423999786376953</v>
          </cell>
          <cell r="BG1599">
            <v>5.0915999412536619E-2</v>
          </cell>
        </row>
        <row r="1600">
          <cell r="D1600" t="str">
            <v>基础化工</v>
          </cell>
          <cell r="M1600">
            <v>105.73636090079998</v>
          </cell>
          <cell r="N1600">
            <v>61.041487702131477</v>
          </cell>
          <cell r="O1600" t="str">
            <v>材料</v>
          </cell>
          <cell r="P1600" t="str">
            <v>材料Ⅱ</v>
          </cell>
          <cell r="Q1600" t="str">
            <v>化工</v>
          </cell>
          <cell r="BC1600">
            <v>7.3993471164309002E-2</v>
          </cell>
          <cell r="BD1600">
            <v>0.21327596803933613</v>
          </cell>
          <cell r="BE1600">
            <v>0.18701142513529764</v>
          </cell>
          <cell r="BF1600">
            <v>0.46846801757812501</v>
          </cell>
          <cell r="BG1600">
            <v>0.23461200714111327</v>
          </cell>
        </row>
        <row r="1601">
          <cell r="D1601" t="str">
            <v>化纤</v>
          </cell>
          <cell r="M1601">
            <v>50.190799999999996</v>
          </cell>
          <cell r="N1601">
            <v>28.969525334507246</v>
          </cell>
          <cell r="O1601" t="str">
            <v>材料</v>
          </cell>
          <cell r="P1601" t="str">
            <v>材料Ⅱ</v>
          </cell>
          <cell r="Q1601" t="str">
            <v>化工</v>
          </cell>
          <cell r="BC1601">
            <v>5.5695405915670106E-2</v>
          </cell>
          <cell r="BD1601">
            <v>4.5171339563862795E-2</v>
          </cell>
          <cell r="BE1601">
            <v>0.43346341182170517</v>
          </cell>
          <cell r="BF1601">
            <v>0</v>
          </cell>
          <cell r="BG1601">
            <v>0</v>
          </cell>
        </row>
        <row r="1602">
          <cell r="D1602" t="str">
            <v>房地产开发</v>
          </cell>
          <cell r="M1602">
            <v>80.210879440499994</v>
          </cell>
          <cell r="N1602">
            <v>46.295798158816673</v>
          </cell>
          <cell r="O1602" t="str">
            <v>金融</v>
          </cell>
          <cell r="P1602" t="str">
            <v>房地产</v>
          </cell>
          <cell r="Q1602" t="str">
            <v>房地产管理与开发</v>
          </cell>
          <cell r="BC1602">
            <v>5.7142857142857106E-2</v>
          </cell>
          <cell r="BD1602">
            <v>-3.5906642728905673E-3</v>
          </cell>
          <cell r="BE1602">
            <v>-0.14423283033594211</v>
          </cell>
          <cell r="BF1602">
            <v>0.25839599609375002</v>
          </cell>
          <cell r="BG1602">
            <v>6.0900001525878905E-2</v>
          </cell>
        </row>
        <row r="1603">
          <cell r="D1603" t="str">
            <v>金属非金属</v>
          </cell>
          <cell r="M1603">
            <v>56.195613000000002</v>
          </cell>
          <cell r="N1603">
            <v>32.43299590861389</v>
          </cell>
          <cell r="O1603" t="str">
            <v>材料</v>
          </cell>
          <cell r="P1603" t="str">
            <v>材料Ⅱ</v>
          </cell>
          <cell r="Q1603" t="str">
            <v>金属、非金属与采矿</v>
          </cell>
          <cell r="BC1603">
            <v>4.9883990719257719E-2</v>
          </cell>
          <cell r="BD1603">
            <v>-8.7623220153340703E-3</v>
          </cell>
          <cell r="BE1603">
            <v>-0.22913117546848377</v>
          </cell>
          <cell r="BF1603">
            <v>0.14989199638366699</v>
          </cell>
          <cell r="BG1603">
            <v>-6.7079997062683104E-3</v>
          </cell>
        </row>
        <row r="1604">
          <cell r="D1604" t="str">
            <v>钢铁</v>
          </cell>
          <cell r="M1604">
            <v>320.68195713040001</v>
          </cell>
          <cell r="N1604">
            <v>185.0137444106322</v>
          </cell>
          <cell r="O1604" t="str">
            <v>材料</v>
          </cell>
          <cell r="P1604" t="str">
            <v>材料Ⅱ</v>
          </cell>
          <cell r="Q1604" t="str">
            <v>金属、非金属与采矿</v>
          </cell>
          <cell r="BC1604">
            <v>-1.6286644951140006E-2</v>
          </cell>
          <cell r="BD1604">
            <v>-2.8938906752411533E-2</v>
          </cell>
          <cell r="BE1604">
            <v>-0.25798525798525801</v>
          </cell>
          <cell r="BF1604">
            <v>0.44971199035644532</v>
          </cell>
          <cell r="BG1604">
            <v>4.7220001220703127E-2</v>
          </cell>
        </row>
        <row r="1605">
          <cell r="D1605" t="str">
            <v>电子元件</v>
          </cell>
          <cell r="M1605">
            <v>148.37925385640003</v>
          </cell>
          <cell r="N1605">
            <v>85.603822529402677</v>
          </cell>
          <cell r="O1605" t="str">
            <v>信息技术</v>
          </cell>
          <cell r="P1605" t="str">
            <v>技术硬件与设备</v>
          </cell>
          <cell r="Q1605" t="str">
            <v>电子设备、仪器和元件</v>
          </cell>
          <cell r="BC1605">
            <v>7.6829761423372941E-3</v>
          </cell>
          <cell r="BD1605">
            <v>-7.6695072248980992E-2</v>
          </cell>
          <cell r="BE1605">
            <v>1.9024812177641901</v>
          </cell>
          <cell r="BF1605">
            <v>0.97855201721191409</v>
          </cell>
          <cell r="BG1605">
            <v>0.34276798248291018</v>
          </cell>
        </row>
        <row r="1606">
          <cell r="D1606" t="str">
            <v>轮胎与橡胶</v>
          </cell>
          <cell r="M1606">
            <v>83.207358973200002</v>
          </cell>
          <cell r="N1606">
            <v>48.001848661482356</v>
          </cell>
          <cell r="O1606" t="str">
            <v>可选消费</v>
          </cell>
          <cell r="P1606" t="str">
            <v>汽车与汽车零部件</v>
          </cell>
          <cell r="Q1606" t="str">
            <v>汽车零配件</v>
          </cell>
          <cell r="BC1606">
            <v>6.5420560747663573E-2</v>
          </cell>
          <cell r="BD1606">
            <v>0.1582002902757621</v>
          </cell>
          <cell r="BE1606">
            <v>-0.19877828577948459</v>
          </cell>
          <cell r="BF1606">
            <v>6.0599999427795412E-2</v>
          </cell>
          <cell r="BG1606">
            <v>0</v>
          </cell>
        </row>
        <row r="1607">
          <cell r="D1607" t="str">
            <v>燃气</v>
          </cell>
          <cell r="M1607">
            <v>123.13164633250001</v>
          </cell>
          <cell r="N1607">
            <v>71.032331381451741</v>
          </cell>
          <cell r="O1607" t="str">
            <v>公用事业</v>
          </cell>
          <cell r="P1607" t="str">
            <v>公用事业Ⅱ</v>
          </cell>
          <cell r="Q1607" t="str">
            <v>燃气Ⅲ</v>
          </cell>
          <cell r="BC1607">
            <v>0</v>
          </cell>
          <cell r="BD1607">
            <v>0</v>
          </cell>
          <cell r="BE1607">
            <v>8.4957521239380274E-2</v>
          </cell>
          <cell r="BF1607">
            <v>0.85899597167968755</v>
          </cell>
          <cell r="BG1607">
            <v>0.36855598449707033</v>
          </cell>
        </row>
        <row r="1608">
          <cell r="D1608" t="str">
            <v>特种化工</v>
          </cell>
          <cell r="M1608">
            <v>33.302879999999995</v>
          </cell>
          <cell r="N1608">
            <v>19.209215227303787</v>
          </cell>
          <cell r="O1608" t="str">
            <v>材料</v>
          </cell>
          <cell r="P1608" t="str">
            <v>材料Ⅱ</v>
          </cell>
          <cell r="Q1608" t="str">
            <v>化工</v>
          </cell>
          <cell r="BC1608">
            <v>4.5855379188712485E-2</v>
          </cell>
          <cell r="BD1608">
            <v>8.3105022831050243E-2</v>
          </cell>
          <cell r="BE1608">
            <v>5.7119457522706923E-3</v>
          </cell>
          <cell r="BF1608">
            <v>0.52030799865722654</v>
          </cell>
          <cell r="BG1608">
            <v>0.2151959991455078</v>
          </cell>
        </row>
        <row r="1609">
          <cell r="D1609" t="str">
            <v>建筑产品</v>
          </cell>
          <cell r="M1609">
            <v>38.152626240000004</v>
          </cell>
          <cell r="N1609">
            <v>22.006508360334259</v>
          </cell>
          <cell r="O1609" t="str">
            <v>工业</v>
          </cell>
          <cell r="P1609" t="str">
            <v>资本货物</v>
          </cell>
          <cell r="Q1609" t="str">
            <v>建筑产品Ⅲ</v>
          </cell>
          <cell r="BC1609">
            <v>0</v>
          </cell>
          <cell r="BD1609">
            <v>5.1317614424410553E-2</v>
          </cell>
          <cell r="BE1609">
            <v>-0.13568985176738876</v>
          </cell>
          <cell r="BF1609">
            <v>0.16948799133300782</v>
          </cell>
          <cell r="BG1609">
            <v>9.810000419616699E-2</v>
          </cell>
        </row>
        <row r="1610">
          <cell r="D1610" t="str">
            <v>建筑机械与重型卡车</v>
          </cell>
          <cell r="M1610">
            <v>68.205847500000004</v>
          </cell>
          <cell r="N1610">
            <v>39.308511135052854</v>
          </cell>
          <cell r="O1610" t="str">
            <v>工业</v>
          </cell>
          <cell r="P1610" t="str">
            <v>资本货物</v>
          </cell>
          <cell r="Q1610" t="str">
            <v>机械</v>
          </cell>
          <cell r="BC1610">
            <v>0.19444444444444442</v>
          </cell>
          <cell r="BD1610">
            <v>0.13584905660377347</v>
          </cell>
          <cell r="BE1610">
            <v>-1.6988863323293094E-2</v>
          </cell>
          <cell r="BF1610">
            <v>0.24946800231933594</v>
          </cell>
          <cell r="BG1610">
            <v>6.7079997062683104E-3</v>
          </cell>
        </row>
        <row r="1611">
          <cell r="D1611" t="str">
            <v>白酒与葡萄酒</v>
          </cell>
          <cell r="M1611">
            <v>54.375136187400003</v>
          </cell>
          <cell r="N1611">
            <v>31.325123121658333</v>
          </cell>
          <cell r="O1611" t="str">
            <v>日常消费</v>
          </cell>
          <cell r="P1611" t="str">
            <v>食品、饮料与烟草</v>
          </cell>
          <cell r="Q1611" t="str">
            <v>饮料</v>
          </cell>
          <cell r="BC1611">
            <v>4.4090056285178293E-2</v>
          </cell>
          <cell r="BD1611">
            <v>2.7027027027028052E-3</v>
          </cell>
          <cell r="BE1611">
            <v>4.7036688617121354E-2</v>
          </cell>
          <cell r="BF1611">
            <v>0.16246799468994141</v>
          </cell>
          <cell r="BG1611">
            <v>-7.1244001388549805E-2</v>
          </cell>
        </row>
        <row r="1612">
          <cell r="D1612" t="str">
            <v>生物科技</v>
          </cell>
          <cell r="M1612">
            <v>46.529590500000005</v>
          </cell>
          <cell r="N1612">
            <v>26.800394328398099</v>
          </cell>
          <cell r="O1612" t="str">
            <v>医疗保健</v>
          </cell>
          <cell r="P1612" t="str">
            <v>制药、生物科技与生命科学</v>
          </cell>
          <cell r="Q1612" t="str">
            <v>生物科技Ⅲ</v>
          </cell>
          <cell r="BC1612">
            <v>-9.8126672613738797E-3</v>
          </cell>
          <cell r="BD1612">
            <v>-6.0118543607112683E-2</v>
          </cell>
          <cell r="BE1612">
            <v>-0.18442321822189567</v>
          </cell>
          <cell r="BF1612">
            <v>0.37543201446533203</v>
          </cell>
          <cell r="BG1612">
            <v>0</v>
          </cell>
        </row>
        <row r="1613">
          <cell r="D1613" t="str">
            <v>农产品</v>
          </cell>
          <cell r="M1613">
            <v>37.544318253</v>
          </cell>
          <cell r="N1613">
            <v>21.615621897270369</v>
          </cell>
          <cell r="O1613" t="str">
            <v>日常消费</v>
          </cell>
          <cell r="P1613" t="str">
            <v>食品、饮料与烟草</v>
          </cell>
          <cell r="Q1613" t="str">
            <v>食品</v>
          </cell>
          <cell r="BC1613">
            <v>2.6315789473684115E-2</v>
          </cell>
          <cell r="BD1613">
            <v>-4.4117647058823602E-2</v>
          </cell>
          <cell r="BE1613">
            <v>-0.21159029649595693</v>
          </cell>
          <cell r="BF1613">
            <v>0.14941200256347656</v>
          </cell>
          <cell r="BG1613">
            <v>-4.5995998382568362E-2</v>
          </cell>
        </row>
        <row r="1614">
          <cell r="D1614" t="str">
            <v>半导体产品</v>
          </cell>
          <cell r="M1614">
            <v>404.21663999999998</v>
          </cell>
          <cell r="N1614">
            <v>232.7038472820704</v>
          </cell>
          <cell r="O1614" t="str">
            <v>信息技术</v>
          </cell>
          <cell r="P1614" t="str">
            <v>半导体与半导体生产设备</v>
          </cell>
          <cell r="Q1614" t="str">
            <v>半导体产品与半导体设备</v>
          </cell>
          <cell r="BC1614">
            <v>-1.2468827930174299E-3</v>
          </cell>
          <cell r="BD1614">
            <v>-4.9822064056939494E-2</v>
          </cell>
          <cell r="BE1614">
            <v>5.5655735910012512</v>
          </cell>
          <cell r="BF1614">
            <v>-0.40351200103759766</v>
          </cell>
          <cell r="BG1614">
            <v>0</v>
          </cell>
        </row>
        <row r="1615">
          <cell r="D1615" t="str">
            <v>基础化工</v>
          </cell>
          <cell r="M1615">
            <v>24.35</v>
          </cell>
          <cell r="N1615">
            <v>14.016106580312115</v>
          </cell>
          <cell r="O1615" t="str">
            <v>材料</v>
          </cell>
          <cell r="P1615" t="str">
            <v>材料Ⅱ</v>
          </cell>
          <cell r="Q1615" t="str">
            <v>化工</v>
          </cell>
          <cell r="BC1615">
            <v>0</v>
          </cell>
          <cell r="BD1615">
            <v>0</v>
          </cell>
          <cell r="BE1615">
            <v>-5.2529182879377349E-2</v>
          </cell>
          <cell r="BF1615">
            <v>0.4557120132446289</v>
          </cell>
          <cell r="BG1615">
            <v>0</v>
          </cell>
        </row>
        <row r="1616">
          <cell r="D1616" t="str">
            <v>航空货运与物流</v>
          </cell>
          <cell r="M1616">
            <v>119.1853432254</v>
          </cell>
          <cell r="N1616">
            <v>68.600490529914481</v>
          </cell>
          <cell r="O1616" t="str">
            <v>工业</v>
          </cell>
          <cell r="P1616" t="str">
            <v>运输</v>
          </cell>
          <cell r="Q1616" t="str">
            <v>航空货运与物流Ⅲ</v>
          </cell>
          <cell r="BC1616">
            <v>1.6983016983016977E-2</v>
          </cell>
          <cell r="BD1616">
            <v>-4.9486461251167235E-2</v>
          </cell>
          <cell r="BE1616">
            <v>-0.17903225806451617</v>
          </cell>
          <cell r="BF1616">
            <v>0.29264400482177733</v>
          </cell>
          <cell r="BG1616">
            <v>0.45501598358154299</v>
          </cell>
        </row>
        <row r="1617">
          <cell r="D1617" t="str">
            <v>铝</v>
          </cell>
          <cell r="M1617">
            <v>57.123440000000009</v>
          </cell>
          <cell r="N1617">
            <v>32.874257824108113</v>
          </cell>
          <cell r="O1617" t="str">
            <v>材料</v>
          </cell>
          <cell r="P1617" t="str">
            <v>材料Ⅱ</v>
          </cell>
          <cell r="Q1617" t="str">
            <v>金属、非金属与采矿</v>
          </cell>
          <cell r="BC1617">
            <v>7.5851393188854518E-2</v>
          </cell>
          <cell r="BD1617">
            <v>0.13008130081300809</v>
          </cell>
          <cell r="BE1617">
            <v>-0.12902830244169922</v>
          </cell>
          <cell r="BF1617">
            <v>0.2740679931640625</v>
          </cell>
          <cell r="BG1617">
            <v>0</v>
          </cell>
        </row>
        <row r="1618">
          <cell r="D1618" t="str">
            <v>农产品</v>
          </cell>
          <cell r="M1618">
            <v>35.938507644000005</v>
          </cell>
          <cell r="N1618">
            <v>20.665780430678073</v>
          </cell>
          <cell r="O1618" t="str">
            <v>日常消费</v>
          </cell>
          <cell r="P1618" t="str">
            <v>食品、饮料与烟草</v>
          </cell>
          <cell r="Q1618" t="str">
            <v>食品</v>
          </cell>
          <cell r="BC1618">
            <v>0.10175438596491218</v>
          </cell>
          <cell r="BD1618">
            <v>6.081081081081071E-2</v>
          </cell>
          <cell r="BE1618">
            <v>-0.26463700234192039</v>
          </cell>
          <cell r="BF1618">
            <v>0.16640399932861327</v>
          </cell>
          <cell r="BG1618">
            <v>-1.3788000345230103E-2</v>
          </cell>
        </row>
        <row r="1619">
          <cell r="D1619" t="str">
            <v>综合类行业</v>
          </cell>
          <cell r="M1619">
            <v>81.631200000000007</v>
          </cell>
          <cell r="N1619">
            <v>46.935647959194071</v>
          </cell>
          <cell r="O1619" t="str">
            <v>工业</v>
          </cell>
          <cell r="P1619" t="str">
            <v>资本货物</v>
          </cell>
          <cell r="Q1619" t="str">
            <v>综合类Ⅲ</v>
          </cell>
          <cell r="BC1619">
            <v>8.9285714285714645E-3</v>
          </cell>
          <cell r="BD1619">
            <v>1.5404364569961502E-2</v>
          </cell>
          <cell r="BE1619">
            <v>-0.25384844237506576</v>
          </cell>
          <cell r="BF1619">
            <v>6.2375998497009276E-2</v>
          </cell>
          <cell r="BG1619">
            <v>-0.14350799560546876</v>
          </cell>
        </row>
        <row r="1620">
          <cell r="D1620" t="str">
            <v>金属非金属</v>
          </cell>
          <cell r="M1620">
            <v>60.602564021999989</v>
          </cell>
          <cell r="N1620">
            <v>34.844398958481477</v>
          </cell>
          <cell r="O1620" t="str">
            <v>材料</v>
          </cell>
          <cell r="P1620" t="str">
            <v>材料Ⅱ</v>
          </cell>
          <cell r="Q1620" t="str">
            <v>金属、非金属与采矿</v>
          </cell>
          <cell r="BC1620">
            <v>-3.777971519906996E-2</v>
          </cell>
          <cell r="BD1620">
            <v>0.20094305404425097</v>
          </cell>
          <cell r="BE1620">
            <v>0.88124999999999987</v>
          </cell>
          <cell r="BF1620">
            <v>0.42914398193359377</v>
          </cell>
          <cell r="BG1620">
            <v>0.2120159912109375</v>
          </cell>
        </row>
        <row r="1621">
          <cell r="D1621" t="str">
            <v>房地产经营公司</v>
          </cell>
          <cell r="M1621">
            <v>197.28013768900001</v>
          </cell>
          <cell r="N1621">
            <v>113.42035233623655</v>
          </cell>
          <cell r="O1621" t="str">
            <v>金融</v>
          </cell>
          <cell r="P1621" t="str">
            <v>房地产</v>
          </cell>
          <cell r="Q1621" t="str">
            <v>房地产管理与开发</v>
          </cell>
          <cell r="BC1621">
            <v>3.6377415687760546E-2</v>
          </cell>
          <cell r="BD1621">
            <v>3.2854984894259857E-2</v>
          </cell>
          <cell r="BE1621">
            <v>2.9527175205488749E-3</v>
          </cell>
          <cell r="BF1621">
            <v>0.60086399078369146</v>
          </cell>
          <cell r="BG1621">
            <v>0.37321201324462888</v>
          </cell>
        </row>
        <row r="1622">
          <cell r="D1622" t="str">
            <v>电气部件与设备</v>
          </cell>
          <cell r="M1622">
            <v>90.173999999999992</v>
          </cell>
          <cell r="N1622">
            <v>51.827868634981478</v>
          </cell>
          <cell r="O1622" t="str">
            <v>工业</v>
          </cell>
          <cell r="P1622" t="str">
            <v>资本货物</v>
          </cell>
          <cell r="Q1622" t="str">
            <v>电气设备</v>
          </cell>
          <cell r="BC1622">
            <v>2.2868032396379249E-2</v>
          </cell>
          <cell r="BD1622">
            <v>-8.2870568133276437E-2</v>
          </cell>
          <cell r="BE1622">
            <v>-0.31841269841269842</v>
          </cell>
          <cell r="BF1622">
            <v>0.94132797241210941</v>
          </cell>
          <cell r="BG1622">
            <v>0</v>
          </cell>
        </row>
        <row r="1623">
          <cell r="D1623" t="str">
            <v>基础化工</v>
          </cell>
          <cell r="M1623">
            <v>29.027699999999999</v>
          </cell>
          <cell r="N1623">
            <v>16.682783047844442</v>
          </cell>
          <cell r="O1623" t="str">
            <v>材料</v>
          </cell>
          <cell r="P1623" t="str">
            <v>材料Ⅱ</v>
          </cell>
          <cell r="Q1623" t="str">
            <v>化工</v>
          </cell>
          <cell r="BC1623">
            <v>3.8461538461538464E-2</v>
          </cell>
          <cell r="BD1623">
            <v>-5.9233449477351895E-2</v>
          </cell>
          <cell r="BE1623">
            <v>-1.8895348837209287E-2</v>
          </cell>
          <cell r="BF1623">
            <v>0.39950401306152344</v>
          </cell>
          <cell r="BG1623">
            <v>0.2184600067138672</v>
          </cell>
        </row>
        <row r="1624">
          <cell r="D1624" t="str">
            <v>轮胎与橡胶</v>
          </cell>
          <cell r="M1624">
            <v>472.61057978160005</v>
          </cell>
          <cell r="N1624">
            <v>271.60622601781762</v>
          </cell>
          <cell r="O1624" t="str">
            <v>可选消费</v>
          </cell>
          <cell r="P1624" t="str">
            <v>汽车与汽车零部件</v>
          </cell>
          <cell r="Q1624" t="str">
            <v>汽车零配件</v>
          </cell>
          <cell r="BC1624">
            <v>0.10113468179575731</v>
          </cell>
          <cell r="BD1624">
            <v>-4.3291898842691731E-2</v>
          </cell>
          <cell r="BE1624">
            <v>0.16143700442165257</v>
          </cell>
          <cell r="BF1624">
            <v>0.50559600830078122</v>
          </cell>
          <cell r="BG1624">
            <v>0.11377200126647949</v>
          </cell>
        </row>
        <row r="1625">
          <cell r="D1625" t="str">
            <v>电子设备和仪器</v>
          </cell>
          <cell r="M1625">
            <v>59.127377000000003</v>
          </cell>
          <cell r="N1625">
            <v>33.975072408469664</v>
          </cell>
          <cell r="O1625" t="str">
            <v>信息技术</v>
          </cell>
          <cell r="P1625" t="str">
            <v>技术硬件与设备</v>
          </cell>
          <cell r="Q1625" t="str">
            <v>电子设备、仪器和元件</v>
          </cell>
          <cell r="BC1625">
            <v>0</v>
          </cell>
          <cell r="BD1625">
            <v>0</v>
          </cell>
          <cell r="BE1625">
            <v>1.3057430614275058</v>
          </cell>
          <cell r="BF1625">
            <v>0</v>
          </cell>
          <cell r="BG1625">
            <v>0</v>
          </cell>
        </row>
        <row r="1626">
          <cell r="D1626" t="str">
            <v>工业机械</v>
          </cell>
          <cell r="M1626">
            <v>34.260936582000006</v>
          </cell>
          <cell r="N1626">
            <v>19.684064908405091</v>
          </cell>
          <cell r="O1626" t="str">
            <v>工业</v>
          </cell>
          <cell r="P1626" t="str">
            <v>资本货物</v>
          </cell>
          <cell r="Q1626" t="str">
            <v>机械</v>
          </cell>
          <cell r="BC1626">
            <v>3.4979423868312744E-2</v>
          </cell>
          <cell r="BD1626">
            <v>3.3915724563206587E-2</v>
          </cell>
          <cell r="BE1626">
            <v>-0.20660741400137053</v>
          </cell>
          <cell r="BF1626">
            <v>0.23530799865722657</v>
          </cell>
          <cell r="BG1626">
            <v>5.9544000625610355E-2</v>
          </cell>
        </row>
        <row r="1627">
          <cell r="D1627" t="str">
            <v>贵金属与矿石</v>
          </cell>
          <cell r="M1627">
            <v>45.384029333800001</v>
          </cell>
          <cell r="N1627">
            <v>26.072600971423281</v>
          </cell>
          <cell r="O1627" t="str">
            <v>材料</v>
          </cell>
          <cell r="P1627" t="str">
            <v>材料Ⅱ</v>
          </cell>
          <cell r="Q1627" t="str">
            <v>金属、非金属与采矿</v>
          </cell>
          <cell r="BC1627">
            <v>5.202312138728315E-3</v>
          </cell>
          <cell r="BD1627">
            <v>-2.138435565559927E-2</v>
          </cell>
          <cell r="BE1627">
            <v>-0.28710769728751462</v>
          </cell>
          <cell r="BF1627">
            <v>0.15717599868774415</v>
          </cell>
          <cell r="BG1627">
            <v>2.369999885559082E-2</v>
          </cell>
        </row>
        <row r="1628">
          <cell r="D1628" t="str">
            <v>电气部件与设备</v>
          </cell>
          <cell r="M1628">
            <v>167.26402553299999</v>
          </cell>
          <cell r="N1628">
            <v>96.077122818556106</v>
          </cell>
          <cell r="O1628" t="str">
            <v>工业</v>
          </cell>
          <cell r="P1628" t="str">
            <v>资本货物</v>
          </cell>
          <cell r="Q1628" t="str">
            <v>电气设备</v>
          </cell>
          <cell r="BC1628">
            <v>7.6407506702412795E-2</v>
          </cell>
          <cell r="BD1628">
            <v>0.17397660818713442</v>
          </cell>
          <cell r="BE1628">
            <v>7.5282308657465009E-3</v>
          </cell>
          <cell r="BF1628">
            <v>0.52575599670410156</v>
          </cell>
          <cell r="BG1628">
            <v>0.13961999893188476</v>
          </cell>
        </row>
        <row r="1629">
          <cell r="D1629" t="str">
            <v>食品加工与肉类</v>
          </cell>
          <cell r="M1629">
            <v>34.691665015000005</v>
          </cell>
          <cell r="N1629">
            <v>19.923445675803016</v>
          </cell>
          <cell r="O1629" t="str">
            <v>日常消费</v>
          </cell>
          <cell r="P1629" t="str">
            <v>食品、饮料与烟草</v>
          </cell>
          <cell r="Q1629" t="str">
            <v>食品</v>
          </cell>
          <cell r="BC1629">
            <v>6.9945704247844187E-2</v>
          </cell>
          <cell r="BD1629">
            <v>0.19642857142857142</v>
          </cell>
          <cell r="BE1629">
            <v>0.39177399252181139</v>
          </cell>
          <cell r="BF1629">
            <v>0.25484399795532225</v>
          </cell>
          <cell r="BG1629">
            <v>0.22042800903320312</v>
          </cell>
        </row>
        <row r="1630">
          <cell r="D1630" t="str">
            <v>建筑产品</v>
          </cell>
          <cell r="M1630">
            <v>140.44788499999999</v>
          </cell>
          <cell r="N1630">
            <v>80.64477099643112</v>
          </cell>
          <cell r="O1630" t="str">
            <v>工业</v>
          </cell>
          <cell r="P1630" t="str">
            <v>资本货物</v>
          </cell>
          <cell r="Q1630" t="str">
            <v>建筑产品Ⅲ</v>
          </cell>
          <cell r="BC1630">
            <v>6.1028770706189998E-2</v>
          </cell>
          <cell r="BD1630">
            <v>-1.0569105691056974E-2</v>
          </cell>
          <cell r="BE1630">
            <v>8.690452853502724E-2</v>
          </cell>
          <cell r="BF1630">
            <v>0.31184400558471681</v>
          </cell>
          <cell r="BG1630">
            <v>0</v>
          </cell>
        </row>
        <row r="1631">
          <cell r="D1631" t="str">
            <v>新能源发电业者</v>
          </cell>
          <cell r="M1631">
            <v>58.468715955</v>
          </cell>
          <cell r="N1631">
            <v>33.569098536458334</v>
          </cell>
          <cell r="O1631" t="str">
            <v>公用事业</v>
          </cell>
          <cell r="P1631" t="str">
            <v>公用事业Ⅱ</v>
          </cell>
          <cell r="Q1631" t="str">
            <v>独立电力生产商与能源贸易商Ⅲ</v>
          </cell>
          <cell r="BC1631">
            <v>-3.465346534653465E-2</v>
          </cell>
          <cell r="BD1631">
            <v>-6.2500000000000083E-2</v>
          </cell>
          <cell r="BE1631">
            <v>2.8119507908611466E-2</v>
          </cell>
          <cell r="BF1631">
            <v>0.34989601135253906</v>
          </cell>
          <cell r="BG1631">
            <v>0.1117080020904541</v>
          </cell>
        </row>
        <row r="1632">
          <cell r="D1632" t="str">
            <v>机动车零配件与设备</v>
          </cell>
          <cell r="M1632">
            <v>95.939117526000004</v>
          </cell>
          <cell r="N1632">
            <v>55.080344257532296</v>
          </cell>
          <cell r="O1632" t="str">
            <v>可选消费</v>
          </cell>
          <cell r="P1632" t="str">
            <v>汽车与汽车零部件</v>
          </cell>
          <cell r="Q1632" t="str">
            <v>汽车零配件</v>
          </cell>
          <cell r="BC1632">
            <v>5.3439803439803278E-2</v>
          </cell>
          <cell r="BD1632">
            <v>8.5443037974683403E-2</v>
          </cell>
          <cell r="BE1632">
            <v>0.30831366214116757</v>
          </cell>
          <cell r="BF1632">
            <v>0.67492797851562503</v>
          </cell>
          <cell r="BG1632">
            <v>0.11822400093078614</v>
          </cell>
        </row>
        <row r="1633">
          <cell r="D1633" t="str">
            <v>基础化工</v>
          </cell>
          <cell r="M1633">
            <v>172.58682929760002</v>
          </cell>
          <cell r="N1633">
            <v>99.081927294859341</v>
          </cell>
          <cell r="O1633" t="str">
            <v>材料</v>
          </cell>
          <cell r="P1633" t="str">
            <v>材料Ⅱ</v>
          </cell>
          <cell r="Q1633" t="str">
            <v>化工</v>
          </cell>
          <cell r="BC1633">
            <v>-1.6541353383458694E-2</v>
          </cell>
          <cell r="BD1633">
            <v>-3.3973412112259904E-2</v>
          </cell>
          <cell r="BE1633">
            <v>-0.11919191919191917</v>
          </cell>
          <cell r="BF1633">
            <v>1.0071600341796876</v>
          </cell>
          <cell r="BG1633">
            <v>0</v>
          </cell>
        </row>
        <row r="1634">
          <cell r="D1634" t="str">
            <v>电子元件</v>
          </cell>
          <cell r="M1634">
            <v>29.870746812</v>
          </cell>
          <cell r="N1634">
            <v>17.14774219389259</v>
          </cell>
          <cell r="O1634" t="str">
            <v>信息技术</v>
          </cell>
          <cell r="P1634" t="str">
            <v>技术硬件与设备</v>
          </cell>
          <cell r="Q1634" t="str">
            <v>电子设备、仪器和元件</v>
          </cell>
          <cell r="BC1634">
            <v>-1.6433853738701376E-3</v>
          </cell>
          <cell r="BD1634">
            <v>-5.373831775700931E-2</v>
          </cell>
          <cell r="BE1634">
            <v>7.8083407275953934E-2</v>
          </cell>
          <cell r="BF1634">
            <v>0.47947200775146487</v>
          </cell>
          <cell r="BG1634">
            <v>0.18565200805664062</v>
          </cell>
        </row>
        <row r="1635">
          <cell r="D1635" t="str">
            <v>电子设备和仪器</v>
          </cell>
          <cell r="M1635">
            <v>37.68</v>
          </cell>
          <cell r="N1635">
            <v>21.627905003424445</v>
          </cell>
          <cell r="O1635" t="str">
            <v>信息技术</v>
          </cell>
          <cell r="P1635" t="str">
            <v>技术硬件与设备</v>
          </cell>
          <cell r="Q1635" t="str">
            <v>电子设备、仪器和元件</v>
          </cell>
          <cell r="BC1635">
            <v>7.0454545454545353E-2</v>
          </cell>
          <cell r="BD1635">
            <v>5.3691275167785282E-2</v>
          </cell>
          <cell r="BE1635">
            <v>0</v>
          </cell>
          <cell r="BF1635">
            <v>0</v>
          </cell>
          <cell r="BG1635">
            <v>0</v>
          </cell>
        </row>
        <row r="1636">
          <cell r="D1636" t="str">
            <v>航空货运与物流</v>
          </cell>
          <cell r="M1636">
            <v>43.834895551999999</v>
          </cell>
          <cell r="N1636">
            <v>25.157935757058613</v>
          </cell>
          <cell r="O1636" t="str">
            <v>工业</v>
          </cell>
          <cell r="P1636" t="str">
            <v>运输</v>
          </cell>
          <cell r="Q1636" t="str">
            <v>航空货运与物流Ⅲ</v>
          </cell>
          <cell r="BC1636">
            <v>-2.0338983050847024E-3</v>
          </cell>
          <cell r="BD1636">
            <v>-9.914320685434512E-2</v>
          </cell>
          <cell r="BE1636">
            <v>-0.44585956152120132</v>
          </cell>
          <cell r="BF1636">
            <v>0.56017200469970707</v>
          </cell>
          <cell r="BG1636">
            <v>0.32298000335693361</v>
          </cell>
        </row>
        <row r="1637">
          <cell r="D1637" t="str">
            <v>工业机械</v>
          </cell>
          <cell r="M1637">
            <v>56.219614018899996</v>
          </cell>
          <cell r="N1637">
            <v>32.264035055600438</v>
          </cell>
          <cell r="O1637" t="str">
            <v>工业</v>
          </cell>
          <cell r="P1637" t="str">
            <v>资本货物</v>
          </cell>
          <cell r="Q1637" t="str">
            <v>机械</v>
          </cell>
          <cell r="BC1637">
            <v>3.2552083333333799E-3</v>
          </cell>
          <cell r="BD1637">
            <v>-5.9218559218559154E-2</v>
          </cell>
          <cell r="BE1637">
            <v>-0.46452042553203221</v>
          </cell>
          <cell r="BF1637">
            <v>0.25473600387573242</v>
          </cell>
          <cell r="BG1637">
            <v>8.2620000839233404E-2</v>
          </cell>
        </row>
        <row r="1638">
          <cell r="D1638" t="str">
            <v>建筑与工程</v>
          </cell>
          <cell r="M1638">
            <v>36.239999999999995</v>
          </cell>
          <cell r="N1638">
            <v>20.794890395695553</v>
          </cell>
          <cell r="O1638" t="str">
            <v>工业</v>
          </cell>
          <cell r="P1638" t="str">
            <v>资本货物</v>
          </cell>
          <cell r="Q1638" t="str">
            <v>建筑与工程Ⅲ</v>
          </cell>
          <cell r="BC1638">
            <v>2.1996615905245299E-2</v>
          </cell>
          <cell r="BD1638">
            <v>-0.10491997628927097</v>
          </cell>
          <cell r="BE1638">
            <v>0.3451184114727267</v>
          </cell>
          <cell r="BF1638">
            <v>0.61882801055908199</v>
          </cell>
          <cell r="BG1638">
            <v>0</v>
          </cell>
        </row>
        <row r="1639">
          <cell r="D1639" t="str">
            <v>房地产开发</v>
          </cell>
          <cell r="M1639">
            <v>106.9936779019</v>
          </cell>
          <cell r="N1639">
            <v>61.389461943465612</v>
          </cell>
          <cell r="O1639" t="str">
            <v>金融</v>
          </cell>
          <cell r="P1639" t="str">
            <v>房地产</v>
          </cell>
          <cell r="Q1639" t="str">
            <v>房地产管理与开发</v>
          </cell>
          <cell r="BC1639">
            <v>8.5143353605560426E-2</v>
          </cell>
          <cell r="BD1639">
            <v>-1.5987210231814208E-3</v>
          </cell>
          <cell r="BE1639">
            <v>0.36893687185897051</v>
          </cell>
          <cell r="BF1639">
            <v>0.604536018371582</v>
          </cell>
          <cell r="BG1639">
            <v>0.34675201416015627</v>
          </cell>
        </row>
        <row r="1640">
          <cell r="D1640" t="str">
            <v>工业机械</v>
          </cell>
          <cell r="M1640">
            <v>97.139975425000003</v>
          </cell>
          <cell r="N1640">
            <v>55.721481384784454</v>
          </cell>
          <cell r="O1640" t="str">
            <v>工业</v>
          </cell>
          <cell r="P1640" t="str">
            <v>资本货物</v>
          </cell>
          <cell r="Q1640" t="str">
            <v>机械</v>
          </cell>
          <cell r="BC1640">
            <v>0</v>
          </cell>
          <cell r="BD1640">
            <v>0</v>
          </cell>
          <cell r="BE1640">
            <v>-1.156396487767956E-2</v>
          </cell>
          <cell r="BF1640">
            <v>0.52085998535156253</v>
          </cell>
          <cell r="BG1640">
            <v>0.23993999481201173</v>
          </cell>
        </row>
        <row r="1641">
          <cell r="D1641" t="str">
            <v>建筑机械与重型卡车</v>
          </cell>
          <cell r="M1641">
            <v>56.152906799999997</v>
          </cell>
          <cell r="N1641">
            <v>32.207988703194452</v>
          </cell>
          <cell r="O1641" t="str">
            <v>工业</v>
          </cell>
          <cell r="P1641" t="str">
            <v>资本货物</v>
          </cell>
          <cell r="Q1641" t="str">
            <v>机械</v>
          </cell>
          <cell r="BC1641">
            <v>1.8583042973286893E-2</v>
          </cell>
          <cell r="BD1641">
            <v>3.5419126328217108E-2</v>
          </cell>
          <cell r="BE1641">
            <v>0.409967845659164</v>
          </cell>
          <cell r="BF1641">
            <v>0.59678398132324217</v>
          </cell>
          <cell r="BG1641">
            <v>2.8248000144958495E-2</v>
          </cell>
        </row>
        <row r="1642">
          <cell r="D1642" t="str">
            <v>基础化工</v>
          </cell>
          <cell r="M1642">
            <v>50.944000000000003</v>
          </cell>
          <cell r="N1642">
            <v>29.217419506834773</v>
          </cell>
          <cell r="O1642" t="str">
            <v>材料</v>
          </cell>
          <cell r="P1642" t="str">
            <v>材料Ⅱ</v>
          </cell>
          <cell r="Q1642" t="str">
            <v>化工</v>
          </cell>
          <cell r="BC1642">
            <v>2.051282051282053E-2</v>
          </cell>
          <cell r="BD1642">
            <v>-7.9768786127167673E-2</v>
          </cell>
          <cell r="BE1642">
            <v>0.1727224021822579</v>
          </cell>
          <cell r="BF1642">
            <v>0.74038803100585937</v>
          </cell>
          <cell r="BG1642">
            <v>0</v>
          </cell>
        </row>
        <row r="1643">
          <cell r="D1643" t="str">
            <v>信息科技咨询与其它服务</v>
          </cell>
          <cell r="M1643">
            <v>48.704694085</v>
          </cell>
          <cell r="N1643">
            <v>27.933038701697757</v>
          </cell>
          <cell r="O1643" t="str">
            <v>信息技术</v>
          </cell>
          <cell r="P1643" t="str">
            <v>软件与服务</v>
          </cell>
          <cell r="Q1643" t="str">
            <v>信息技术服务</v>
          </cell>
          <cell r="BC1643">
            <v>2.864583333333337E-2</v>
          </cell>
          <cell r="BD1643">
            <v>-2.6134122287968495E-2</v>
          </cell>
          <cell r="BE1643">
            <v>-0.27753822798966038</v>
          </cell>
          <cell r="BF1643">
            <v>0.76161598205566405</v>
          </cell>
          <cell r="BG1643">
            <v>0.25196399688720705</v>
          </cell>
        </row>
        <row r="1644">
          <cell r="D1644" t="str">
            <v>电影与娱乐</v>
          </cell>
          <cell r="M1644">
            <v>317.46400675500001</v>
          </cell>
          <cell r="N1644">
            <v>182.06421246549689</v>
          </cell>
          <cell r="O1644" t="str">
            <v>可选消费</v>
          </cell>
          <cell r="P1644" t="str">
            <v>媒体Ⅱ</v>
          </cell>
          <cell r="Q1644" t="str">
            <v>媒体Ⅲ</v>
          </cell>
          <cell r="BC1644">
            <v>0.11586314152410578</v>
          </cell>
          <cell r="BD1644">
            <v>3.9102099927588639E-2</v>
          </cell>
          <cell r="BE1644">
            <v>0.1118583943762351</v>
          </cell>
          <cell r="BF1644">
            <v>0.94349998474121088</v>
          </cell>
          <cell r="BG1644">
            <v>0.38210399627685548</v>
          </cell>
        </row>
        <row r="1645">
          <cell r="D1645" t="str">
            <v>电子设备和仪器</v>
          </cell>
          <cell r="M1645">
            <v>132.67430399999998</v>
          </cell>
          <cell r="N1645">
            <v>76.067205580317932</v>
          </cell>
          <cell r="O1645" t="str">
            <v>信息技术</v>
          </cell>
          <cell r="P1645" t="str">
            <v>技术硬件与设备</v>
          </cell>
          <cell r="Q1645" t="str">
            <v>电子设备、仪器和元件</v>
          </cell>
          <cell r="BC1645">
            <v>1.6900963512873055E-2</v>
          </cell>
          <cell r="BD1645">
            <v>-3.2170775706554432E-2</v>
          </cell>
          <cell r="BE1645">
            <v>1.2139983449369478</v>
          </cell>
          <cell r="BF1645">
            <v>0.68215202331542968</v>
          </cell>
          <cell r="BG1645">
            <v>0.42571201324462893</v>
          </cell>
        </row>
        <row r="1646">
          <cell r="D1646" t="str">
            <v>房地产开发</v>
          </cell>
          <cell r="M1646">
            <v>50.816857286400001</v>
          </cell>
          <cell r="N1646">
            <v>29.126987971138888</v>
          </cell>
          <cell r="O1646" t="str">
            <v>金融</v>
          </cell>
          <cell r="P1646" t="str">
            <v>房地产</v>
          </cell>
          <cell r="Q1646" t="str">
            <v>房地产管理与开发</v>
          </cell>
          <cell r="BC1646">
            <v>2.0000000000000018E-2</v>
          </cell>
          <cell r="BD1646">
            <v>3.1605562579013903E-2</v>
          </cell>
          <cell r="BE1646">
            <v>0.19823788546255516</v>
          </cell>
          <cell r="BF1646">
            <v>0.31597200393676755</v>
          </cell>
          <cell r="BG1646">
            <v>0.17323200225830079</v>
          </cell>
        </row>
        <row r="1647">
          <cell r="D1647" t="str">
            <v>海港与服务</v>
          </cell>
          <cell r="M1647">
            <v>142.71034040320001</v>
          </cell>
          <cell r="N1647">
            <v>81.774008146661558</v>
          </cell>
          <cell r="O1647" t="str">
            <v>工业</v>
          </cell>
          <cell r="P1647" t="str">
            <v>运输</v>
          </cell>
          <cell r="Q1647" t="str">
            <v>交通基础设施</v>
          </cell>
          <cell r="BC1647">
            <v>1.3100436681222622E-2</v>
          </cell>
          <cell r="BD1647">
            <v>-2.7253668763102704E-2</v>
          </cell>
          <cell r="BE1647">
            <v>-0.19326758194426755</v>
          </cell>
          <cell r="BF1647">
            <v>0.41260799407958987</v>
          </cell>
          <cell r="BG1647">
            <v>7.298399925231934E-2</v>
          </cell>
        </row>
        <row r="1648">
          <cell r="D1648" t="str">
            <v>有线和卫星电视</v>
          </cell>
          <cell r="M1648">
            <v>257.92457399450001</v>
          </cell>
          <cell r="N1648">
            <v>147.78223206989699</v>
          </cell>
          <cell r="O1648" t="str">
            <v>可选消费</v>
          </cell>
          <cell r="P1648" t="str">
            <v>媒体Ⅱ</v>
          </cell>
          <cell r="Q1648" t="str">
            <v>媒体Ⅲ</v>
          </cell>
          <cell r="BC1648">
            <v>8.86829913964262E-2</v>
          </cell>
          <cell r="BD1648">
            <v>8.2949308755760356E-2</v>
          </cell>
          <cell r="BE1648">
            <v>-6.2138051106384595E-2</v>
          </cell>
          <cell r="BF1648">
            <v>0.37026000976562501</v>
          </cell>
          <cell r="BG1648">
            <v>7.6296000480651854E-2</v>
          </cell>
        </row>
        <row r="1649">
          <cell r="D1649" t="str">
            <v>房地产开发</v>
          </cell>
          <cell r="M1649">
            <v>49.9795133792</v>
          </cell>
          <cell r="N1649">
            <v>28.631208736182963</v>
          </cell>
          <cell r="O1649" t="str">
            <v>金融</v>
          </cell>
          <cell r="P1649" t="str">
            <v>房地产</v>
          </cell>
          <cell r="Q1649" t="str">
            <v>房地产管理与开发</v>
          </cell>
          <cell r="BC1649">
            <v>2.0725388601036288E-2</v>
          </cell>
          <cell r="BD1649">
            <v>-7.4030552291421844E-2</v>
          </cell>
          <cell r="BE1649">
            <v>-0.23420796890184639</v>
          </cell>
          <cell r="BF1649">
            <v>0.36649200439453122</v>
          </cell>
          <cell r="BG1649">
            <v>3.2279999256134034E-2</v>
          </cell>
        </row>
        <row r="1650">
          <cell r="D1650" t="str">
            <v>工业机械</v>
          </cell>
          <cell r="M1650">
            <v>89.498971847999996</v>
          </cell>
          <cell r="N1650">
            <v>51.237634776387793</v>
          </cell>
          <cell r="O1650" t="str">
            <v>工业</v>
          </cell>
          <cell r="P1650" t="str">
            <v>资本货物</v>
          </cell>
          <cell r="Q1650" t="str">
            <v>机械</v>
          </cell>
          <cell r="BC1650">
            <v>6.773823191733637E-2</v>
          </cell>
          <cell r="BD1650">
            <v>8.1395348837209433E-2</v>
          </cell>
          <cell r="BE1650">
            <v>0.10399891903680397</v>
          </cell>
          <cell r="BF1650">
            <v>0.68492401123046875</v>
          </cell>
          <cell r="BG1650">
            <v>0</v>
          </cell>
        </row>
        <row r="1651">
          <cell r="D1651" t="str">
            <v>百货商店</v>
          </cell>
          <cell r="M1651">
            <v>58.047710848800008</v>
          </cell>
          <cell r="N1651">
            <v>33.230863405045611</v>
          </cell>
          <cell r="O1651" t="str">
            <v>可选消费</v>
          </cell>
          <cell r="P1651" t="str">
            <v>零售业</v>
          </cell>
          <cell r="Q1651" t="str">
            <v>多元化零售</v>
          </cell>
          <cell r="BC1651">
            <v>4.3227665706051847E-2</v>
          </cell>
          <cell r="BD1651">
            <v>1.2587412587412567E-2</v>
          </cell>
          <cell r="BE1651">
            <v>3.8612939660840886E-3</v>
          </cell>
          <cell r="BF1651">
            <v>0.47423999786376952</v>
          </cell>
          <cell r="BG1651">
            <v>0.21160800933837889</v>
          </cell>
        </row>
        <row r="1652">
          <cell r="D1652" t="str">
            <v>半导体产品</v>
          </cell>
          <cell r="M1652">
            <v>47.557348492499997</v>
          </cell>
          <cell r="N1652">
            <v>27.222168347339014</v>
          </cell>
          <cell r="O1652" t="str">
            <v>信息技术</v>
          </cell>
          <cell r="P1652" t="str">
            <v>半导体与半导体生产设备</v>
          </cell>
          <cell r="Q1652" t="str">
            <v>半导体产品与半导体设备</v>
          </cell>
          <cell r="BC1652">
            <v>1.3513513513513492E-2</v>
          </cell>
          <cell r="BD1652">
            <v>-2.5974025974025934E-2</v>
          </cell>
          <cell r="BE1652">
            <v>-0.22743116605701957</v>
          </cell>
          <cell r="BF1652">
            <v>0.18494400024414062</v>
          </cell>
          <cell r="BG1652">
            <v>-3.6635999679565427E-2</v>
          </cell>
        </row>
        <row r="1653">
          <cell r="D1653" t="str">
            <v>电子元件</v>
          </cell>
          <cell r="M1653">
            <v>99.257707676400003</v>
          </cell>
          <cell r="N1653">
            <v>56.793315829472967</v>
          </cell>
          <cell r="O1653" t="str">
            <v>信息技术</v>
          </cell>
          <cell r="P1653" t="str">
            <v>技术硬件与设备</v>
          </cell>
          <cell r="Q1653" t="str">
            <v>电子设备、仪器和元件</v>
          </cell>
          <cell r="BC1653">
            <v>7.0588235294117632E-2</v>
          </cell>
          <cell r="BD1653">
            <v>5.2023121387283301E-2</v>
          </cell>
          <cell r="BE1653">
            <v>-0.41045812124016656</v>
          </cell>
          <cell r="BF1653">
            <v>-0.1795560073852539</v>
          </cell>
          <cell r="BG1653">
            <v>-2.25600004196167E-3</v>
          </cell>
        </row>
        <row r="1654">
          <cell r="D1654" t="str">
            <v>电脑存储与外围设备</v>
          </cell>
          <cell r="M1654">
            <v>76.62</v>
          </cell>
          <cell r="N1654">
            <v>43.834846575180627</v>
          </cell>
          <cell r="O1654" t="str">
            <v>信息技术</v>
          </cell>
          <cell r="P1654" t="str">
            <v>技术硬件与设备</v>
          </cell>
          <cell r="Q1654" t="str">
            <v>电脑与外围设备</v>
          </cell>
          <cell r="BC1654">
            <v>-1.7692307692307726E-2</v>
          </cell>
          <cell r="BD1654">
            <v>-4.9143708116157869E-2</v>
          </cell>
          <cell r="BE1654">
            <v>-5.1209190603397896E-2</v>
          </cell>
          <cell r="BF1654">
            <v>0.14023200035095215</v>
          </cell>
          <cell r="BG1654">
            <v>0.1548840045928955</v>
          </cell>
        </row>
        <row r="1655">
          <cell r="D1655" t="str">
            <v>工业机械</v>
          </cell>
          <cell r="M1655">
            <v>28.32</v>
          </cell>
          <cell r="N1655">
            <v>16.197663349822221</v>
          </cell>
          <cell r="O1655" t="str">
            <v>工业</v>
          </cell>
          <cell r="P1655" t="str">
            <v>资本货物</v>
          </cell>
          <cell r="Q1655" t="str">
            <v>机械</v>
          </cell>
          <cell r="BC1655">
            <v>0</v>
          </cell>
          <cell r="BD1655">
            <v>0</v>
          </cell>
          <cell r="BE1655">
            <v>-0.23624595469255663</v>
          </cell>
          <cell r="BF1655">
            <v>0.57604801177978515</v>
          </cell>
          <cell r="BG1655">
            <v>0</v>
          </cell>
        </row>
        <row r="1656">
          <cell r="D1656" t="str">
            <v>消费品经销商</v>
          </cell>
          <cell r="M1656">
            <v>208.32204353679998</v>
          </cell>
          <cell r="N1656">
            <v>119.13847257016766</v>
          </cell>
          <cell r="O1656" t="str">
            <v>可选消费</v>
          </cell>
          <cell r="P1656" t="str">
            <v>零售业</v>
          </cell>
          <cell r="Q1656" t="str">
            <v>消费品经销商Ⅲ</v>
          </cell>
          <cell r="BC1656">
            <v>2.7654867256637169E-2</v>
          </cell>
          <cell r="BD1656">
            <v>-2.9258098223615584E-2</v>
          </cell>
          <cell r="BE1656">
            <v>1.4635109058891248E-2</v>
          </cell>
          <cell r="BF1656">
            <v>0.66584396362304688</v>
          </cell>
          <cell r="BG1656">
            <v>0.1965719985961914</v>
          </cell>
        </row>
        <row r="1657">
          <cell r="D1657" t="str">
            <v>工业机械</v>
          </cell>
          <cell r="M1657">
            <v>35.184543354000006</v>
          </cell>
          <cell r="N1657">
            <v>20.118466866113199</v>
          </cell>
          <cell r="O1657" t="str">
            <v>工业</v>
          </cell>
          <cell r="P1657" t="str">
            <v>资本货物</v>
          </cell>
          <cell r="Q1657" t="str">
            <v>机械</v>
          </cell>
          <cell r="BC1657">
            <v>2.3720349563046132E-2</v>
          </cell>
          <cell r="BD1657">
            <v>1.1097410604192339E-2</v>
          </cell>
          <cell r="BE1657">
            <v>2.4449877750610726E-3</v>
          </cell>
          <cell r="BF1657">
            <v>0.43127998352050784</v>
          </cell>
          <cell r="BG1657">
            <v>6.0503997802734376E-2</v>
          </cell>
        </row>
        <row r="1658">
          <cell r="D1658" t="str">
            <v>百货商店</v>
          </cell>
          <cell r="M1658">
            <v>29.729649452399997</v>
          </cell>
          <cell r="N1658">
            <v>16.993719591026888</v>
          </cell>
          <cell r="O1658" t="str">
            <v>可选消费</v>
          </cell>
          <cell r="P1658" t="str">
            <v>零售业</v>
          </cell>
          <cell r="Q1658" t="str">
            <v>多元化零售</v>
          </cell>
          <cell r="BC1658">
            <v>1.9193857965450988E-2</v>
          </cell>
          <cell r="BD1658">
            <v>-9.3283582089553566E-3</v>
          </cell>
          <cell r="BE1658">
            <v>0.26125732051233264</v>
          </cell>
          <cell r="BF1658">
            <v>0.35321998596191406</v>
          </cell>
          <cell r="BG1658">
            <v>0.12164400100708007</v>
          </cell>
        </row>
        <row r="1659">
          <cell r="D1659" t="str">
            <v>工业机械</v>
          </cell>
          <cell r="M1659">
            <v>68.300700245399995</v>
          </cell>
          <cell r="N1659">
            <v>39.03770242769771</v>
          </cell>
          <cell r="O1659" t="str">
            <v>工业</v>
          </cell>
          <cell r="P1659" t="str">
            <v>资本货物</v>
          </cell>
          <cell r="Q1659" t="str">
            <v>机械</v>
          </cell>
          <cell r="BC1659">
            <v>2.4376731301938931E-2</v>
          </cell>
          <cell r="BD1659">
            <v>-6.1421319796954359E-2</v>
          </cell>
          <cell r="BE1659">
            <v>-0.25074517932264823</v>
          </cell>
          <cell r="BF1659">
            <v>0.355260009765625</v>
          </cell>
          <cell r="BG1659">
            <v>0.32136001586914065</v>
          </cell>
        </row>
        <row r="1660">
          <cell r="D1660" t="str">
            <v>铁路运输</v>
          </cell>
          <cell r="M1660">
            <v>90.081009306000013</v>
          </cell>
          <cell r="N1660">
            <v>51.4729092739382</v>
          </cell>
          <cell r="O1660" t="str">
            <v>工业</v>
          </cell>
          <cell r="P1660" t="str">
            <v>运输</v>
          </cell>
          <cell r="Q1660" t="str">
            <v>公路与铁路运输</v>
          </cell>
          <cell r="BC1660">
            <v>2.2222222222222275E-2</v>
          </cell>
          <cell r="BD1660">
            <v>-6.7567567567567557E-2</v>
          </cell>
          <cell r="BE1660">
            <v>-0.45121218856385764</v>
          </cell>
          <cell r="BF1660">
            <v>0.22025999069213867</v>
          </cell>
          <cell r="BG1660">
            <v>-6.0204000473022462E-2</v>
          </cell>
        </row>
        <row r="1661">
          <cell r="D1661" t="str">
            <v>公路运输</v>
          </cell>
          <cell r="M1661">
            <v>28.542505599999995</v>
          </cell>
          <cell r="N1661">
            <v>16.305813073228389</v>
          </cell>
          <cell r="O1661" t="str">
            <v>工业</v>
          </cell>
          <cell r="P1661" t="str">
            <v>运输</v>
          </cell>
          <cell r="Q1661" t="str">
            <v>公路与铁路运输</v>
          </cell>
          <cell r="BC1661">
            <v>-7.4196207749383037E-3</v>
          </cell>
          <cell r="BD1661">
            <v>-1.7142857142857213E-2</v>
          </cell>
          <cell r="BE1661">
            <v>-0.24667970295764577</v>
          </cell>
          <cell r="BF1661">
            <v>0.12986399650573729</v>
          </cell>
          <cell r="BG1661">
            <v>5.6532001495361327E-2</v>
          </cell>
        </row>
        <row r="1662">
          <cell r="D1662" t="str">
            <v>石油天然气勘探与生产</v>
          </cell>
          <cell r="M1662">
            <v>234.96411078</v>
          </cell>
          <cell r="N1662">
            <v>134.1970497040428</v>
          </cell>
          <cell r="O1662" t="str">
            <v>能源</v>
          </cell>
          <cell r="P1662" t="str">
            <v>能源Ⅱ</v>
          </cell>
          <cell r="Q1662" t="str">
            <v>石油、天然气与供消费用燃料</v>
          </cell>
          <cell r="BC1662">
            <v>-1.5317286652078837E-2</v>
          </cell>
          <cell r="BD1662">
            <v>-3.8461538461538401E-2</v>
          </cell>
          <cell r="BE1662">
            <v>-0.52200679120493843</v>
          </cell>
          <cell r="BF1662">
            <v>-0.23579999923706055</v>
          </cell>
          <cell r="BG1662">
            <v>-8.1071996688842768E-2</v>
          </cell>
        </row>
        <row r="1663">
          <cell r="D1663" t="str">
            <v>农产品</v>
          </cell>
          <cell r="M1663">
            <v>113.5051515543</v>
          </cell>
          <cell r="N1663">
            <v>64.817375442401953</v>
          </cell>
          <cell r="O1663" t="str">
            <v>日常消费</v>
          </cell>
          <cell r="P1663" t="str">
            <v>食品、饮料与烟草</v>
          </cell>
          <cell r="Q1663" t="str">
            <v>食品</v>
          </cell>
          <cell r="BC1663">
            <v>7.3664825046040591E-2</v>
          </cell>
          <cell r="BD1663">
            <v>2.8218694885361578E-2</v>
          </cell>
          <cell r="BE1663">
            <v>-0.40439211850642198</v>
          </cell>
          <cell r="BF1663">
            <v>-0.12040800094604492</v>
          </cell>
          <cell r="BG1663">
            <v>-1.7123999595642089E-2</v>
          </cell>
        </row>
        <row r="1664">
          <cell r="D1664" t="str">
            <v>消费品经销商</v>
          </cell>
          <cell r="M1664">
            <v>36.210394534599999</v>
          </cell>
          <cell r="N1664">
            <v>20.673348933174005</v>
          </cell>
          <cell r="O1664" t="str">
            <v>可选消费</v>
          </cell>
          <cell r="P1664" t="str">
            <v>零售业</v>
          </cell>
          <cell r="Q1664" t="str">
            <v>消费品经销商Ⅲ</v>
          </cell>
          <cell r="BC1664">
            <v>6.0679611650484144E-3</v>
          </cell>
          <cell r="BD1664">
            <v>-5.4732041049030837E-2</v>
          </cell>
          <cell r="BE1664">
            <v>-0.46057331321654182</v>
          </cell>
          <cell r="BF1664">
            <v>0.19468799591064453</v>
          </cell>
          <cell r="BG1664">
            <v>6.4079999923706055E-2</v>
          </cell>
        </row>
        <row r="1665">
          <cell r="D1665" t="str">
            <v>生物科技</v>
          </cell>
          <cell r="M1665">
            <v>77.929935554099998</v>
          </cell>
          <cell r="N1665">
            <v>44.489457313607758</v>
          </cell>
          <cell r="O1665" t="str">
            <v>医疗保健</v>
          </cell>
          <cell r="P1665" t="str">
            <v>制药、生物科技与生命科学</v>
          </cell>
          <cell r="Q1665" t="str">
            <v>生物科技Ⅲ</v>
          </cell>
          <cell r="BC1665">
            <v>0.1085692128732067</v>
          </cell>
          <cell r="BD1665">
            <v>2.2898032200357802E-2</v>
          </cell>
          <cell r="BE1665">
            <v>0.46090955544200302</v>
          </cell>
          <cell r="BF1665">
            <v>0.31173599243164063</v>
          </cell>
          <cell r="BG1665">
            <v>0.22845600128173829</v>
          </cell>
        </row>
        <row r="1666">
          <cell r="D1666" t="str">
            <v>电子设备和仪器</v>
          </cell>
          <cell r="M1666">
            <v>58.183500000000002</v>
          </cell>
          <cell r="N1666">
            <v>33.216075391259778</v>
          </cell>
          <cell r="O1666" t="str">
            <v>信息技术</v>
          </cell>
          <cell r="P1666" t="str">
            <v>技术硬件与设备</v>
          </cell>
          <cell r="Q1666" t="str">
            <v>电子设备、仪器和元件</v>
          </cell>
          <cell r="BC1666">
            <v>7.7542062911485035E-2</v>
          </cell>
          <cell r="BD1666">
            <v>6.1239193083573458E-2</v>
          </cell>
          <cell r="BE1666">
            <v>-0.23368471118012407</v>
          </cell>
          <cell r="BF1666">
            <v>0</v>
          </cell>
          <cell r="BG1666">
            <v>0</v>
          </cell>
        </row>
        <row r="1667">
          <cell r="D1667" t="str">
            <v>酒店、度假村与豪华游轮</v>
          </cell>
          <cell r="M1667">
            <v>381.10005343799997</v>
          </cell>
          <cell r="N1667">
            <v>217.56416781038885</v>
          </cell>
          <cell r="O1667" t="str">
            <v>可选消费</v>
          </cell>
          <cell r="P1667" t="str">
            <v>消费者服务Ⅱ</v>
          </cell>
          <cell r="Q1667" t="str">
            <v>酒店、餐馆与休闲Ⅲ</v>
          </cell>
          <cell r="BC1667">
            <v>0.17020750988142294</v>
          </cell>
          <cell r="BD1667">
            <v>0.17223459539717895</v>
          </cell>
          <cell r="BE1667">
            <v>0.78377068899136992</v>
          </cell>
          <cell r="BF1667">
            <v>0.56078399658203126</v>
          </cell>
          <cell r="BG1667">
            <v>0.17830799102783204</v>
          </cell>
        </row>
        <row r="1668">
          <cell r="D1668" t="str">
            <v>特种化工</v>
          </cell>
          <cell r="M1668">
            <v>88.718809651000001</v>
          </cell>
          <cell r="N1668">
            <v>50.646539034859245</v>
          </cell>
          <cell r="O1668" t="str">
            <v>材料</v>
          </cell>
          <cell r="P1668" t="str">
            <v>材料Ⅱ</v>
          </cell>
          <cell r="Q1668" t="str">
            <v>化工</v>
          </cell>
          <cell r="BC1668">
            <v>0.13134328358208952</v>
          </cell>
          <cell r="BD1668">
            <v>0.13303437967115084</v>
          </cell>
          <cell r="BE1668">
            <v>0.37400512244441542</v>
          </cell>
          <cell r="BF1668">
            <v>0.66071998596191406</v>
          </cell>
          <cell r="BG1668">
            <v>0</v>
          </cell>
        </row>
        <row r="1669">
          <cell r="D1669" t="str">
            <v>黄金</v>
          </cell>
          <cell r="M1669">
            <v>42.731519999999996</v>
          </cell>
          <cell r="N1669">
            <v>24.390766386189817</v>
          </cell>
          <cell r="O1669" t="str">
            <v>材料</v>
          </cell>
          <cell r="P1669" t="str">
            <v>材料Ⅱ</v>
          </cell>
          <cell r="Q1669" t="str">
            <v>金属、非金属与采矿</v>
          </cell>
          <cell r="BC1669">
            <v>6.8219633943427643E-2</v>
          </cell>
          <cell r="BD1669">
            <v>8.0808080808080732E-2</v>
          </cell>
          <cell r="BE1669">
            <v>-0.2103321033210333</v>
          </cell>
          <cell r="BF1669">
            <v>0.10556400299072266</v>
          </cell>
          <cell r="BG1669">
            <v>-0.13748399734497072</v>
          </cell>
        </row>
        <row r="1670">
          <cell r="D1670" t="str">
            <v>应用软件</v>
          </cell>
          <cell r="M1670">
            <v>274.94695242899996</v>
          </cell>
          <cell r="N1670">
            <v>156.93489042257139</v>
          </cell>
          <cell r="O1670" t="str">
            <v>信息技术</v>
          </cell>
          <cell r="P1670" t="str">
            <v>软件与服务</v>
          </cell>
          <cell r="Q1670" t="str">
            <v>软件</v>
          </cell>
          <cell r="BC1670">
            <v>-2.5436046511628009E-3</v>
          </cell>
          <cell r="BD1670">
            <v>-0.14645522388059695</v>
          </cell>
          <cell r="BE1670">
            <v>-0.16738672260809634</v>
          </cell>
          <cell r="BF1670">
            <v>0.70784400939941405</v>
          </cell>
          <cell r="BG1670">
            <v>0.5717279815673828</v>
          </cell>
        </row>
        <row r="1671">
          <cell r="D1671" t="str">
            <v>金属非金属</v>
          </cell>
          <cell r="M1671">
            <v>40.089599999999997</v>
          </cell>
          <cell r="N1671">
            <v>22.882120392545836</v>
          </cell>
          <cell r="O1671" t="str">
            <v>材料</v>
          </cell>
          <cell r="P1671" t="str">
            <v>材料Ⅱ</v>
          </cell>
          <cell r="Q1671" t="str">
            <v>金属、非金属与采矿</v>
          </cell>
          <cell r="BC1671">
            <v>1.1627906976744196E-2</v>
          </cell>
          <cell r="BD1671">
            <v>6.7484662576687185E-2</v>
          </cell>
          <cell r="BE1671">
            <v>-8.0423235376196264E-2</v>
          </cell>
          <cell r="BF1671">
            <v>0.37030799865722658</v>
          </cell>
          <cell r="BG1671">
            <v>4.4892001152038577E-2</v>
          </cell>
        </row>
        <row r="1672">
          <cell r="D1672" t="str">
            <v>通信设备</v>
          </cell>
          <cell r="M1672">
            <v>52.599456000000004</v>
          </cell>
          <cell r="N1672">
            <v>30.014275102585188</v>
          </cell>
          <cell r="O1672" t="str">
            <v>信息技术</v>
          </cell>
          <cell r="P1672" t="str">
            <v>技术硬件与设备</v>
          </cell>
          <cell r="Q1672" t="str">
            <v>通信设备Ⅲ</v>
          </cell>
          <cell r="BC1672">
            <v>1.363636363636375E-2</v>
          </cell>
          <cell r="BD1672">
            <v>-1.4001473839351474E-2</v>
          </cell>
          <cell r="BE1672">
            <v>0.21636360780162023</v>
          </cell>
          <cell r="BF1672">
            <v>0.26360399246215821</v>
          </cell>
          <cell r="BG1672">
            <v>0.18015600204467774</v>
          </cell>
        </row>
        <row r="1673">
          <cell r="D1673" t="str">
            <v>消费品经销商</v>
          </cell>
          <cell r="M1673">
            <v>31.825230580500001</v>
          </cell>
          <cell r="N1673">
            <v>18.159174187088887</v>
          </cell>
          <cell r="O1673" t="str">
            <v>可选消费</v>
          </cell>
          <cell r="P1673" t="str">
            <v>零售业</v>
          </cell>
          <cell r="Q1673" t="str">
            <v>消费品经销商Ⅲ</v>
          </cell>
          <cell r="BC1673">
            <v>1.8826937002172323E-2</v>
          </cell>
          <cell r="BD1673">
            <v>8.7326120556414283E-2</v>
          </cell>
          <cell r="BE1673">
            <v>0.26188340807174887</v>
          </cell>
          <cell r="BF1673">
            <v>0.42494400024414064</v>
          </cell>
          <cell r="BG1673">
            <v>0.16945199966430663</v>
          </cell>
        </row>
        <row r="1674">
          <cell r="D1674" t="str">
            <v>白酒与葡萄酒</v>
          </cell>
          <cell r="M1674">
            <v>68.434963947</v>
          </cell>
          <cell r="N1674">
            <v>39.046365673694105</v>
          </cell>
          <cell r="O1674" t="str">
            <v>日常消费</v>
          </cell>
          <cell r="P1674" t="str">
            <v>食品、饮料与烟草</v>
          </cell>
          <cell r="Q1674" t="str">
            <v>饮料</v>
          </cell>
          <cell r="BC1674">
            <v>1.669449081802999E-2</v>
          </cell>
          <cell r="BD1674">
            <v>5.7291666666666678E-2</v>
          </cell>
          <cell r="BE1674">
            <v>-0.13861386138613868</v>
          </cell>
          <cell r="BF1674">
            <v>0.39351600646972656</v>
          </cell>
          <cell r="BG1674">
            <v>2.9616000652313231E-2</v>
          </cell>
        </row>
        <row r="1675">
          <cell r="D1675" t="str">
            <v>钢铁</v>
          </cell>
          <cell r="M1675">
            <v>45.065948681599998</v>
          </cell>
          <cell r="N1675">
            <v>25.706872047366303</v>
          </cell>
          <cell r="O1675" t="str">
            <v>材料</v>
          </cell>
          <cell r="P1675" t="str">
            <v>材料Ⅱ</v>
          </cell>
          <cell r="Q1675" t="str">
            <v>金属、非金属与采矿</v>
          </cell>
          <cell r="BC1675">
            <v>-2.5954198473282432E-2</v>
          </cell>
          <cell r="BD1675">
            <v>1.4308426073131934E-2</v>
          </cell>
          <cell r="BE1675">
            <v>-3.1175141507085627E-2</v>
          </cell>
          <cell r="BF1675">
            <v>0.38860801696777342</v>
          </cell>
          <cell r="BG1675">
            <v>-7.0343999862670897E-2</v>
          </cell>
        </row>
        <row r="1676">
          <cell r="D1676" t="str">
            <v>白银</v>
          </cell>
          <cell r="M1676">
            <v>61.552442336799999</v>
          </cell>
          <cell r="N1676">
            <v>35.108480287670801</v>
          </cell>
          <cell r="O1676" t="str">
            <v>材料</v>
          </cell>
          <cell r="P1676" t="str">
            <v>材料Ⅱ</v>
          </cell>
          <cell r="Q1676" t="str">
            <v>金属、非金属与采矿</v>
          </cell>
          <cell r="BC1676">
            <v>-0.10402930402930402</v>
          </cell>
          <cell r="BD1676">
            <v>0.10478771454381211</v>
          </cell>
          <cell r="BE1676">
            <v>-5.1652036590831812E-2</v>
          </cell>
          <cell r="BF1676">
            <v>-2.0399999618530274E-2</v>
          </cell>
          <cell r="BG1676">
            <v>0</v>
          </cell>
        </row>
        <row r="1677">
          <cell r="D1677" t="str">
            <v>中药</v>
          </cell>
          <cell r="M1677">
            <v>45.016123517600001</v>
          </cell>
          <cell r="N1677">
            <v>25.675232252846701</v>
          </cell>
          <cell r="O1677" t="str">
            <v>医疗保健</v>
          </cell>
          <cell r="P1677" t="str">
            <v>制药、生物科技与生命科学</v>
          </cell>
          <cell r="Q1677" t="str">
            <v>制药</v>
          </cell>
          <cell r="BC1677">
            <v>8.0389768574908441E-2</v>
          </cell>
          <cell r="BD1677">
            <v>7.5151515151515053E-2</v>
          </cell>
          <cell r="BE1677">
            <v>-0.22192982456140359</v>
          </cell>
          <cell r="BF1677">
            <v>-4.5359998941421507E-3</v>
          </cell>
          <cell r="BG1677">
            <v>0.11132399559020996</v>
          </cell>
        </row>
        <row r="1678">
          <cell r="D1678" t="str">
            <v>工业机械</v>
          </cell>
          <cell r="M1678">
            <v>38.613</v>
          </cell>
          <cell r="N1678">
            <v>22.02231680909259</v>
          </cell>
          <cell r="O1678" t="str">
            <v>工业</v>
          </cell>
          <cell r="P1678" t="str">
            <v>资本货物</v>
          </cell>
          <cell r="Q1678" t="str">
            <v>机械</v>
          </cell>
          <cell r="BC1678">
            <v>1.8930957683741638E-2</v>
          </cell>
          <cell r="BD1678">
            <v>-9.1360476663356491E-2</v>
          </cell>
          <cell r="BE1678">
            <v>-2.1390374331550728E-2</v>
          </cell>
          <cell r="BF1678">
            <v>0.23227199554443359</v>
          </cell>
          <cell r="BG1678">
            <v>0.12896400451660156</v>
          </cell>
        </row>
        <row r="1679">
          <cell r="D1679" t="str">
            <v>电子元件</v>
          </cell>
          <cell r="M1679">
            <v>149.53963842749999</v>
          </cell>
          <cell r="N1679">
            <v>85.281466776366372</v>
          </cell>
          <cell r="O1679" t="str">
            <v>信息技术</v>
          </cell>
          <cell r="P1679" t="str">
            <v>技术硬件与设备</v>
          </cell>
          <cell r="Q1679" t="str">
            <v>电子设备、仪器和元件</v>
          </cell>
          <cell r="BC1679">
            <v>2.3610280932456637E-2</v>
          </cell>
          <cell r="BD1679">
            <v>-7.632146709816609E-2</v>
          </cell>
          <cell r="BE1679">
            <v>0.33420616679862541</v>
          </cell>
          <cell r="BF1679">
            <v>0.55405200958251954</v>
          </cell>
          <cell r="BG1679">
            <v>0.31300800323486327</v>
          </cell>
        </row>
        <row r="1680">
          <cell r="D1680" t="str">
            <v>建筑与工程</v>
          </cell>
          <cell r="M1680">
            <v>64.675007429999994</v>
          </cell>
          <cell r="N1680">
            <v>36.875055069551173</v>
          </cell>
          <cell r="O1680" t="str">
            <v>工业</v>
          </cell>
          <cell r="P1680" t="str">
            <v>资本货物</v>
          </cell>
          <cell r="Q1680" t="str">
            <v>建筑与工程Ⅲ</v>
          </cell>
          <cell r="BC1680">
            <v>1.2569832402234617E-2</v>
          </cell>
          <cell r="BD1680">
            <v>-4.1639127561136864E-2</v>
          </cell>
          <cell r="BE1680">
            <v>-0.34346882242416149</v>
          </cell>
          <cell r="BF1680">
            <v>-6.6107997894287104E-2</v>
          </cell>
          <cell r="BG1680">
            <v>-5.4972000122070312E-2</v>
          </cell>
        </row>
        <row r="1681">
          <cell r="D1681" t="str">
            <v>汽车制造</v>
          </cell>
          <cell r="M1681">
            <v>134.30417621509997</v>
          </cell>
          <cell r="N1681">
            <v>76.55870624370111</v>
          </cell>
          <cell r="O1681" t="str">
            <v>可选消费</v>
          </cell>
          <cell r="P1681" t="str">
            <v>汽车与汽车零部件</v>
          </cell>
          <cell r="Q1681" t="str">
            <v>汽车</v>
          </cell>
          <cell r="BC1681">
            <v>4.9067713444553483E-2</v>
          </cell>
          <cell r="BD1681">
            <v>-6.2280701754386041E-2</v>
          </cell>
          <cell r="BE1681">
            <v>-0.10777949720692113</v>
          </cell>
          <cell r="BF1681">
            <v>0.50668800354003907</v>
          </cell>
          <cell r="BG1681">
            <v>0.11445599555969238</v>
          </cell>
        </row>
        <row r="1682">
          <cell r="D1682" t="str">
            <v>纺织品</v>
          </cell>
          <cell r="M1682">
            <v>148.37455753379999</v>
          </cell>
          <cell r="N1682">
            <v>84.568770685572218</v>
          </cell>
          <cell r="O1682" t="str">
            <v>可选消费</v>
          </cell>
          <cell r="P1682" t="str">
            <v>耐用消费品与服装</v>
          </cell>
          <cell r="Q1682" t="str">
            <v>纺织品、服装与奢侈品</v>
          </cell>
          <cell r="BC1682">
            <v>0</v>
          </cell>
          <cell r="BD1682">
            <v>0.77155172413793127</v>
          </cell>
          <cell r="BE1682">
            <v>0.77155172413793127</v>
          </cell>
          <cell r="BF1682">
            <v>0.15596400260925292</v>
          </cell>
          <cell r="BG1682">
            <v>0.16617599487304688</v>
          </cell>
        </row>
        <row r="1683">
          <cell r="D1683" t="str">
            <v>海运</v>
          </cell>
          <cell r="M1683">
            <v>67.842683999999991</v>
          </cell>
          <cell r="N1683">
            <v>38.664075698203519</v>
          </cell>
          <cell r="O1683" t="str">
            <v>工业</v>
          </cell>
          <cell r="P1683" t="str">
            <v>运输</v>
          </cell>
          <cell r="Q1683" t="str">
            <v>海运Ⅲ</v>
          </cell>
          <cell r="BC1683">
            <v>-2.9250457038391249E-2</v>
          </cell>
          <cell r="BD1683">
            <v>-7.7056778679026758E-2</v>
          </cell>
          <cell r="BE1683">
            <v>6.2780479164232558E-2</v>
          </cell>
          <cell r="BF1683">
            <v>0.35503200531005857</v>
          </cell>
          <cell r="BG1683">
            <v>6.6588001251220705E-2</v>
          </cell>
        </row>
        <row r="1684">
          <cell r="D1684" t="str">
            <v>互联网软件与服务</v>
          </cell>
          <cell r="M1684">
            <v>89.661766616799994</v>
          </cell>
          <cell r="N1684">
            <v>51.096651832248611</v>
          </cell>
          <cell r="O1684" t="str">
            <v>信息技术</v>
          </cell>
          <cell r="P1684" t="str">
            <v>软件与服务</v>
          </cell>
          <cell r="Q1684" t="str">
            <v>互联网软件与服务Ⅲ</v>
          </cell>
          <cell r="BC1684">
            <v>4.5438534695315218E-2</v>
          </cell>
          <cell r="BD1684">
            <v>-5.3269537480063849E-2</v>
          </cell>
          <cell r="BE1684">
            <v>-0.40161290322580645</v>
          </cell>
          <cell r="BF1684">
            <v>1.0886039733886719</v>
          </cell>
          <cell r="BG1684">
            <v>0</v>
          </cell>
        </row>
        <row r="1685">
          <cell r="D1685" t="str">
            <v>钢铁</v>
          </cell>
          <cell r="M1685">
            <v>30.675041280000006</v>
          </cell>
          <cell r="N1685">
            <v>17.479741658904089</v>
          </cell>
          <cell r="O1685" t="str">
            <v>材料</v>
          </cell>
          <cell r="P1685" t="str">
            <v>材料Ⅱ</v>
          </cell>
          <cell r="Q1685" t="str">
            <v>金属、非金属与采矿</v>
          </cell>
          <cell r="BC1685">
            <v>0</v>
          </cell>
          <cell r="BD1685">
            <v>-0.14677930306230205</v>
          </cell>
          <cell r="BE1685">
            <v>-0.26075022872827081</v>
          </cell>
          <cell r="BF1685">
            <v>0.51961200714111333</v>
          </cell>
          <cell r="BG1685">
            <v>0.12940799713134765</v>
          </cell>
        </row>
        <row r="1686">
          <cell r="D1686" t="str">
            <v>建筑与工程</v>
          </cell>
          <cell r="M1686">
            <v>182.46614883000004</v>
          </cell>
          <cell r="N1686">
            <v>103.9342484294197</v>
          </cell>
          <cell r="O1686" t="str">
            <v>工业</v>
          </cell>
          <cell r="P1686" t="str">
            <v>资本货物</v>
          </cell>
          <cell r="Q1686" t="str">
            <v>建筑与工程Ⅲ</v>
          </cell>
          <cell r="BC1686">
            <v>0</v>
          </cell>
          <cell r="BD1686">
            <v>0</v>
          </cell>
          <cell r="BE1686">
            <v>0.1945392491467578</v>
          </cell>
          <cell r="BF1686">
            <v>1.1312760162353515</v>
          </cell>
          <cell r="BG1686">
            <v>0.36333599090576174</v>
          </cell>
        </row>
        <row r="1687">
          <cell r="D1687" t="str">
            <v>消费品经销商</v>
          </cell>
          <cell r="M1687">
            <v>295.50467037300001</v>
          </cell>
          <cell r="N1687">
            <v>168.32129823656689</v>
          </cell>
          <cell r="O1687" t="str">
            <v>可选消费</v>
          </cell>
          <cell r="P1687" t="str">
            <v>零售业</v>
          </cell>
          <cell r="Q1687" t="str">
            <v>消费品经销商Ⅲ</v>
          </cell>
          <cell r="BC1687">
            <v>4.0435458786936343E-2</v>
          </cell>
          <cell r="BD1687">
            <v>-2.8322440087145882E-2</v>
          </cell>
          <cell r="BE1687">
            <v>-0.3837051154149928</v>
          </cell>
          <cell r="BF1687">
            <v>0.38754001617431638</v>
          </cell>
          <cell r="BG1687">
            <v>0.23038799285888673</v>
          </cell>
        </row>
        <row r="1688">
          <cell r="D1688" t="str">
            <v>工业机械</v>
          </cell>
          <cell r="M1688">
            <v>52.683245417599998</v>
          </cell>
          <cell r="N1688">
            <v>30.005697475449999</v>
          </cell>
          <cell r="O1688" t="str">
            <v>工业</v>
          </cell>
          <cell r="P1688" t="str">
            <v>资本货物</v>
          </cell>
          <cell r="Q1688" t="str">
            <v>机械</v>
          </cell>
          <cell r="BC1688">
            <v>-8.4025854108956619E-2</v>
          </cell>
          <cell r="BD1688">
            <v>-0.18555008210180624</v>
          </cell>
          <cell r="BE1688">
            <v>0.12217194570135748</v>
          </cell>
          <cell r="BF1688">
            <v>0.45937198638916016</v>
          </cell>
          <cell r="BG1688">
            <v>3.894000053405762E-2</v>
          </cell>
        </row>
        <row r="1689">
          <cell r="D1689" t="str">
            <v>基础化工</v>
          </cell>
          <cell r="M1689">
            <v>54.753884125000006</v>
          </cell>
          <cell r="N1689">
            <v>31.175051117061439</v>
          </cell>
          <cell r="O1689" t="str">
            <v>材料</v>
          </cell>
          <cell r="P1689" t="str">
            <v>材料Ⅱ</v>
          </cell>
          <cell r="Q1689" t="str">
            <v>化工</v>
          </cell>
          <cell r="BC1689">
            <v>-3.4749034749034693E-2</v>
          </cell>
          <cell r="BD1689">
            <v>-7.7490774907749124E-2</v>
          </cell>
          <cell r="BE1689">
            <v>2.6552702886375561E-2</v>
          </cell>
          <cell r="BF1689">
            <v>0.30725999832153322</v>
          </cell>
          <cell r="BG1689">
            <v>3.412800073623657E-2</v>
          </cell>
        </row>
        <row r="1690">
          <cell r="D1690" t="str">
            <v>机动车零配件与设备</v>
          </cell>
          <cell r="M1690">
            <v>54.764189480000006</v>
          </cell>
          <cell r="N1690">
            <v>31.180513491645836</v>
          </cell>
          <cell r="O1690" t="str">
            <v>可选消费</v>
          </cell>
          <cell r="P1690" t="str">
            <v>汽车与汽车零部件</v>
          </cell>
          <cell r="Q1690" t="str">
            <v>汽车零配件</v>
          </cell>
          <cell r="BC1690">
            <v>4.9373040752351161E-2</v>
          </cell>
          <cell r="BD1690">
            <v>6.5234685759745448E-2</v>
          </cell>
          <cell r="BE1690">
            <v>0.29556271509116222</v>
          </cell>
          <cell r="BF1690">
            <v>0.59893199920654294</v>
          </cell>
          <cell r="BG1690">
            <v>0</v>
          </cell>
        </row>
        <row r="1691">
          <cell r="D1691" t="str">
            <v>金属非金属</v>
          </cell>
          <cell r="M1691">
            <v>93.37227367940001</v>
          </cell>
          <cell r="N1691">
            <v>53.154690395939298</v>
          </cell>
          <cell r="O1691" t="str">
            <v>材料</v>
          </cell>
          <cell r="P1691" t="str">
            <v>材料Ⅱ</v>
          </cell>
          <cell r="Q1691" t="str">
            <v>金属、非金属与采矿</v>
          </cell>
          <cell r="BC1691">
            <v>2.4420024420026068E-3</v>
          </cell>
          <cell r="BD1691">
            <v>-9.0808416389811575E-2</v>
          </cell>
          <cell r="BE1691">
            <v>-0.10663764961915111</v>
          </cell>
          <cell r="BF1691">
            <v>0.32287200927734377</v>
          </cell>
          <cell r="BG1691">
            <v>0.1303559970855713</v>
          </cell>
        </row>
        <row r="1692">
          <cell r="D1692" t="str">
            <v>纸制品</v>
          </cell>
          <cell r="M1692">
            <v>57.127078079999997</v>
          </cell>
          <cell r="N1692">
            <v>32.52112221099074</v>
          </cell>
          <cell r="O1692" t="str">
            <v>材料</v>
          </cell>
          <cell r="P1692" t="str">
            <v>材料Ⅱ</v>
          </cell>
          <cell r="Q1692" t="str">
            <v>纸与林木产品</v>
          </cell>
          <cell r="BC1692">
            <v>3.6608863198458477E-2</v>
          </cell>
          <cell r="BD1692">
            <v>-2.712477396021706E-2</v>
          </cell>
          <cell r="BE1692">
            <v>0.11618257261410779</v>
          </cell>
          <cell r="BF1692">
            <v>0.56417999267578123</v>
          </cell>
          <cell r="BG1692">
            <v>0.14565600395202638</v>
          </cell>
        </row>
        <row r="1693">
          <cell r="D1693" t="str">
            <v>半导体设备</v>
          </cell>
          <cell r="M1693">
            <v>88.962045480000015</v>
          </cell>
          <cell r="N1693">
            <v>50.641756579733325</v>
          </cell>
          <cell r="O1693" t="str">
            <v>信息技术</v>
          </cell>
          <cell r="P1693" t="str">
            <v>半导体与半导体生产设备</v>
          </cell>
          <cell r="Q1693" t="str">
            <v>半导体产品与半导体设备</v>
          </cell>
          <cell r="BC1693">
            <v>3.9215686274509887E-2</v>
          </cell>
          <cell r="BD1693">
            <v>2.4415055951169908E-2</v>
          </cell>
          <cell r="BE1693">
            <v>-0.29867864677482697</v>
          </cell>
          <cell r="BF1693">
            <v>0.4109519958496094</v>
          </cell>
          <cell r="BG1693">
            <v>0</v>
          </cell>
        </row>
        <row r="1694">
          <cell r="D1694" t="str">
            <v>燃气</v>
          </cell>
          <cell r="M1694">
            <v>50.622789427200004</v>
          </cell>
          <cell r="N1694">
            <v>28.809335004558296</v>
          </cell>
          <cell r="O1694" t="str">
            <v>公用事业</v>
          </cell>
          <cell r="P1694" t="str">
            <v>公用事业Ⅱ</v>
          </cell>
          <cell r="Q1694" t="str">
            <v>燃气Ⅲ</v>
          </cell>
          <cell r="BC1694">
            <v>0.10847457627118638</v>
          </cell>
          <cell r="BD1694">
            <v>7.3891625615763581E-2</v>
          </cell>
          <cell r="BE1694">
            <v>-0.11261872455902308</v>
          </cell>
          <cell r="BF1694">
            <v>8.2427997589111332E-2</v>
          </cell>
          <cell r="BG1694">
            <v>5.2932000160217284E-2</v>
          </cell>
        </row>
        <row r="1695">
          <cell r="D1695" t="str">
            <v>基础化工</v>
          </cell>
          <cell r="M1695">
            <v>49.335607750000001</v>
          </cell>
          <cell r="N1695">
            <v>28.070477034741074</v>
          </cell>
          <cell r="O1695" t="str">
            <v>材料</v>
          </cell>
          <cell r="P1695" t="str">
            <v>材料Ⅱ</v>
          </cell>
          <cell r="Q1695" t="str">
            <v>化工</v>
          </cell>
          <cell r="BC1695">
            <v>0</v>
          </cell>
          <cell r="BD1695">
            <v>-6.231276213301383E-2</v>
          </cell>
          <cell r="BE1695">
            <v>-0.23855804184302701</v>
          </cell>
          <cell r="BF1695">
            <v>0.74856002807617184</v>
          </cell>
          <cell r="BG1695">
            <v>0.26102399826049805</v>
          </cell>
        </row>
        <row r="1696">
          <cell r="D1696" t="str">
            <v>金属非金属</v>
          </cell>
          <cell r="M1696">
            <v>41.828385147900001</v>
          </cell>
          <cell r="N1696">
            <v>23.797678004754594</v>
          </cell>
          <cell r="O1696" t="str">
            <v>材料</v>
          </cell>
          <cell r="P1696" t="str">
            <v>材料Ⅱ</v>
          </cell>
          <cell r="Q1696" t="str">
            <v>金属、非金属与采矿</v>
          </cell>
          <cell r="BC1696">
            <v>3.7091988130563795E-2</v>
          </cell>
          <cell r="BD1696">
            <v>-1.825842696629212E-2</v>
          </cell>
          <cell r="BE1696">
            <v>-0.46105081187395225</v>
          </cell>
          <cell r="BF1696">
            <v>0.35455200195312497</v>
          </cell>
          <cell r="BG1696">
            <v>0.10460399627685547</v>
          </cell>
        </row>
        <row r="1697">
          <cell r="D1697" t="str">
            <v>电气部件与设备</v>
          </cell>
          <cell r="M1697">
            <v>60.8302551978</v>
          </cell>
          <cell r="N1697">
            <v>34.603577875261919</v>
          </cell>
          <cell r="O1697" t="str">
            <v>工业</v>
          </cell>
          <cell r="P1697" t="str">
            <v>资本货物</v>
          </cell>
          <cell r="Q1697" t="str">
            <v>电气设备</v>
          </cell>
          <cell r="BC1697">
            <v>7.2046109510084911E-4</v>
          </cell>
          <cell r="BD1697">
            <v>-2.7310924369747816E-2</v>
          </cell>
          <cell r="BE1697">
            <v>3.5022354694485891E-2</v>
          </cell>
          <cell r="BF1697">
            <v>0.40443599700927735</v>
          </cell>
          <cell r="BG1697">
            <v>0.26923200607299802</v>
          </cell>
        </row>
        <row r="1698">
          <cell r="D1698" t="str">
            <v>酒店、度假村与豪华游轮</v>
          </cell>
          <cell r="M1698">
            <v>34.787912976000001</v>
          </cell>
          <cell r="N1698">
            <v>19.786747725212294</v>
          </cell>
          <cell r="O1698" t="str">
            <v>可选消费</v>
          </cell>
          <cell r="P1698" t="str">
            <v>消费者服务Ⅱ</v>
          </cell>
          <cell r="Q1698" t="str">
            <v>酒店、餐馆与休闲Ⅲ</v>
          </cell>
          <cell r="BC1698">
            <v>3.4482758620689634E-2</v>
          </cell>
          <cell r="BD1698">
            <v>-9.6005606166783414E-2</v>
          </cell>
          <cell r="BE1698">
            <v>-0.17938931297709926</v>
          </cell>
          <cell r="BF1698">
            <v>0.43779598236083983</v>
          </cell>
          <cell r="BG1698">
            <v>0.11101200103759766</v>
          </cell>
        </row>
        <row r="1699">
          <cell r="D1699" t="str">
            <v>建筑产品</v>
          </cell>
          <cell r="M1699">
            <v>56.041404999999997</v>
          </cell>
          <cell r="N1699">
            <v>31.875209936915716</v>
          </cell>
          <cell r="O1699" t="str">
            <v>工业</v>
          </cell>
          <cell r="P1699" t="str">
            <v>资本货物</v>
          </cell>
          <cell r="Q1699" t="str">
            <v>建筑产品Ⅲ</v>
          </cell>
          <cell r="BC1699">
            <v>1.6438356164383577E-2</v>
          </cell>
          <cell r="BD1699">
            <v>-1.5915119363395239E-2</v>
          </cell>
          <cell r="BE1699">
            <v>-0.37028939664771326</v>
          </cell>
          <cell r="BF1699">
            <v>0.46195201873779296</v>
          </cell>
          <cell r="BG1699">
            <v>0.10797599792480468</v>
          </cell>
        </row>
        <row r="1700">
          <cell r="D1700" t="str">
            <v>消费品经销商</v>
          </cell>
          <cell r="M1700">
            <v>45.841165172299995</v>
          </cell>
          <cell r="N1700">
            <v>26.071738171590116</v>
          </cell>
          <cell r="O1700" t="str">
            <v>可选消费</v>
          </cell>
          <cell r="P1700" t="str">
            <v>零售业</v>
          </cell>
          <cell r="Q1700" t="str">
            <v>消费品经销商Ⅲ</v>
          </cell>
          <cell r="BC1700">
            <v>4.0206185567010368E-2</v>
          </cell>
          <cell r="BD1700">
            <v>1.8163471241170504E-2</v>
          </cell>
          <cell r="BE1700">
            <v>-0.33225154935392553</v>
          </cell>
          <cell r="BF1700">
            <v>9.656399726867676E-2</v>
          </cell>
          <cell r="BG1700">
            <v>4.1412000656127927E-2</v>
          </cell>
        </row>
        <row r="1701">
          <cell r="D1701" t="str">
            <v>纺织品</v>
          </cell>
          <cell r="M1701">
            <v>78.288640311400002</v>
          </cell>
          <cell r="N1701">
            <v>44.506455856612483</v>
          </cell>
          <cell r="O1701" t="str">
            <v>可选消费</v>
          </cell>
          <cell r="P1701" t="str">
            <v>耐用消费品与服装</v>
          </cell>
          <cell r="Q1701" t="str">
            <v>纺织品、服装与奢侈品</v>
          </cell>
          <cell r="BC1701">
            <v>3.5377358490565912E-2</v>
          </cell>
          <cell r="BD1701">
            <v>-4.5351473922903536E-3</v>
          </cell>
          <cell r="BE1701">
            <v>-0.12024048096192395</v>
          </cell>
          <cell r="BF1701">
            <v>0.36752399444580081</v>
          </cell>
          <cell r="BG1701">
            <v>1.4099999666213989E-2</v>
          </cell>
        </row>
        <row r="1702">
          <cell r="D1702" t="str">
            <v>西药</v>
          </cell>
          <cell r="M1702">
            <v>79.644762620999998</v>
          </cell>
          <cell r="N1702">
            <v>45.27447761478858</v>
          </cell>
          <cell r="O1702" t="str">
            <v>医疗保健</v>
          </cell>
          <cell r="P1702" t="str">
            <v>制药、生物科技与生命科学</v>
          </cell>
          <cell r="Q1702" t="str">
            <v>制药</v>
          </cell>
          <cell r="BC1702">
            <v>7.9510703363914192E-2</v>
          </cell>
          <cell r="BD1702">
            <v>-3.1815688425672069E-2</v>
          </cell>
          <cell r="BE1702">
            <v>-0.13408418615536394</v>
          </cell>
          <cell r="BF1702">
            <v>0.20367599487304688</v>
          </cell>
          <cell r="BG1702">
            <v>0.24209999084472655</v>
          </cell>
        </row>
        <row r="1703">
          <cell r="D1703" t="str">
            <v>化纤</v>
          </cell>
          <cell r="M1703">
            <v>88.636520000000019</v>
          </cell>
          <cell r="N1703">
            <v>50.377124858685811</v>
          </cell>
          <cell r="O1703" t="str">
            <v>材料</v>
          </cell>
          <cell r="P1703" t="str">
            <v>材料Ⅱ</v>
          </cell>
          <cell r="Q1703" t="str">
            <v>化工</v>
          </cell>
          <cell r="BC1703">
            <v>0.10259067357512955</v>
          </cell>
          <cell r="BD1703">
            <v>0.13918629550321207</v>
          </cell>
          <cell r="BE1703">
            <v>0.35541401273885365</v>
          </cell>
          <cell r="BF1703">
            <v>0.50109600067138671</v>
          </cell>
          <cell r="BG1703">
            <v>0</v>
          </cell>
        </row>
        <row r="1704">
          <cell r="D1704" t="str">
            <v>房地产开发</v>
          </cell>
          <cell r="M1704">
            <v>102.82862144519999</v>
          </cell>
          <cell r="N1704">
            <v>58.435659804576247</v>
          </cell>
          <cell r="O1704" t="str">
            <v>金融</v>
          </cell>
          <cell r="P1704" t="str">
            <v>房地产</v>
          </cell>
          <cell r="Q1704" t="str">
            <v>房地产管理与开发</v>
          </cell>
          <cell r="BC1704">
            <v>-2.3809523809523905E-2</v>
          </cell>
          <cell r="BD1704">
            <v>-4.6511627906976737E-2</v>
          </cell>
          <cell r="BE1704">
            <v>0.16572978092330581</v>
          </cell>
          <cell r="BF1704">
            <v>0.53512798309326171</v>
          </cell>
          <cell r="BG1704">
            <v>0.14869199752807616</v>
          </cell>
        </row>
        <row r="1705">
          <cell r="D1705" t="str">
            <v>金属非金属</v>
          </cell>
          <cell r="M1705">
            <v>50.0135328</v>
          </cell>
          <cell r="N1705">
            <v>28.421648726533334</v>
          </cell>
          <cell r="O1705" t="str">
            <v>材料</v>
          </cell>
          <cell r="P1705" t="str">
            <v>材料Ⅱ</v>
          </cell>
          <cell r="Q1705" t="str">
            <v>金属、非金属与采矿</v>
          </cell>
          <cell r="BC1705">
            <v>5.0907481186365587E-2</v>
          </cell>
          <cell r="BD1705">
            <v>1.7573939134162029E-2</v>
          </cell>
          <cell r="BE1705">
            <v>0.58226809405174051</v>
          </cell>
          <cell r="BF1705">
            <v>0.78875999450683598</v>
          </cell>
          <cell r="BG1705">
            <v>0.22300800323486328</v>
          </cell>
        </row>
        <row r="1706">
          <cell r="D1706" t="str">
            <v>纺织品</v>
          </cell>
          <cell r="M1706">
            <v>43.347200000000001</v>
          </cell>
          <cell r="N1706">
            <v>24.631849899288184</v>
          </cell>
          <cell r="O1706" t="str">
            <v>可选消费</v>
          </cell>
          <cell r="P1706" t="str">
            <v>耐用消费品与服装</v>
          </cell>
          <cell r="Q1706" t="str">
            <v>纺织品、服装与奢侈品</v>
          </cell>
          <cell r="BC1706">
            <v>-1.512287334593574E-2</v>
          </cell>
          <cell r="BD1706">
            <v>3.5785288270377677E-2</v>
          </cell>
          <cell r="BE1706">
            <v>-0.15402209460858168</v>
          </cell>
          <cell r="BF1706">
            <v>0.19016399383544921</v>
          </cell>
          <cell r="BG1706">
            <v>0.15314399719238281</v>
          </cell>
        </row>
        <row r="1707">
          <cell r="D1707" t="str">
            <v>食品加工与肉类</v>
          </cell>
          <cell r="M1707">
            <v>70.613440864200001</v>
          </cell>
          <cell r="N1707">
            <v>40.115563450381472</v>
          </cell>
          <cell r="O1707" t="str">
            <v>日常消费</v>
          </cell>
          <cell r="P1707" t="str">
            <v>食品、饮料与烟草</v>
          </cell>
          <cell r="Q1707" t="str">
            <v>食品</v>
          </cell>
          <cell r="BC1707">
            <v>3.7617554858934109E-2</v>
          </cell>
          <cell r="BD1707">
            <v>7.7006507592190784E-2</v>
          </cell>
          <cell r="BE1707">
            <v>-0.32172131147540989</v>
          </cell>
          <cell r="BF1707">
            <v>-5.4780001640319827E-2</v>
          </cell>
          <cell r="BG1707">
            <v>-0.12824399948120116</v>
          </cell>
        </row>
        <row r="1708">
          <cell r="D1708" t="str">
            <v>医疗保健用品</v>
          </cell>
          <cell r="M1708">
            <v>54.630812672000005</v>
          </cell>
          <cell r="N1708">
            <v>31.026089258817073</v>
          </cell>
          <cell r="O1708" t="str">
            <v>医疗保健</v>
          </cell>
          <cell r="P1708" t="str">
            <v>医疗保健设备与服务</v>
          </cell>
          <cell r="Q1708" t="str">
            <v>医疗保健设备与用品</v>
          </cell>
          <cell r="BC1708">
            <v>2.4299065420560897E-2</v>
          </cell>
          <cell r="BD1708">
            <v>-6.0437205315044866E-2</v>
          </cell>
          <cell r="BE1708">
            <v>1.1914531469544951</v>
          </cell>
          <cell r="BF1708">
            <v>1.0085279846191406</v>
          </cell>
          <cell r="BG1708">
            <v>0.48811199188232424</v>
          </cell>
        </row>
        <row r="1709">
          <cell r="D1709" t="str">
            <v>贸易公司与工业品经销商</v>
          </cell>
          <cell r="M1709">
            <v>33.519681195000004</v>
          </cell>
          <cell r="N1709">
            <v>19.035549131863089</v>
          </cell>
          <cell r="O1709" t="str">
            <v>工业</v>
          </cell>
          <cell r="P1709" t="str">
            <v>资本货物</v>
          </cell>
          <cell r="Q1709" t="str">
            <v>贸易公司与工业品经销商Ⅲ</v>
          </cell>
          <cell r="BC1709">
            <v>-1.2437810945274102E-3</v>
          </cell>
          <cell r="BD1709">
            <v>1.9035532994923828E-2</v>
          </cell>
          <cell r="BE1709">
            <v>-7.8253706754530996E-3</v>
          </cell>
          <cell r="BF1709">
            <v>0.5084040069580078</v>
          </cell>
          <cell r="BG1709">
            <v>0.25363199234008788</v>
          </cell>
        </row>
        <row r="1710">
          <cell r="D1710" t="str">
            <v>电气部件与设备</v>
          </cell>
          <cell r="M1710">
            <v>146.98811126499999</v>
          </cell>
          <cell r="N1710">
            <v>83.453003736778498</v>
          </cell>
          <cell r="O1710" t="str">
            <v>工业</v>
          </cell>
          <cell r="P1710" t="str">
            <v>资本货物</v>
          </cell>
          <cell r="Q1710" t="str">
            <v>电气设备</v>
          </cell>
          <cell r="BC1710">
            <v>5.8651026392950211E-4</v>
          </cell>
          <cell r="BD1710">
            <v>-0.12016503352243434</v>
          </cell>
          <cell r="BE1710">
            <v>0.68244575936883611</v>
          </cell>
          <cell r="BF1710">
            <v>0.55931999206542971</v>
          </cell>
          <cell r="BG1710">
            <v>3.9419999122619627E-2</v>
          </cell>
        </row>
        <row r="1711">
          <cell r="D1711" t="str">
            <v>重型电气设备</v>
          </cell>
          <cell r="M1711">
            <v>37.811199999999999</v>
          </cell>
          <cell r="N1711">
            <v>21.466881442091452</v>
          </cell>
          <cell r="O1711" t="str">
            <v>工业</v>
          </cell>
          <cell r="P1711" t="str">
            <v>资本货物</v>
          </cell>
          <cell r="Q1711" t="str">
            <v>电气设备</v>
          </cell>
          <cell r="BC1711">
            <v>-1.4676450967311584E-2</v>
          </cell>
          <cell r="BD1711">
            <v>-6.5189873417721589E-2</v>
          </cell>
          <cell r="BE1711">
            <v>-4.1919728090471613E-2</v>
          </cell>
          <cell r="BF1711">
            <v>9.7416000366210939E-2</v>
          </cell>
          <cell r="BG1711">
            <v>-3.4907999038696291E-2</v>
          </cell>
        </row>
        <row r="1712">
          <cell r="D1712" t="str">
            <v>黄金</v>
          </cell>
          <cell r="M1712">
            <v>705.43100635500014</v>
          </cell>
          <cell r="N1712">
            <v>400.49694976418675</v>
          </cell>
          <cell r="O1712" t="str">
            <v>材料</v>
          </cell>
          <cell r="P1712" t="str">
            <v>材料Ⅱ</v>
          </cell>
          <cell r="Q1712" t="str">
            <v>金属、非金属与采矿</v>
          </cell>
          <cell r="BC1712">
            <v>-4.1055718475073347E-2</v>
          </cell>
          <cell r="BD1712">
            <v>-1.8018018018018035E-2</v>
          </cell>
          <cell r="BE1712">
            <v>-0.24207124149488563</v>
          </cell>
          <cell r="BF1712">
            <v>0.2850600051879883</v>
          </cell>
          <cell r="BG1712">
            <v>-1.1807999610900878E-2</v>
          </cell>
        </row>
        <row r="1713">
          <cell r="D1713" t="str">
            <v>食品加工与肉类</v>
          </cell>
          <cell r="M1713">
            <v>62.597430000000003</v>
          </cell>
          <cell r="N1713">
            <v>35.533966183993698</v>
          </cell>
          <cell r="O1713" t="str">
            <v>日常消费</v>
          </cell>
          <cell r="P1713" t="str">
            <v>食品、饮料与烟草</v>
          </cell>
          <cell r="Q1713" t="str">
            <v>食品</v>
          </cell>
          <cell r="BC1713">
            <v>6.6906474820143863E-2</v>
          </cell>
          <cell r="BD1713">
            <v>6.6906474820143863E-2</v>
          </cell>
          <cell r="BE1713">
            <v>0.98496452531744305</v>
          </cell>
          <cell r="BF1713">
            <v>0.72580802917480469</v>
          </cell>
          <cell r="BG1713">
            <v>0.40893600463867186</v>
          </cell>
        </row>
        <row r="1714">
          <cell r="D1714" t="str">
            <v>航天航空与国防</v>
          </cell>
          <cell r="M1714">
            <v>141.70182757120003</v>
          </cell>
          <cell r="N1714">
            <v>80.43774542847494</v>
          </cell>
          <cell r="O1714" t="str">
            <v>工业</v>
          </cell>
          <cell r="P1714" t="str">
            <v>资本货物</v>
          </cell>
          <cell r="Q1714" t="str">
            <v>航空航天与国防Ⅲ</v>
          </cell>
          <cell r="BC1714">
            <v>6.1224489795918394E-2</v>
          </cell>
          <cell r="BD1714">
            <v>7.1002710027100402E-2</v>
          </cell>
          <cell r="BE1714">
            <v>-0.42108993490583119</v>
          </cell>
          <cell r="BF1714">
            <v>9.7511997222900396E-2</v>
          </cell>
          <cell r="BG1714">
            <v>-3.2400000095367432E-3</v>
          </cell>
        </row>
        <row r="1715">
          <cell r="D1715" t="str">
            <v>服装、服饰与奢侈品</v>
          </cell>
          <cell r="M1715">
            <v>55.369603982200005</v>
          </cell>
          <cell r="N1715">
            <v>31.429545072969624</v>
          </cell>
          <cell r="O1715" t="str">
            <v>可选消费</v>
          </cell>
          <cell r="P1715" t="str">
            <v>耐用消费品与服装</v>
          </cell>
          <cell r="Q1715" t="str">
            <v>纺织品、服装与奢侈品</v>
          </cell>
          <cell r="BC1715">
            <v>-7.9176563737146175E-4</v>
          </cell>
          <cell r="BD1715">
            <v>-3.9573820395738306E-2</v>
          </cell>
          <cell r="BE1715">
            <v>-6.062517725491675E-2</v>
          </cell>
          <cell r="BF1715">
            <v>0.42206401824951173</v>
          </cell>
          <cell r="BG1715">
            <v>0.12393600463867188</v>
          </cell>
        </row>
        <row r="1716">
          <cell r="D1716" t="str">
            <v>工业机械</v>
          </cell>
          <cell r="M1716">
            <v>49.093289999999996</v>
          </cell>
          <cell r="N1716">
            <v>27.861537772285722</v>
          </cell>
          <cell r="O1716" t="str">
            <v>工业</v>
          </cell>
          <cell r="P1716" t="str">
            <v>资本货物</v>
          </cell>
          <cell r="Q1716" t="str">
            <v>机械</v>
          </cell>
          <cell r="BC1716">
            <v>3.1818181818181815E-2</v>
          </cell>
          <cell r="BD1716">
            <v>-9.4414893617021281E-2</v>
          </cell>
          <cell r="BE1716">
            <v>-2.7728496915404369E-2</v>
          </cell>
          <cell r="BF1716">
            <v>0.47298000335693358</v>
          </cell>
          <cell r="BG1716">
            <v>0</v>
          </cell>
        </row>
        <row r="1717">
          <cell r="D1717" t="str">
            <v>基础化工</v>
          </cell>
          <cell r="M1717">
            <v>63.167999999999999</v>
          </cell>
          <cell r="N1717">
            <v>35.847793088971066</v>
          </cell>
          <cell r="O1717" t="str">
            <v>材料</v>
          </cell>
          <cell r="P1717" t="str">
            <v>材料Ⅱ</v>
          </cell>
          <cell r="Q1717" t="str">
            <v>化工</v>
          </cell>
          <cell r="BC1717">
            <v>3.0487804878049488E-3</v>
          </cell>
          <cell r="BD1717">
            <v>-1.3493253373313321E-2</v>
          </cell>
          <cell r="BE1717">
            <v>-0.23789415558391785</v>
          </cell>
          <cell r="BF1717">
            <v>0.24367200851440429</v>
          </cell>
          <cell r="BG1717">
            <v>8.963999748229981E-2</v>
          </cell>
        </row>
        <row r="1718">
          <cell r="D1718" t="str">
            <v>通信设备</v>
          </cell>
          <cell r="M1718">
            <v>96.979989461599999</v>
          </cell>
          <cell r="N1718">
            <v>55.023396740274968</v>
          </cell>
          <cell r="O1718" t="str">
            <v>信息技术</v>
          </cell>
          <cell r="P1718" t="str">
            <v>技术硬件与设备</v>
          </cell>
          <cell r="Q1718" t="str">
            <v>通信设备Ⅲ</v>
          </cell>
          <cell r="BC1718">
            <v>7.9348931841302067E-2</v>
          </cell>
          <cell r="BD1718">
            <v>5.9940059940059909E-2</v>
          </cell>
          <cell r="BE1718">
            <v>0.16593406593406593</v>
          </cell>
          <cell r="BF1718">
            <v>0.47325599670410157</v>
          </cell>
          <cell r="BG1718">
            <v>0.22076400756835937</v>
          </cell>
        </row>
        <row r="1719">
          <cell r="D1719" t="str">
            <v>机动车零配件与设备</v>
          </cell>
          <cell r="M1719">
            <v>32.744679999999995</v>
          </cell>
          <cell r="N1719">
            <v>18.575457451639998</v>
          </cell>
          <cell r="O1719" t="str">
            <v>可选消费</v>
          </cell>
          <cell r="P1719" t="str">
            <v>汽车与汽车零部件</v>
          </cell>
          <cell r="Q1719" t="str">
            <v>汽车零配件</v>
          </cell>
          <cell r="BC1719">
            <v>0</v>
          </cell>
          <cell r="BD1719">
            <v>0</v>
          </cell>
          <cell r="BE1719">
            <v>-0.16329284750337381</v>
          </cell>
          <cell r="BF1719">
            <v>0.29559600830078125</v>
          </cell>
          <cell r="BG1719">
            <v>4.5384001731872556E-2</v>
          </cell>
        </row>
        <row r="1720">
          <cell r="D1720" t="str">
            <v>酒店、度假村与豪华游轮</v>
          </cell>
          <cell r="M1720">
            <v>76.317557400000013</v>
          </cell>
          <cell r="N1720">
            <v>43.293426057588192</v>
          </cell>
          <cell r="O1720" t="str">
            <v>可选消费</v>
          </cell>
          <cell r="P1720" t="str">
            <v>消费者服务Ⅱ</v>
          </cell>
          <cell r="Q1720" t="str">
            <v>酒店、餐馆与休闲Ⅲ</v>
          </cell>
          <cell r="BC1720">
            <v>-9.2592592592591807E-3</v>
          </cell>
          <cell r="BD1720">
            <v>-7.9470198675496168E-3</v>
          </cell>
          <cell r="BE1720">
            <v>-7.8720787207872137E-2</v>
          </cell>
          <cell r="BF1720">
            <v>0.12262800216674805</v>
          </cell>
          <cell r="BG1720">
            <v>0.10237199783325196</v>
          </cell>
        </row>
        <row r="1721">
          <cell r="D1721" t="str">
            <v>建材</v>
          </cell>
          <cell r="M1721">
            <v>42.362280071999997</v>
          </cell>
          <cell r="N1721">
            <v>24.021284754263682</v>
          </cell>
          <cell r="O1721" t="str">
            <v>材料</v>
          </cell>
          <cell r="P1721" t="str">
            <v>材料Ⅱ</v>
          </cell>
          <cell r="Q1721" t="str">
            <v>建材Ⅲ</v>
          </cell>
          <cell r="BC1721">
            <v>0</v>
          </cell>
          <cell r="BD1721">
            <v>0</v>
          </cell>
          <cell r="BE1721">
            <v>0.1213526753933663</v>
          </cell>
          <cell r="BF1721">
            <v>0.75646797180175784</v>
          </cell>
          <cell r="BG1721">
            <v>0.30503999710083007</v>
          </cell>
        </row>
        <row r="1722">
          <cell r="D1722" t="str">
            <v>海运</v>
          </cell>
          <cell r="M1722">
            <v>45.925559999999997</v>
          </cell>
          <cell r="N1722">
            <v>26.041450428981481</v>
          </cell>
          <cell r="O1722" t="str">
            <v>工业</v>
          </cell>
          <cell r="P1722" t="str">
            <v>运输</v>
          </cell>
          <cell r="Q1722" t="str">
            <v>海运Ⅲ</v>
          </cell>
          <cell r="BC1722">
            <v>2.5806451612903056E-2</v>
          </cell>
          <cell r="BD1722">
            <v>2.5806451612903056E-2</v>
          </cell>
          <cell r="BE1722">
            <v>-0.30944504392537392</v>
          </cell>
          <cell r="BF1722">
            <v>0.10960800170898438</v>
          </cell>
          <cell r="BG1722">
            <v>0</v>
          </cell>
        </row>
        <row r="1723">
          <cell r="D1723" t="str">
            <v>工业机械</v>
          </cell>
          <cell r="M1723">
            <v>45.327600000000004</v>
          </cell>
          <cell r="N1723">
            <v>25.695223334524997</v>
          </cell>
          <cell r="O1723" t="str">
            <v>工业</v>
          </cell>
          <cell r="P1723" t="str">
            <v>资本货物</v>
          </cell>
          <cell r="Q1723" t="str">
            <v>机械</v>
          </cell>
          <cell r="BC1723">
            <v>3.9461020211742068E-2</v>
          </cell>
          <cell r="BD1723">
            <v>0.20000000000000007</v>
          </cell>
          <cell r="BE1723">
            <v>0.14044350580781415</v>
          </cell>
          <cell r="BF1723">
            <v>0.45196800231933593</v>
          </cell>
          <cell r="BG1723">
            <v>0.17645999908447266</v>
          </cell>
        </row>
        <row r="1724">
          <cell r="D1724" t="str">
            <v>白酒与葡萄酒</v>
          </cell>
          <cell r="M1724">
            <v>51.101685765599996</v>
          </cell>
          <cell r="N1724">
            <v>28.962461066118138</v>
          </cell>
          <cell r="O1724" t="str">
            <v>日常消费</v>
          </cell>
          <cell r="P1724" t="str">
            <v>食品、饮料与烟草</v>
          </cell>
          <cell r="Q1724" t="str">
            <v>饮料</v>
          </cell>
          <cell r="BC1724">
            <v>1.7418032786885237E-2</v>
          </cell>
          <cell r="BD1724">
            <v>-4.0579710144927533E-2</v>
          </cell>
          <cell r="BE1724">
            <v>-0.16733368471798793</v>
          </cell>
          <cell r="BF1724">
            <v>0.11821200370788575</v>
          </cell>
          <cell r="BG1724">
            <v>4.0439999103546141E-3</v>
          </cell>
        </row>
        <row r="1725">
          <cell r="D1725" t="str">
            <v>综合类行业</v>
          </cell>
          <cell r="M1725">
            <v>124.6424090366</v>
          </cell>
          <cell r="N1725">
            <v>70.639288627645442</v>
          </cell>
          <cell r="O1725" t="str">
            <v>工业</v>
          </cell>
          <cell r="P1725" t="str">
            <v>资本货物</v>
          </cell>
          <cell r="Q1725" t="str">
            <v>综合类Ⅲ</v>
          </cell>
          <cell r="BC1725">
            <v>9.1074681238615344E-3</v>
          </cell>
          <cell r="BD1725">
            <v>-3.315881326352537E-2</v>
          </cell>
          <cell r="BE1725">
            <v>-0.29382631367948853</v>
          </cell>
          <cell r="BF1725">
            <v>0.56144401550292966</v>
          </cell>
          <cell r="BG1725">
            <v>0.16369199752807617</v>
          </cell>
        </row>
        <row r="1726">
          <cell r="D1726" t="str">
            <v>互联网软件与服务</v>
          </cell>
          <cell r="M1726">
            <v>90.467576839499984</v>
          </cell>
          <cell r="N1726">
            <v>51.267232009485376</v>
          </cell>
          <cell r="O1726" t="str">
            <v>信息技术</v>
          </cell>
          <cell r="P1726" t="str">
            <v>软件与服务</v>
          </cell>
          <cell r="Q1726" t="str">
            <v>互联网软件与服务Ⅲ</v>
          </cell>
          <cell r="BC1726">
            <v>-8.7692307692307736E-2</v>
          </cell>
          <cell r="BD1726">
            <v>-0.13151728178090222</v>
          </cell>
          <cell r="BE1726">
            <v>0.17700179105214672</v>
          </cell>
          <cell r="BF1726">
            <v>0.81419998168945318</v>
          </cell>
          <cell r="BG1726">
            <v>0.33193199157714842</v>
          </cell>
        </row>
        <row r="1727">
          <cell r="D1727" t="str">
            <v>中药</v>
          </cell>
          <cell r="M1727">
            <v>39.7302374</v>
          </cell>
          <cell r="N1727">
            <v>22.514197788499999</v>
          </cell>
          <cell r="O1727" t="str">
            <v>医疗保健</v>
          </cell>
          <cell r="P1727" t="str">
            <v>制药、生物科技与生命科学</v>
          </cell>
          <cell r="Q1727" t="str">
            <v>制药</v>
          </cell>
          <cell r="BC1727">
            <v>-1.893939393939394E-2</v>
          </cell>
          <cell r="BD1727">
            <v>-5.6122448979591934E-2</v>
          </cell>
          <cell r="BE1727">
            <v>-0.1964987867569333</v>
          </cell>
          <cell r="BF1727">
            <v>8.9568004608154297E-2</v>
          </cell>
          <cell r="BG1727">
            <v>9.2748003005981447E-2</v>
          </cell>
        </row>
        <row r="1728">
          <cell r="D1728" t="str">
            <v>铝</v>
          </cell>
          <cell r="M1728">
            <v>32.344200000000001</v>
          </cell>
          <cell r="N1728">
            <v>18.321715578158177</v>
          </cell>
          <cell r="O1728" t="str">
            <v>材料</v>
          </cell>
          <cell r="P1728" t="str">
            <v>材料Ⅱ</v>
          </cell>
          <cell r="Q1728" t="str">
            <v>金属、非金属与采矿</v>
          </cell>
          <cell r="BC1728">
            <v>0.33104799216454445</v>
          </cell>
          <cell r="BD1728">
            <v>0.33104799216454445</v>
          </cell>
          <cell r="BE1728">
            <v>0.2047044416626658</v>
          </cell>
          <cell r="BF1728">
            <v>0.22785600662231445</v>
          </cell>
          <cell r="BG1728">
            <v>1.3860000371932983E-2</v>
          </cell>
        </row>
        <row r="1729">
          <cell r="D1729" t="str">
            <v>金属非金属</v>
          </cell>
          <cell r="M1729">
            <v>99.404273051999994</v>
          </cell>
          <cell r="N1729">
            <v>56.306436948832129</v>
          </cell>
          <cell r="O1729" t="str">
            <v>材料</v>
          </cell>
          <cell r="P1729" t="str">
            <v>材料Ⅱ</v>
          </cell>
          <cell r="Q1729" t="str">
            <v>金属、非金属与采矿</v>
          </cell>
          <cell r="BC1729">
            <v>9.9337748344370799E-2</v>
          </cell>
          <cell r="BD1729">
            <v>-1.0432190760059655E-2</v>
          </cell>
          <cell r="BE1729">
            <v>-0.54799183117767192</v>
          </cell>
          <cell r="BF1729">
            <v>0.57871200561523439</v>
          </cell>
          <cell r="BG1729">
            <v>0.17506799697875977</v>
          </cell>
        </row>
        <row r="1730">
          <cell r="D1730" t="str">
            <v>纸制品</v>
          </cell>
          <cell r="M1730">
            <v>77.758443</v>
          </cell>
          <cell r="N1730">
            <v>44.042859279664938</v>
          </cell>
          <cell r="O1730" t="str">
            <v>材料</v>
          </cell>
          <cell r="P1730" t="str">
            <v>材料Ⅱ</v>
          </cell>
          <cell r="Q1730" t="str">
            <v>纸与林木产品</v>
          </cell>
          <cell r="BC1730">
            <v>0.13733075435203082</v>
          </cell>
          <cell r="BD1730">
            <v>0.10651110274745948</v>
          </cell>
          <cell r="BE1730">
            <v>0.93524425530510868</v>
          </cell>
          <cell r="BF1730">
            <v>0.5761800003051758</v>
          </cell>
          <cell r="BG1730">
            <v>0.24693599700927735</v>
          </cell>
        </row>
        <row r="1731">
          <cell r="D1731" t="str">
            <v>西药</v>
          </cell>
          <cell r="M1731">
            <v>50.224106141299991</v>
          </cell>
          <cell r="N1731">
            <v>28.446422643474101</v>
          </cell>
          <cell r="O1731" t="str">
            <v>医疗保健</v>
          </cell>
          <cell r="P1731" t="str">
            <v>制药、生物科技与生命科学</v>
          </cell>
          <cell r="Q1731" t="str">
            <v>制药</v>
          </cell>
          <cell r="BC1731">
            <v>-7.7994428969359649E-3</v>
          </cell>
          <cell r="BD1731">
            <v>-3.4164859002169333E-2</v>
          </cell>
          <cell r="BE1731">
            <v>-0.25667004191583231</v>
          </cell>
          <cell r="BF1731">
            <v>3.5280001163482664E-3</v>
          </cell>
          <cell r="BG1731">
            <v>0</v>
          </cell>
        </row>
        <row r="1732">
          <cell r="D1732" t="str">
            <v>电子元件</v>
          </cell>
          <cell r="M1732">
            <v>50.804074017600009</v>
          </cell>
          <cell r="N1732">
            <v>28.774451348613898</v>
          </cell>
          <cell r="O1732" t="str">
            <v>信息技术</v>
          </cell>
          <cell r="P1732" t="str">
            <v>技术硬件与设备</v>
          </cell>
          <cell r="Q1732" t="str">
            <v>电子设备、仪器和元件</v>
          </cell>
          <cell r="BC1732">
            <v>1.9471488178024989E-2</v>
          </cell>
          <cell r="BD1732">
            <v>-7.7987421383647809E-2</v>
          </cell>
          <cell r="BE1732">
            <v>-0.13211327101329459</v>
          </cell>
          <cell r="BF1732">
            <v>0.22583999633789062</v>
          </cell>
          <cell r="BG1732">
            <v>0.1360919952392578</v>
          </cell>
        </row>
        <row r="1733">
          <cell r="D1733" t="str">
            <v>电气部件与设备</v>
          </cell>
          <cell r="M1733">
            <v>59.890697697599997</v>
          </cell>
          <cell r="N1733">
            <v>33.920380409207318</v>
          </cell>
          <cell r="O1733" t="str">
            <v>工业</v>
          </cell>
          <cell r="P1733" t="str">
            <v>资本货物</v>
          </cell>
          <cell r="Q1733" t="str">
            <v>电气设备</v>
          </cell>
          <cell r="BC1733">
            <v>0</v>
          </cell>
          <cell r="BD1733">
            <v>0</v>
          </cell>
          <cell r="BE1733">
            <v>-0.25483870967741934</v>
          </cell>
          <cell r="BF1733">
            <v>0.38237998962402342</v>
          </cell>
          <cell r="BG1733">
            <v>5.052000045776367E-2</v>
          </cell>
        </row>
        <row r="1734">
          <cell r="D1734" t="str">
            <v>工业机械</v>
          </cell>
          <cell r="M1734">
            <v>46.122187499999995</v>
          </cell>
          <cell r="N1734">
            <v>26.121063709120371</v>
          </cell>
          <cell r="O1734" t="str">
            <v>工业</v>
          </cell>
          <cell r="P1734" t="str">
            <v>资本货物</v>
          </cell>
          <cell r="Q1734" t="str">
            <v>机械</v>
          </cell>
          <cell r="BC1734">
            <v>0</v>
          </cell>
          <cell r="BD1734">
            <v>0</v>
          </cell>
          <cell r="BE1734">
            <v>0.13027603361862464</v>
          </cell>
          <cell r="BF1734">
            <v>0.75718803405761714</v>
          </cell>
          <cell r="BG1734">
            <v>0.18710399627685548</v>
          </cell>
        </row>
        <row r="1735">
          <cell r="D1735" t="str">
            <v>综合类行业</v>
          </cell>
          <cell r="M1735">
            <v>99.140422999999998</v>
          </cell>
          <cell r="N1735">
            <v>56.143713596246741</v>
          </cell>
          <cell r="O1735" t="str">
            <v>工业</v>
          </cell>
          <cell r="P1735" t="str">
            <v>资本货物</v>
          </cell>
          <cell r="Q1735" t="str">
            <v>综合类Ⅲ</v>
          </cell>
          <cell r="BC1735">
            <v>1.6586409844836742E-2</v>
          </cell>
          <cell r="BD1735">
            <v>-9.0038314176245166E-2</v>
          </cell>
          <cell r="BE1735">
            <v>5.4384017758046639E-2</v>
          </cell>
          <cell r="BF1735">
            <v>0.32098800659179688</v>
          </cell>
          <cell r="BG1735">
            <v>0.19826400756835938</v>
          </cell>
        </row>
        <row r="1736">
          <cell r="D1736" t="str">
            <v>电子元件</v>
          </cell>
          <cell r="M1736">
            <v>82.2683249695</v>
          </cell>
          <cell r="N1736">
            <v>46.570062208839175</v>
          </cell>
          <cell r="O1736" t="str">
            <v>信息技术</v>
          </cell>
          <cell r="P1736" t="str">
            <v>技术硬件与设备</v>
          </cell>
          <cell r="Q1736" t="str">
            <v>电子设备、仪器和元件</v>
          </cell>
          <cell r="BC1736">
            <v>5.0970170865913642E-2</v>
          </cell>
          <cell r="BD1736">
            <v>-5.6176853055916867E-2</v>
          </cell>
          <cell r="BE1736">
            <v>-0.36517717887427997</v>
          </cell>
          <cell r="BF1736">
            <v>8.6244001388549804E-2</v>
          </cell>
          <cell r="BG1736">
            <v>0</v>
          </cell>
        </row>
        <row r="1737">
          <cell r="D1737" t="str">
            <v>信息科技咨询与其它服务</v>
          </cell>
          <cell r="M1737">
            <v>129.43155696599999</v>
          </cell>
          <cell r="N1737">
            <v>73.264035176624546</v>
          </cell>
          <cell r="O1737" t="str">
            <v>信息技术</v>
          </cell>
          <cell r="P1737" t="str">
            <v>软件与服务</v>
          </cell>
          <cell r="Q1737" t="str">
            <v>信息技术服务</v>
          </cell>
          <cell r="BC1737">
            <v>-5.219206680585367E-4</v>
          </cell>
          <cell r="BD1737">
            <v>-3.7446594621764313E-2</v>
          </cell>
          <cell r="BE1737">
            <v>-0.59375397732846624</v>
          </cell>
          <cell r="BF1737">
            <v>0.66495597839355469</v>
          </cell>
          <cell r="BG1737">
            <v>0</v>
          </cell>
        </row>
        <row r="1738">
          <cell r="D1738" t="str">
            <v>建筑与工程</v>
          </cell>
          <cell r="M1738">
            <v>93.630356999999989</v>
          </cell>
          <cell r="N1738">
            <v>52.991835177839448</v>
          </cell>
          <cell r="O1738" t="str">
            <v>工业</v>
          </cell>
          <cell r="P1738" t="str">
            <v>资本货物</v>
          </cell>
          <cell r="Q1738" t="str">
            <v>建筑与工程Ⅲ</v>
          </cell>
          <cell r="BC1738">
            <v>-3.1508264462809889E-2</v>
          </cell>
          <cell r="BD1738">
            <v>0.29847645429362885</v>
          </cell>
          <cell r="BE1738">
            <v>0.29750078912073968</v>
          </cell>
          <cell r="BF1738">
            <v>0.38272800445556643</v>
          </cell>
          <cell r="BG1738">
            <v>0</v>
          </cell>
        </row>
        <row r="1739">
          <cell r="D1739" t="str">
            <v>家用电器</v>
          </cell>
          <cell r="M1739">
            <v>37.582709999999999</v>
          </cell>
          <cell r="N1739">
            <v>21.270277683982982</v>
          </cell>
          <cell r="O1739" t="str">
            <v>可选消费</v>
          </cell>
          <cell r="P1739" t="str">
            <v>耐用消费品与服装</v>
          </cell>
          <cell r="Q1739" t="str">
            <v>家庭耐用消费品</v>
          </cell>
          <cell r="BC1739">
            <v>4.8437499999999988E-2</v>
          </cell>
          <cell r="BD1739">
            <v>9.3427485062465995E-2</v>
          </cell>
          <cell r="BE1739">
            <v>0.21154430000962759</v>
          </cell>
          <cell r="BF1739">
            <v>0.2354159927368164</v>
          </cell>
          <cell r="BG1739">
            <v>0</v>
          </cell>
        </row>
        <row r="1740">
          <cell r="D1740" t="str">
            <v>房地产开发</v>
          </cell>
          <cell r="M1740">
            <v>52.265741413200004</v>
          </cell>
          <cell r="N1740">
            <v>29.574907472813933</v>
          </cell>
          <cell r="O1740" t="str">
            <v>金融</v>
          </cell>
          <cell r="P1740" t="str">
            <v>房地产</v>
          </cell>
          <cell r="Q1740" t="str">
            <v>房地产管理与开发</v>
          </cell>
          <cell r="BC1740">
            <v>5.2980132450331174E-2</v>
          </cell>
          <cell r="BD1740">
            <v>-1.7652250661959336E-2</v>
          </cell>
          <cell r="BE1740">
            <v>0.40998977297070444</v>
          </cell>
          <cell r="BF1740">
            <v>0.69204002380371099</v>
          </cell>
          <cell r="BG1740">
            <v>0.2586479949951172</v>
          </cell>
        </row>
        <row r="1741">
          <cell r="D1741" t="str">
            <v>煤炭与消费用燃料</v>
          </cell>
          <cell r="M1741">
            <v>44.747363700000008</v>
          </cell>
          <cell r="N1741">
            <v>25.316441552342596</v>
          </cell>
          <cell r="O1741" t="str">
            <v>能源</v>
          </cell>
          <cell r="P1741" t="str">
            <v>能源Ⅱ</v>
          </cell>
          <cell r="Q1741" t="str">
            <v>石油、天然气与供消费用燃料</v>
          </cell>
          <cell r="BC1741">
            <v>0</v>
          </cell>
          <cell r="BD1741">
            <v>0</v>
          </cell>
          <cell r="BE1741">
            <v>-3.9691289966923858E-2</v>
          </cell>
          <cell r="BF1741">
            <v>0.14208000183105468</v>
          </cell>
          <cell r="BG1741">
            <v>-9.3492002487182618E-2</v>
          </cell>
        </row>
        <row r="1742">
          <cell r="D1742" t="str">
            <v>纺织品</v>
          </cell>
          <cell r="M1742">
            <v>157.78598669979999</v>
          </cell>
          <cell r="N1742">
            <v>89.260284397962678</v>
          </cell>
          <cell r="O1742" t="str">
            <v>可选消费</v>
          </cell>
          <cell r="P1742" t="str">
            <v>耐用消费品与服装</v>
          </cell>
          <cell r="Q1742" t="str">
            <v>纺织品、服装与奢侈品</v>
          </cell>
          <cell r="BC1742">
            <v>3.6758563074352504E-2</v>
          </cell>
          <cell r="BD1742">
            <v>-9.0842490842490853E-2</v>
          </cell>
          <cell r="BE1742">
            <v>-0.29488636363636367</v>
          </cell>
          <cell r="BF1742">
            <v>0.79961997985839839</v>
          </cell>
          <cell r="BG1742">
            <v>0.29306400299072266</v>
          </cell>
        </row>
        <row r="1743">
          <cell r="D1743" t="str">
            <v>建筑机械与重型卡车</v>
          </cell>
          <cell r="M1743">
            <v>63.667315693799999</v>
          </cell>
          <cell r="N1743">
            <v>36.016333942675836</v>
          </cell>
          <cell r="O1743" t="str">
            <v>工业</v>
          </cell>
          <cell r="P1743" t="str">
            <v>资本货物</v>
          </cell>
          <cell r="Q1743" t="str">
            <v>机械</v>
          </cell>
          <cell r="BC1743">
            <v>4.9079754601225947E-3</v>
          </cell>
          <cell r="BD1743">
            <v>1.6759776536312825E-2</v>
          </cell>
          <cell r="BE1743">
            <v>-1.7396520695860989E-2</v>
          </cell>
          <cell r="BF1743">
            <v>0.44995201110839844</v>
          </cell>
          <cell r="BG1743">
            <v>3.7295999526977541E-2</v>
          </cell>
        </row>
        <row r="1744">
          <cell r="D1744" t="str">
            <v>中药</v>
          </cell>
          <cell r="M1744">
            <v>72.094573344200001</v>
          </cell>
          <cell r="N1744">
            <v>40.78282233016121</v>
          </cell>
          <cell r="O1744" t="str">
            <v>医疗保健</v>
          </cell>
          <cell r="P1744" t="str">
            <v>制药、生物科技与生命科学</v>
          </cell>
          <cell r="Q1744" t="str">
            <v>制药</v>
          </cell>
          <cell r="BC1744">
            <v>0</v>
          </cell>
          <cell r="BD1744">
            <v>1.3163982009482829E-8</v>
          </cell>
          <cell r="BE1744">
            <v>4.8780611878721195E-2</v>
          </cell>
          <cell r="BF1744">
            <v>0.59342399597167972</v>
          </cell>
          <cell r="BG1744">
            <v>0.37363201141357422</v>
          </cell>
        </row>
        <row r="1745">
          <cell r="D1745" t="str">
            <v>半导体产品</v>
          </cell>
          <cell r="M1745">
            <v>54.736000000000004</v>
          </cell>
          <cell r="N1745">
            <v>30.960738965541779</v>
          </cell>
          <cell r="O1745" t="str">
            <v>信息技术</v>
          </cell>
          <cell r="P1745" t="str">
            <v>半导体与半导体生产设备</v>
          </cell>
          <cell r="Q1745" t="str">
            <v>半导体产品与半导体设备</v>
          </cell>
          <cell r="BC1745">
            <v>6.2422360248447141E-2</v>
          </cell>
          <cell r="BD1745">
            <v>-4.8929663608562636E-2</v>
          </cell>
          <cell r="BE1745">
            <v>0.24066871694466563</v>
          </cell>
          <cell r="BF1745">
            <v>0.43233600616455076</v>
          </cell>
          <cell r="BG1745">
            <v>0</v>
          </cell>
        </row>
        <row r="1746">
          <cell r="D1746" t="str">
            <v>金属非金属</v>
          </cell>
          <cell r="M1746">
            <v>34.821221999999999</v>
          </cell>
          <cell r="N1746">
            <v>19.691349271392362</v>
          </cell>
          <cell r="O1746" t="str">
            <v>材料</v>
          </cell>
          <cell r="P1746" t="str">
            <v>材料Ⅱ</v>
          </cell>
          <cell r="Q1746" t="str">
            <v>金属、非金属与采矿</v>
          </cell>
          <cell r="BC1746">
            <v>8.3107007061379745E-2</v>
          </cell>
          <cell r="BD1746">
            <v>5.8948486457780301E-2</v>
          </cell>
          <cell r="BE1746">
            <v>-8.279668813247458E-2</v>
          </cell>
          <cell r="BF1746">
            <v>0.34070400238037107</v>
          </cell>
          <cell r="BG1746">
            <v>5.7611999511718748E-2</v>
          </cell>
        </row>
        <row r="1747">
          <cell r="D1747" t="str">
            <v>技术产品经销商</v>
          </cell>
          <cell r="M1747">
            <v>74.598230340000001</v>
          </cell>
          <cell r="N1747">
            <v>42.183718451120562</v>
          </cell>
          <cell r="O1747" t="str">
            <v>信息技术</v>
          </cell>
          <cell r="P1747" t="str">
            <v>技术硬件与设备</v>
          </cell>
          <cell r="Q1747" t="str">
            <v>电子设备、仪器和元件</v>
          </cell>
          <cell r="BC1747">
            <v>1.9721019721019729E-2</v>
          </cell>
          <cell r="BD1747">
            <v>-7.5850043591979152E-2</v>
          </cell>
          <cell r="BE1747">
            <v>0.39820941699379447</v>
          </cell>
          <cell r="BF1747">
            <v>0.53642398834228511</v>
          </cell>
          <cell r="BG1747">
            <v>0.25237199783325193</v>
          </cell>
        </row>
        <row r="1748">
          <cell r="D1748" t="str">
            <v>电子元件</v>
          </cell>
          <cell r="M1748">
            <v>122.0006832776</v>
          </cell>
          <cell r="N1748">
            <v>68.987738293302172</v>
          </cell>
          <cell r="O1748" t="str">
            <v>信息技术</v>
          </cell>
          <cell r="P1748" t="str">
            <v>技术硬件与设备</v>
          </cell>
          <cell r="Q1748" t="str">
            <v>电子设备、仪器和元件</v>
          </cell>
          <cell r="BC1748">
            <v>9.1024824952259678E-2</v>
          </cell>
          <cell r="BD1748">
            <v>-3.5724331926863466E-2</v>
          </cell>
          <cell r="BE1748">
            <v>-8.7254259283291308E-3</v>
          </cell>
          <cell r="BF1748">
            <v>0.40487998962402344</v>
          </cell>
          <cell r="BG1748">
            <v>0.20407199859619141</v>
          </cell>
        </row>
        <row r="1749">
          <cell r="D1749" t="str">
            <v>百货商店</v>
          </cell>
          <cell r="M1749">
            <v>60.245314379999996</v>
          </cell>
          <cell r="N1749">
            <v>34.063207625980731</v>
          </cell>
          <cell r="O1749" t="str">
            <v>可选消费</v>
          </cell>
          <cell r="P1749" t="str">
            <v>零售业</v>
          </cell>
          <cell r="Q1749" t="str">
            <v>多元化零售</v>
          </cell>
          <cell r="BC1749">
            <v>-2.7303754266211629E-2</v>
          </cell>
          <cell r="BD1749">
            <v>-0.11159600997506229</v>
          </cell>
          <cell r="BE1749">
            <v>0.16803278688524598</v>
          </cell>
          <cell r="BF1749">
            <v>0.22970399856567383</v>
          </cell>
          <cell r="BG1749">
            <v>0.22192800521850586</v>
          </cell>
        </row>
        <row r="1750">
          <cell r="D1750" t="str">
            <v>房地产开发</v>
          </cell>
          <cell r="M1750">
            <v>57.973999999999997</v>
          </cell>
          <cell r="N1750">
            <v>32.774964058653701</v>
          </cell>
          <cell r="O1750" t="str">
            <v>金融</v>
          </cell>
          <cell r="P1750" t="str">
            <v>房地产</v>
          </cell>
          <cell r="Q1750" t="str">
            <v>房地产管理与开发</v>
          </cell>
          <cell r="BC1750">
            <v>-5.6074766355140179E-2</v>
          </cell>
          <cell r="BD1750">
            <v>4.2613636363636716E-3</v>
          </cell>
          <cell r="BE1750">
            <v>5.1757463142505095E-2</v>
          </cell>
          <cell r="BF1750">
            <v>0.5341439819335938</v>
          </cell>
          <cell r="BG1750">
            <v>0.14126399993896485</v>
          </cell>
        </row>
        <row r="1751">
          <cell r="D1751" t="str">
            <v>工业机械</v>
          </cell>
          <cell r="M1751">
            <v>82.137708024100007</v>
          </cell>
          <cell r="N1751">
            <v>46.433555987938576</v>
          </cell>
          <cell r="O1751" t="str">
            <v>工业</v>
          </cell>
          <cell r="P1751" t="str">
            <v>资本货物</v>
          </cell>
          <cell r="Q1751" t="str">
            <v>机械</v>
          </cell>
          <cell r="BC1751">
            <v>5.4228534538411755E-2</v>
          </cell>
          <cell r="BD1751">
            <v>0.12310866574965607</v>
          </cell>
          <cell r="BE1751">
            <v>0.14195804195804179</v>
          </cell>
          <cell r="BF1751">
            <v>0.30949199676513672</v>
          </cell>
          <cell r="BG1751">
            <v>0.2281800079345703</v>
          </cell>
        </row>
        <row r="1752">
          <cell r="D1752" t="str">
            <v>公路运输</v>
          </cell>
          <cell r="M1752">
            <v>52.380959999999995</v>
          </cell>
          <cell r="N1752">
            <v>29.611450358459951</v>
          </cell>
          <cell r="O1752" t="str">
            <v>工业</v>
          </cell>
          <cell r="P1752" t="str">
            <v>运输</v>
          </cell>
          <cell r="Q1752" t="str">
            <v>公路与铁路运输</v>
          </cell>
          <cell r="BC1752">
            <v>2.9607250755286914E-2</v>
          </cell>
          <cell r="BD1752">
            <v>-6.2190423775454182E-2</v>
          </cell>
          <cell r="BE1752">
            <v>-0.32034964245428699</v>
          </cell>
          <cell r="BF1752">
            <v>0.22832399368286133</v>
          </cell>
          <cell r="BG1752">
            <v>0.28517999649047854</v>
          </cell>
        </row>
        <row r="1753">
          <cell r="D1753" t="str">
            <v>基础化工</v>
          </cell>
          <cell r="M1753">
            <v>82.294734599999998</v>
          </cell>
          <cell r="N1753">
            <v>46.521205207448496</v>
          </cell>
          <cell r="O1753" t="str">
            <v>材料</v>
          </cell>
          <cell r="P1753" t="str">
            <v>材料Ⅱ</v>
          </cell>
          <cell r="Q1753" t="str">
            <v>化工</v>
          </cell>
          <cell r="BC1753">
            <v>-1.7681728880157142E-2</v>
          </cell>
          <cell r="BD1753">
            <v>-2.534113060428848E-2</v>
          </cell>
          <cell r="BE1753">
            <v>-0.24060398158072033</v>
          </cell>
          <cell r="BF1753">
            <v>0.57897598266601558</v>
          </cell>
          <cell r="BG1753">
            <v>0.15496800422668458</v>
          </cell>
        </row>
        <row r="1754">
          <cell r="D1754" t="str">
            <v>半导体产品</v>
          </cell>
          <cell r="M1754">
            <v>81.830724959999998</v>
          </cell>
          <cell r="N1754">
            <v>46.255961838741484</v>
          </cell>
          <cell r="O1754" t="str">
            <v>信息技术</v>
          </cell>
          <cell r="P1754" t="str">
            <v>半导体与半导体生产设备</v>
          </cell>
          <cell r="Q1754" t="str">
            <v>半导体产品与半导体设备</v>
          </cell>
          <cell r="BC1754">
            <v>5.1381051381051285E-2</v>
          </cell>
          <cell r="BD1754">
            <v>-2.4793388429752029E-2</v>
          </cell>
          <cell r="BE1754">
            <v>0.16834157991713902</v>
          </cell>
          <cell r="BF1754">
            <v>0.82922401428222658</v>
          </cell>
          <cell r="BG1754">
            <v>0.3871200180053711</v>
          </cell>
        </row>
        <row r="1755">
          <cell r="D1755" t="str">
            <v>工业机械</v>
          </cell>
          <cell r="M1755">
            <v>389.20886450880005</v>
          </cell>
          <cell r="N1755">
            <v>219.96754532058239</v>
          </cell>
          <cell r="O1755" t="str">
            <v>工业</v>
          </cell>
          <cell r="P1755" t="str">
            <v>资本货物</v>
          </cell>
          <cell r="Q1755" t="str">
            <v>机械</v>
          </cell>
          <cell r="BC1755">
            <v>2.1403312860599401E-2</v>
          </cell>
          <cell r="BD1755">
            <v>1.7992951214988055E-2</v>
          </cell>
          <cell r="BE1755">
            <v>2.9758523435652093E-2</v>
          </cell>
          <cell r="BF1755">
            <v>0.57703201293945316</v>
          </cell>
          <cell r="BG1755">
            <v>0.38293201446533204</v>
          </cell>
        </row>
        <row r="1756">
          <cell r="D1756" t="str">
            <v>金属非金属</v>
          </cell>
          <cell r="M1756">
            <v>34.401827499999996</v>
          </cell>
          <cell r="N1756">
            <v>19.441344390336877</v>
          </cell>
          <cell r="O1756" t="str">
            <v>材料</v>
          </cell>
          <cell r="P1756" t="str">
            <v>材料Ⅱ</v>
          </cell>
          <cell r="Q1756" t="str">
            <v>金属、非金属与采矿</v>
          </cell>
          <cell r="BC1756">
            <v>6.2971636742128592E-2</v>
          </cell>
          <cell r="BD1756">
            <v>-2.9921633816195631E-2</v>
          </cell>
          <cell r="BE1756">
            <v>0</v>
          </cell>
          <cell r="BF1756">
            <v>0</v>
          </cell>
          <cell r="BG1756">
            <v>0</v>
          </cell>
        </row>
        <row r="1757">
          <cell r="D1757" t="str">
            <v>食品加工与肉类</v>
          </cell>
          <cell r="M1757">
            <v>29.002427999999998</v>
          </cell>
          <cell r="N1757">
            <v>16.38716523295864</v>
          </cell>
          <cell r="O1757" t="str">
            <v>日常消费</v>
          </cell>
          <cell r="P1757" t="str">
            <v>食品、饮料与烟草</v>
          </cell>
          <cell r="Q1757" t="str">
            <v>食品</v>
          </cell>
          <cell r="BC1757">
            <v>5.1660516605164944E-3</v>
          </cell>
          <cell r="BD1757">
            <v>-2.1978021978022811E-3</v>
          </cell>
          <cell r="BE1757">
            <v>-1.3730138680773671E-2</v>
          </cell>
          <cell r="BF1757">
            <v>0.19270799636840821</v>
          </cell>
          <cell r="BG1757">
            <v>8.5271997451782225E-2</v>
          </cell>
        </row>
        <row r="1758">
          <cell r="D1758" t="str">
            <v>基础化工</v>
          </cell>
          <cell r="M1758">
            <v>70.656772736999997</v>
          </cell>
          <cell r="N1758">
            <v>39.91838146724966</v>
          </cell>
          <cell r="O1758" t="str">
            <v>材料</v>
          </cell>
          <cell r="P1758" t="str">
            <v>材料Ⅱ</v>
          </cell>
          <cell r="Q1758" t="str">
            <v>化工</v>
          </cell>
          <cell r="BC1758">
            <v>-8.0563947633434108E-3</v>
          </cell>
          <cell r="BD1758">
            <v>-8.2867783985102472E-2</v>
          </cell>
          <cell r="BE1758">
            <v>-0.18443297757424823</v>
          </cell>
          <cell r="BF1758">
            <v>0.10336799621582031</v>
          </cell>
          <cell r="BG1758">
            <v>0</v>
          </cell>
        </row>
        <row r="1759">
          <cell r="D1759" t="str">
            <v>工业机械</v>
          </cell>
          <cell r="M1759">
            <v>136.45010222670001</v>
          </cell>
          <cell r="N1759">
            <v>77.075527225005956</v>
          </cell>
          <cell r="O1759" t="str">
            <v>工业</v>
          </cell>
          <cell r="P1759" t="str">
            <v>资本货物</v>
          </cell>
          <cell r="Q1759" t="str">
            <v>机械</v>
          </cell>
          <cell r="BC1759">
            <v>5.8866995073891634E-2</v>
          </cell>
          <cell r="BD1759">
            <v>-3.0446549391069042E-2</v>
          </cell>
          <cell r="BE1759">
            <v>0.61011235955056187</v>
          </cell>
          <cell r="BF1759">
            <v>1.0575720214843749</v>
          </cell>
          <cell r="BG1759">
            <v>0.34591201782226561</v>
          </cell>
        </row>
        <row r="1760">
          <cell r="D1760" t="str">
            <v>广告</v>
          </cell>
          <cell r="M1760">
            <v>229.92763802359997</v>
          </cell>
          <cell r="N1760">
            <v>129.85704583872254</v>
          </cell>
          <cell r="O1760" t="str">
            <v>可选消费</v>
          </cell>
          <cell r="P1760" t="str">
            <v>媒体Ⅱ</v>
          </cell>
          <cell r="Q1760" t="str">
            <v>媒体Ⅲ</v>
          </cell>
          <cell r="BC1760">
            <v>1.6290726817042481E-2</v>
          </cell>
          <cell r="BD1760">
            <v>-8.7739032620922502E-2</v>
          </cell>
          <cell r="BE1760">
            <v>-0.28978039755242657</v>
          </cell>
          <cell r="BF1760">
            <v>0.16167600631713866</v>
          </cell>
          <cell r="BG1760">
            <v>0.17287200927734375</v>
          </cell>
        </row>
        <row r="1761">
          <cell r="D1761" t="str">
            <v>西药</v>
          </cell>
          <cell r="M1761">
            <v>48.566622546000005</v>
          </cell>
          <cell r="N1761">
            <v>27.428971914386597</v>
          </cell>
          <cell r="O1761" t="str">
            <v>医疗保健</v>
          </cell>
          <cell r="P1761" t="str">
            <v>制药、生物科技与生命科学</v>
          </cell>
          <cell r="Q1761" t="str">
            <v>制药</v>
          </cell>
          <cell r="BC1761">
            <v>2.0172910662824117E-2</v>
          </cell>
          <cell r="BD1761">
            <v>-7.6521739130434849E-2</v>
          </cell>
          <cell r="BE1761">
            <v>3.983480001669492E-2</v>
          </cell>
          <cell r="BF1761">
            <v>0.30625200271606445</v>
          </cell>
          <cell r="BG1761">
            <v>0.11805600166320801</v>
          </cell>
        </row>
        <row r="1762">
          <cell r="D1762" t="str">
            <v>建材</v>
          </cell>
          <cell r="M1762">
            <v>477.29636968979997</v>
          </cell>
          <cell r="N1762">
            <v>269.37721747469374</v>
          </cell>
          <cell r="O1762" t="str">
            <v>材料</v>
          </cell>
          <cell r="P1762" t="str">
            <v>材料Ⅱ</v>
          </cell>
          <cell r="Q1762" t="str">
            <v>建材Ⅲ</v>
          </cell>
          <cell r="BC1762">
            <v>3.1141868512110676E-2</v>
          </cell>
          <cell r="BD1762">
            <v>8.759124087591226E-2</v>
          </cell>
          <cell r="BE1762">
            <v>-0.10792210428996674</v>
          </cell>
          <cell r="BF1762">
            <v>0.33318000793457031</v>
          </cell>
          <cell r="BG1762">
            <v>0.12974399566650391</v>
          </cell>
        </row>
        <row r="1763">
          <cell r="D1763" t="str">
            <v>食品加工与肉类</v>
          </cell>
          <cell r="M1763">
            <v>64.435528856800019</v>
          </cell>
          <cell r="N1763">
            <v>36.365119370068768</v>
          </cell>
          <cell r="O1763" t="str">
            <v>日常消费</v>
          </cell>
          <cell r="P1763" t="str">
            <v>食品、饮料与烟草</v>
          </cell>
          <cell r="Q1763" t="str">
            <v>食品</v>
          </cell>
          <cell r="BC1763">
            <v>3.2704402515723353E-2</v>
          </cell>
          <cell r="BD1763">
            <v>2.3690773067331833E-2</v>
          </cell>
          <cell r="BE1763">
            <v>-0.33586197364700071</v>
          </cell>
          <cell r="BF1763">
            <v>9.3360004425048826E-2</v>
          </cell>
          <cell r="BG1763">
            <v>-7.0200002193450926E-3</v>
          </cell>
        </row>
        <row r="1764">
          <cell r="D1764" t="str">
            <v>建筑机械与重型卡车</v>
          </cell>
          <cell r="M1764">
            <v>57.475724984999999</v>
          </cell>
          <cell r="N1764">
            <v>32.433870858374569</v>
          </cell>
          <cell r="O1764" t="str">
            <v>工业</v>
          </cell>
          <cell r="P1764" t="str">
            <v>资本货物</v>
          </cell>
          <cell r="Q1764" t="str">
            <v>机械</v>
          </cell>
          <cell r="BC1764">
            <v>0</v>
          </cell>
          <cell r="BD1764">
            <v>0</v>
          </cell>
          <cell r="BE1764">
            <v>0.90756376909615522</v>
          </cell>
          <cell r="BF1764">
            <v>0.82003196716308591</v>
          </cell>
          <cell r="BG1764">
            <v>0</v>
          </cell>
        </row>
        <row r="1765">
          <cell r="D1765" t="str">
            <v>食品加工与肉类</v>
          </cell>
          <cell r="M1765">
            <v>64.601688800000005</v>
          </cell>
          <cell r="N1765">
            <v>36.451294458713733</v>
          </cell>
          <cell r="O1765" t="str">
            <v>日常消费</v>
          </cell>
          <cell r="P1765" t="str">
            <v>食品、饮料与烟草</v>
          </cell>
          <cell r="Q1765" t="str">
            <v>食品</v>
          </cell>
          <cell r="BC1765">
            <v>2.9453015427769982E-2</v>
          </cell>
          <cell r="BD1765">
            <v>1.2413793103448256E-2</v>
          </cell>
          <cell r="BE1765">
            <v>-0.18625277161862525</v>
          </cell>
          <cell r="BF1765">
            <v>1.3451999425888062E-2</v>
          </cell>
          <cell r="BG1765">
            <v>3.4716000556945799E-2</v>
          </cell>
        </row>
        <row r="1766">
          <cell r="D1766" t="str">
            <v>纺织品</v>
          </cell>
          <cell r="M1766">
            <v>30.141854339999998</v>
          </cell>
          <cell r="N1766">
            <v>17.00663650552778</v>
          </cell>
          <cell r="O1766" t="str">
            <v>可选消费</v>
          </cell>
          <cell r="P1766" t="str">
            <v>耐用消费品与服装</v>
          </cell>
          <cell r="Q1766" t="str">
            <v>纺织品、服装与奢侈品</v>
          </cell>
          <cell r="BC1766">
            <v>4.9029622063329975E-2</v>
          </cell>
          <cell r="BD1766">
            <v>1.6831683168316826E-2</v>
          </cell>
          <cell r="BE1766">
            <v>9.9571734475374707E-2</v>
          </cell>
          <cell r="BF1766">
            <v>0.41736000061035156</v>
          </cell>
          <cell r="BG1766">
            <v>0.16605600357055664</v>
          </cell>
        </row>
        <row r="1767">
          <cell r="D1767" t="str">
            <v>林木产品</v>
          </cell>
          <cell r="M1767">
            <v>188.77302180000001</v>
          </cell>
          <cell r="N1767">
            <v>106.50347373288193</v>
          </cell>
          <cell r="O1767" t="str">
            <v>材料</v>
          </cell>
          <cell r="P1767" t="str">
            <v>材料Ⅱ</v>
          </cell>
          <cell r="Q1767" t="str">
            <v>纸与林木产品</v>
          </cell>
          <cell r="BC1767">
            <v>0</v>
          </cell>
          <cell r="BD1767">
            <v>0</v>
          </cell>
          <cell r="BE1767">
            <v>1.0643146833840775</v>
          </cell>
          <cell r="BF1767">
            <v>1.3868760681152343</v>
          </cell>
          <cell r="BG1767">
            <v>0</v>
          </cell>
        </row>
        <row r="1768">
          <cell r="D1768" t="str">
            <v>工业机械</v>
          </cell>
          <cell r="M1768">
            <v>108.90034139599999</v>
          </cell>
          <cell r="N1768">
            <v>61.422039647106303</v>
          </cell>
          <cell r="O1768" t="str">
            <v>工业</v>
          </cell>
          <cell r="P1768" t="str">
            <v>资本货物</v>
          </cell>
          <cell r="Q1768" t="str">
            <v>机械</v>
          </cell>
          <cell r="BC1768">
            <v>7.9928315412186396E-2</v>
          </cell>
          <cell r="BD1768">
            <v>6.919801277501772E-2</v>
          </cell>
          <cell r="BE1768">
            <v>-0.22669946298162111</v>
          </cell>
          <cell r="BF1768">
            <v>1.0286039733886718</v>
          </cell>
          <cell r="BG1768">
            <v>0</v>
          </cell>
        </row>
        <row r="1769">
          <cell r="D1769" t="str">
            <v>新能源发电业者</v>
          </cell>
          <cell r="M1769">
            <v>34.9894914124</v>
          </cell>
          <cell r="N1769">
            <v>19.730572454838551</v>
          </cell>
          <cell r="O1769" t="str">
            <v>公用事业</v>
          </cell>
          <cell r="P1769" t="str">
            <v>公用事业Ⅱ</v>
          </cell>
          <cell r="Q1769" t="str">
            <v>独立电力生产商与能源贸易商Ⅲ</v>
          </cell>
          <cell r="BC1769">
            <v>3.5256410256410214E-2</v>
          </cell>
          <cell r="BD1769">
            <v>-1.972685887708648E-2</v>
          </cell>
          <cell r="BE1769">
            <v>-0.325678496868476</v>
          </cell>
          <cell r="BF1769">
            <v>2.7276000976562499E-2</v>
          </cell>
          <cell r="BG1769">
            <v>-7.9643998146057132E-2</v>
          </cell>
        </row>
        <row r="1770">
          <cell r="D1770" t="str">
            <v>酒店、度假村与豪华游轮</v>
          </cell>
          <cell r="M1770">
            <v>28.977943082399999</v>
          </cell>
          <cell r="N1770">
            <v>16.340027656656666</v>
          </cell>
          <cell r="O1770" t="str">
            <v>可选消费</v>
          </cell>
          <cell r="P1770" t="str">
            <v>消费者服务Ⅱ</v>
          </cell>
          <cell r="Q1770" t="str">
            <v>酒店、餐馆与休闲Ⅲ</v>
          </cell>
          <cell r="BC1770">
            <v>3.2786885245902398E-3</v>
          </cell>
          <cell r="BD1770">
            <v>-5.3364269141531286E-2</v>
          </cell>
          <cell r="BE1770">
            <v>-9.8010316875460579E-2</v>
          </cell>
          <cell r="BF1770">
            <v>0.35467201232910156</v>
          </cell>
          <cell r="BG1770">
            <v>3.1187999248504638E-2</v>
          </cell>
        </row>
        <row r="1771">
          <cell r="D1771" t="str">
            <v>航天航空与国防</v>
          </cell>
          <cell r="M1771">
            <v>765.45672500000001</v>
          </cell>
          <cell r="N1771">
            <v>431.53925187627675</v>
          </cell>
          <cell r="O1771" t="str">
            <v>工业</v>
          </cell>
          <cell r="P1771" t="str">
            <v>资本货物</v>
          </cell>
          <cell r="Q1771" t="str">
            <v>航空航天与国防Ⅲ</v>
          </cell>
          <cell r="BC1771">
            <v>1.4200877872450408E-2</v>
          </cell>
          <cell r="BD1771">
            <v>-1.2712941774725951E-3</v>
          </cell>
          <cell r="BE1771">
            <v>0.10077889557837399</v>
          </cell>
          <cell r="BF1771">
            <v>0.3403200149536133</v>
          </cell>
          <cell r="BG1771">
            <v>0.25461599349975583</v>
          </cell>
        </row>
        <row r="1772">
          <cell r="D1772" t="str">
            <v>电子元件</v>
          </cell>
          <cell r="M1772">
            <v>97.961218828200018</v>
          </cell>
          <cell r="N1772">
            <v>55.219970800809143</v>
          </cell>
          <cell r="O1772" t="str">
            <v>信息技术</v>
          </cell>
          <cell r="P1772" t="str">
            <v>技术硬件与设备</v>
          </cell>
          <cell r="Q1772" t="str">
            <v>电子设备、仪器和元件</v>
          </cell>
          <cell r="BC1772">
            <v>7.5216138328530233E-2</v>
          </cell>
          <cell r="BD1772">
            <v>3.3804377944028782E-2</v>
          </cell>
          <cell r="BE1772">
            <v>0.30604051074400618</v>
          </cell>
          <cell r="BF1772">
            <v>0.58558799743652346</v>
          </cell>
          <cell r="BG1772">
            <v>0.28402799606323242</v>
          </cell>
        </row>
        <row r="1773">
          <cell r="D1773" t="str">
            <v>工业机械</v>
          </cell>
          <cell r="M1773">
            <v>102.2416732993</v>
          </cell>
          <cell r="N1773">
            <v>57.631191529625568</v>
          </cell>
          <cell r="O1773" t="str">
            <v>工业</v>
          </cell>
          <cell r="P1773" t="str">
            <v>资本货物</v>
          </cell>
          <cell r="Q1773" t="str">
            <v>机械</v>
          </cell>
          <cell r="BC1773">
            <v>2.042483660130719E-2</v>
          </cell>
          <cell r="BD1773">
            <v>1.6038492381715776E-3</v>
          </cell>
          <cell r="BE1773">
            <v>-0.33823937910316421</v>
          </cell>
          <cell r="BF1773">
            <v>0.19504800796508789</v>
          </cell>
          <cell r="BG1773">
            <v>-3.8796000480651856E-2</v>
          </cell>
        </row>
        <row r="1774">
          <cell r="D1774" t="str">
            <v>房地产开发</v>
          </cell>
          <cell r="M1774">
            <v>41.696302065499999</v>
          </cell>
          <cell r="N1774">
            <v>23.499664909706837</v>
          </cell>
          <cell r="O1774" t="str">
            <v>金融</v>
          </cell>
          <cell r="P1774" t="str">
            <v>房地产</v>
          </cell>
          <cell r="Q1774" t="str">
            <v>房地产管理与开发</v>
          </cell>
          <cell r="BC1774">
            <v>0</v>
          </cell>
          <cell r="BD1774">
            <v>0</v>
          </cell>
          <cell r="BE1774">
            <v>0.14398651170947444</v>
          </cell>
          <cell r="BF1774">
            <v>0.57211200714111332</v>
          </cell>
          <cell r="BG1774">
            <v>0.20660400390625</v>
          </cell>
        </row>
        <row r="1775">
          <cell r="D1775" t="str">
            <v>房地产开发</v>
          </cell>
          <cell r="M1775">
            <v>59.656469496</v>
          </cell>
          <cell r="N1775">
            <v>33.616113896978518</v>
          </cell>
          <cell r="O1775" t="str">
            <v>金融</v>
          </cell>
          <cell r="P1775" t="str">
            <v>房地产</v>
          </cell>
          <cell r="Q1775" t="str">
            <v>房地产管理与开发</v>
          </cell>
          <cell r="BC1775">
            <v>1.3761467889908166E-2</v>
          </cell>
          <cell r="BD1775">
            <v>-3.5986913849509278E-2</v>
          </cell>
          <cell r="BE1775">
            <v>-0.14506769825918761</v>
          </cell>
          <cell r="BF1775">
            <v>0.34018798828125002</v>
          </cell>
          <cell r="BG1775">
            <v>5.9987998008728026E-2</v>
          </cell>
        </row>
        <row r="1776">
          <cell r="D1776" t="str">
            <v>汽车制造</v>
          </cell>
          <cell r="M1776">
            <v>97.526940061799991</v>
          </cell>
          <cell r="N1776">
            <v>54.947879031852302</v>
          </cell>
          <cell r="O1776" t="str">
            <v>可选消费</v>
          </cell>
          <cell r="P1776" t="str">
            <v>汽车与汽车零部件</v>
          </cell>
          <cell r="Q1776" t="str">
            <v>汽车</v>
          </cell>
          <cell r="BC1776">
            <v>0.22268041237113406</v>
          </cell>
          <cell r="BD1776">
            <v>0.19797979797979787</v>
          </cell>
          <cell r="BE1776">
            <v>-0.18767123287671234</v>
          </cell>
          <cell r="BF1776">
            <v>0.12093600273132324</v>
          </cell>
          <cell r="BG1776">
            <v>9.84000027179718E-3</v>
          </cell>
        </row>
        <row r="1777">
          <cell r="D1777" t="str">
            <v>建材</v>
          </cell>
          <cell r="M1777">
            <v>37.136642399999999</v>
          </cell>
          <cell r="N1777">
            <v>20.922377233677473</v>
          </cell>
          <cell r="O1777" t="str">
            <v>材料</v>
          </cell>
          <cell r="P1777" t="str">
            <v>材料Ⅱ</v>
          </cell>
          <cell r="Q1777" t="str">
            <v>建材Ⅲ</v>
          </cell>
          <cell r="BC1777">
            <v>-3.9682539682539597E-2</v>
          </cell>
          <cell r="BD1777">
            <v>0.13410237923576074</v>
          </cell>
          <cell r="BE1777">
            <v>0.27677520587570559</v>
          </cell>
          <cell r="BF1777">
            <v>0.60490798950195312</v>
          </cell>
          <cell r="BG1777">
            <v>0.10378800392150879</v>
          </cell>
        </row>
        <row r="1778">
          <cell r="D1778" t="str">
            <v>金属非金属</v>
          </cell>
          <cell r="M1778">
            <v>84.838570624799985</v>
          </cell>
          <cell r="N1778">
            <v>47.790258450540051</v>
          </cell>
          <cell r="O1778" t="str">
            <v>材料</v>
          </cell>
          <cell r="P1778" t="str">
            <v>材料Ⅱ</v>
          </cell>
          <cell r="Q1778" t="str">
            <v>金属、非金属与采矿</v>
          </cell>
          <cell r="BC1778">
            <v>-1.0881392818280508E-3</v>
          </cell>
          <cell r="BD1778">
            <v>-1.1840688912809412E-2</v>
          </cell>
          <cell r="BE1778">
            <v>-0.29057187017001546</v>
          </cell>
          <cell r="BF1778">
            <v>0.1854360008239746</v>
          </cell>
          <cell r="BG1778">
            <v>-4.1627998352050784E-2</v>
          </cell>
        </row>
        <row r="1779">
          <cell r="D1779" t="str">
            <v>电影与娱乐</v>
          </cell>
          <cell r="M1779">
            <v>116.77440818000001</v>
          </cell>
          <cell r="N1779">
            <v>65.770908819888874</v>
          </cell>
          <cell r="O1779" t="str">
            <v>可选消费</v>
          </cell>
          <cell r="P1779" t="str">
            <v>媒体Ⅱ</v>
          </cell>
          <cell r="Q1779" t="str">
            <v>媒体Ⅲ</v>
          </cell>
          <cell r="BC1779">
            <v>0.11213915618060701</v>
          </cell>
          <cell r="BD1779">
            <v>0.20974235104669892</v>
          </cell>
          <cell r="BE1779">
            <v>0.542105913023462</v>
          </cell>
          <cell r="BF1779">
            <v>0.75791999816894529</v>
          </cell>
          <cell r="BG1779">
            <v>0.37688400268554689</v>
          </cell>
        </row>
        <row r="1780">
          <cell r="D1780" t="str">
            <v>建筑与工程</v>
          </cell>
          <cell r="M1780">
            <v>181.24864787519999</v>
          </cell>
          <cell r="N1780">
            <v>102.08140392322112</v>
          </cell>
          <cell r="O1780" t="str">
            <v>工业</v>
          </cell>
          <cell r="P1780" t="str">
            <v>资本货物</v>
          </cell>
          <cell r="Q1780" t="str">
            <v>建筑与工程Ⅲ</v>
          </cell>
          <cell r="BC1780">
            <v>5.8327932598833346E-3</v>
          </cell>
          <cell r="BD1780">
            <v>6.0833902939166011E-2</v>
          </cell>
          <cell r="BE1780">
            <v>3.7108186415717066E-2</v>
          </cell>
          <cell r="BF1780">
            <v>0.52684799194335941</v>
          </cell>
          <cell r="BG1780">
            <v>0.18068399429321289</v>
          </cell>
        </row>
        <row r="1781">
          <cell r="D1781" t="str">
            <v>电子设备和仪器</v>
          </cell>
          <cell r="M1781">
            <v>71.528940000000006</v>
          </cell>
          <cell r="N1781">
            <v>40.268701350788746</v>
          </cell>
          <cell r="O1781" t="str">
            <v>信息技术</v>
          </cell>
          <cell r="P1781" t="str">
            <v>技术硬件与设备</v>
          </cell>
          <cell r="Q1781" t="str">
            <v>电子设备、仪器和元件</v>
          </cell>
          <cell r="BC1781">
            <v>3.6092715231788072E-2</v>
          </cell>
          <cell r="BD1781">
            <v>-5.3252647503782093E-2</v>
          </cell>
          <cell r="BE1781">
            <v>-0.21539731546868748</v>
          </cell>
          <cell r="BF1781">
            <v>0.84650398254394532</v>
          </cell>
          <cell r="BG1781">
            <v>0.4410599899291992</v>
          </cell>
        </row>
        <row r="1782">
          <cell r="D1782" t="str">
            <v>房地产开发</v>
          </cell>
          <cell r="M1782">
            <v>68.744161001599991</v>
          </cell>
          <cell r="N1782">
            <v>38.700893817360587</v>
          </cell>
          <cell r="O1782" t="str">
            <v>金融</v>
          </cell>
          <cell r="P1782" t="str">
            <v>房地产</v>
          </cell>
          <cell r="Q1782" t="str">
            <v>房地产管理与开发</v>
          </cell>
          <cell r="BC1782">
            <v>3.4559643255295286E-2</v>
          </cell>
          <cell r="BD1782">
            <v>-2.521008403361347E-2</v>
          </cell>
          <cell r="BE1782">
            <v>-1.2765957446808616E-2</v>
          </cell>
          <cell r="BF1782">
            <v>0.47017200469970705</v>
          </cell>
          <cell r="BG1782">
            <v>0.15522000312805176</v>
          </cell>
        </row>
        <row r="1783">
          <cell r="D1783" t="str">
            <v>工业机械</v>
          </cell>
          <cell r="M1783">
            <v>84.683107726399996</v>
          </cell>
          <cell r="N1783">
            <v>47.673303463026649</v>
          </cell>
          <cell r="O1783" t="str">
            <v>工业</v>
          </cell>
          <cell r="P1783" t="str">
            <v>资本货物</v>
          </cell>
          <cell r="Q1783" t="str">
            <v>机械</v>
          </cell>
          <cell r="BC1783">
            <v>2.9084158415841513E-2</v>
          </cell>
          <cell r="BD1783">
            <v>-2.4633431085044087E-2</v>
          </cell>
          <cell r="BE1783">
            <v>-0.29830291821740695</v>
          </cell>
          <cell r="BF1783">
            <v>4.9464001655578613E-2</v>
          </cell>
          <cell r="BG1783">
            <v>0.17351999282836914</v>
          </cell>
        </row>
        <row r="1784">
          <cell r="D1784" t="str">
            <v>房地产开发</v>
          </cell>
          <cell r="M1784">
            <v>53.323079054999994</v>
          </cell>
          <cell r="N1784">
            <v>30.01451234526327</v>
          </cell>
          <cell r="O1784" t="str">
            <v>金融</v>
          </cell>
          <cell r="P1784" t="str">
            <v>房地产</v>
          </cell>
          <cell r="Q1784" t="str">
            <v>房地产管理与开发</v>
          </cell>
          <cell r="BC1784">
            <v>4.2047531992687466E-2</v>
          </cell>
          <cell r="BD1784">
            <v>-3.5532994923857864E-2</v>
          </cell>
          <cell r="BE1784">
            <v>-0.32862190812720848</v>
          </cell>
          <cell r="BF1784">
            <v>-5.2140002250671384E-2</v>
          </cell>
          <cell r="BG1784">
            <v>7.0812001228332519E-2</v>
          </cell>
        </row>
        <row r="1785">
          <cell r="D1785" t="str">
            <v>工业机械</v>
          </cell>
          <cell r="M1785">
            <v>68.399999999999991</v>
          </cell>
          <cell r="N1785">
            <v>38.500163596173614</v>
          </cell>
          <cell r="O1785" t="str">
            <v>工业</v>
          </cell>
          <cell r="P1785" t="str">
            <v>资本货物</v>
          </cell>
          <cell r="Q1785" t="str">
            <v>机械</v>
          </cell>
          <cell r="BC1785">
            <v>9.1954022988505704E-2</v>
          </cell>
          <cell r="BD1785">
            <v>8.1081081081080988E-2</v>
          </cell>
          <cell r="BE1785">
            <v>-3.7475625060521274E-2</v>
          </cell>
          <cell r="BF1785">
            <v>0.278843994140625</v>
          </cell>
          <cell r="BG1785">
            <v>0</v>
          </cell>
        </row>
        <row r="1786">
          <cell r="D1786" t="str">
            <v>百货商店</v>
          </cell>
          <cell r="M1786">
            <v>28.187074515599999</v>
          </cell>
          <cell r="N1786">
            <v>15.864860680138195</v>
          </cell>
          <cell r="O1786" t="str">
            <v>可选消费</v>
          </cell>
          <cell r="P1786" t="str">
            <v>零售业</v>
          </cell>
          <cell r="Q1786" t="str">
            <v>多元化零售</v>
          </cell>
          <cell r="BC1786">
            <v>-9.7345132743362761E-2</v>
          </cell>
          <cell r="BD1786">
            <v>-4.5106382978723353E-2</v>
          </cell>
          <cell r="BE1786">
            <v>2.9521811724707726E-2</v>
          </cell>
          <cell r="BF1786">
            <v>0.41282398223876954</v>
          </cell>
          <cell r="BG1786">
            <v>6.148799896240234E-2</v>
          </cell>
        </row>
        <row r="1787">
          <cell r="D1787" t="str">
            <v>特种化工</v>
          </cell>
          <cell r="M1787">
            <v>83.416666717200002</v>
          </cell>
          <cell r="N1787">
            <v>46.944093477080621</v>
          </cell>
          <cell r="O1787" t="str">
            <v>材料</v>
          </cell>
          <cell r="P1787" t="str">
            <v>材料Ⅱ</v>
          </cell>
          <cell r="Q1787" t="str">
            <v>化工</v>
          </cell>
          <cell r="BC1787">
            <v>-4.4477234401349063E-2</v>
          </cell>
          <cell r="BD1787">
            <v>0.23514986376021785</v>
          </cell>
          <cell r="BE1787">
            <v>0.25846751804553009</v>
          </cell>
          <cell r="BF1787">
            <v>0.2286359977722168</v>
          </cell>
          <cell r="BG1787">
            <v>0.19754400253295898</v>
          </cell>
        </row>
        <row r="1788">
          <cell r="D1788" t="str">
            <v>酒店、度假村与豪华游轮</v>
          </cell>
          <cell r="M1788">
            <v>32.168133760000003</v>
          </cell>
          <cell r="N1788">
            <v>18.102052339225882</v>
          </cell>
          <cell r="O1788" t="str">
            <v>可选消费</v>
          </cell>
          <cell r="P1788" t="str">
            <v>消费者服务Ⅱ</v>
          </cell>
          <cell r="Q1788" t="str">
            <v>酒店、餐馆与休闲Ⅲ</v>
          </cell>
          <cell r="BC1788">
            <v>3.107019562715781E-2</v>
          </cell>
          <cell r="BD1788">
            <v>-3.337041156840863E-3</v>
          </cell>
          <cell r="BE1788">
            <v>-6.1288632792037619E-2</v>
          </cell>
          <cell r="BF1788">
            <v>0.25123199462890627</v>
          </cell>
          <cell r="BG1788">
            <v>7.0367999076843268E-2</v>
          </cell>
        </row>
        <row r="1789">
          <cell r="D1789" t="str">
            <v>建筑机械与重型卡车</v>
          </cell>
          <cell r="M1789">
            <v>98.146619999999999</v>
          </cell>
          <cell r="N1789">
            <v>55.212765193789004</v>
          </cell>
          <cell r="O1789" t="str">
            <v>工业</v>
          </cell>
          <cell r="P1789" t="str">
            <v>资本货物</v>
          </cell>
          <cell r="Q1789" t="str">
            <v>机械</v>
          </cell>
          <cell r="BC1789">
            <v>1.7910447761194E-2</v>
          </cell>
          <cell r="BD1789">
            <v>-4.9256505576208122E-2</v>
          </cell>
          <cell r="BE1789">
            <v>0.60091523558976589</v>
          </cell>
          <cell r="BF1789">
            <v>0.70820396423339849</v>
          </cell>
          <cell r="BG1789">
            <v>0.15640800476074218</v>
          </cell>
        </row>
        <row r="1790">
          <cell r="D1790" t="str">
            <v>通信设备</v>
          </cell>
          <cell r="M1790">
            <v>146.34179550479999</v>
          </cell>
          <cell r="N1790">
            <v>82.324150440532364</v>
          </cell>
          <cell r="O1790" t="str">
            <v>信息技术</v>
          </cell>
          <cell r="P1790" t="str">
            <v>技术硬件与设备</v>
          </cell>
          <cell r="Q1790" t="str">
            <v>通信设备Ⅲ</v>
          </cell>
          <cell r="BC1790">
            <v>4.4710327455919338E-2</v>
          </cell>
          <cell r="BD1790">
            <v>-3.2653061224489723E-2</v>
          </cell>
          <cell r="BE1790">
            <v>-0.35372029606544608</v>
          </cell>
          <cell r="BF1790">
            <v>0.1258080005645752</v>
          </cell>
          <cell r="BG1790">
            <v>0.13668000221252441</v>
          </cell>
        </row>
        <row r="1791">
          <cell r="D1791" t="str">
            <v>纸制品</v>
          </cell>
          <cell r="M1791">
            <v>115.64504608839999</v>
          </cell>
          <cell r="N1791">
            <v>65.052182639101375</v>
          </cell>
          <cell r="O1791" t="str">
            <v>材料</v>
          </cell>
          <cell r="P1791" t="str">
            <v>材料Ⅱ</v>
          </cell>
          <cell r="Q1791" t="str">
            <v>纸与林木产品</v>
          </cell>
          <cell r="BC1791">
            <v>3.2679738562090806E-3</v>
          </cell>
          <cell r="BD1791">
            <v>-9.6774193548387899E-3</v>
          </cell>
          <cell r="BE1791">
            <v>-0.21684179753510641</v>
          </cell>
          <cell r="BF1791">
            <v>0.29362800598144534</v>
          </cell>
          <cell r="BG1791">
            <v>0.10490400314331055</v>
          </cell>
        </row>
        <row r="1792">
          <cell r="D1792" t="str">
            <v>基础化工</v>
          </cell>
          <cell r="M1792">
            <v>45.582947106599995</v>
          </cell>
          <cell r="N1792">
            <v>25.640242059324994</v>
          </cell>
          <cell r="O1792" t="str">
            <v>材料</v>
          </cell>
          <cell r="P1792" t="str">
            <v>材料Ⅱ</v>
          </cell>
          <cell r="Q1792" t="str">
            <v>化工</v>
          </cell>
          <cell r="BC1792">
            <v>0</v>
          </cell>
          <cell r="BD1792">
            <v>-8.1881533101045401E-2</v>
          </cell>
          <cell r="BE1792">
            <v>0.18029115341545346</v>
          </cell>
          <cell r="BF1792">
            <v>0.55861198425292968</v>
          </cell>
          <cell r="BG1792">
            <v>0.12158399581909179</v>
          </cell>
        </row>
        <row r="1793">
          <cell r="D1793" t="str">
            <v>汽车零售</v>
          </cell>
          <cell r="M1793">
            <v>43.458594022899995</v>
          </cell>
          <cell r="N1793">
            <v>24.443100941525408</v>
          </cell>
          <cell r="O1793" t="str">
            <v>可选消费</v>
          </cell>
          <cell r="P1793" t="str">
            <v>零售业</v>
          </cell>
          <cell r="Q1793" t="str">
            <v>专营零售</v>
          </cell>
          <cell r="BC1793">
            <v>5.3097345132743355E-2</v>
          </cell>
          <cell r="BD1793">
            <v>3.4782608695652091E-2</v>
          </cell>
          <cell r="BE1793">
            <v>-0.18322296418235409</v>
          </cell>
          <cell r="BF1793">
            <v>0.39231601715087888</v>
          </cell>
          <cell r="BG1793">
            <v>3.509999990463257E-2</v>
          </cell>
        </row>
        <row r="1794">
          <cell r="D1794" t="str">
            <v>重型电气设备</v>
          </cell>
          <cell r="M1794">
            <v>48.9526038144</v>
          </cell>
          <cell r="N1794">
            <v>27.52976300853333</v>
          </cell>
          <cell r="O1794" t="str">
            <v>工业</v>
          </cell>
          <cell r="P1794" t="str">
            <v>资本货物</v>
          </cell>
          <cell r="Q1794" t="str">
            <v>电气设备</v>
          </cell>
          <cell r="BC1794">
            <v>9.2386655260906766E-2</v>
          </cell>
          <cell r="BD1794">
            <v>1.9968051118210862E-2</v>
          </cell>
          <cell r="BE1794">
            <v>0.28348959907018995</v>
          </cell>
          <cell r="BF1794">
            <v>0.56666400909423831</v>
          </cell>
          <cell r="BG1794">
            <v>8.2211999893188475E-2</v>
          </cell>
        </row>
        <row r="1795">
          <cell r="D1795" t="str">
            <v>电子设备和仪器</v>
          </cell>
          <cell r="M1795">
            <v>87.035087297000004</v>
          </cell>
          <cell r="N1795">
            <v>48.936492705278951</v>
          </cell>
          <cell r="O1795" t="str">
            <v>信息技术</v>
          </cell>
          <cell r="P1795" t="str">
            <v>技术硬件与设备</v>
          </cell>
          <cell r="Q1795" t="str">
            <v>电子设备、仪器和元件</v>
          </cell>
          <cell r="BC1795">
            <v>-1.4504431909750178E-2</v>
          </cell>
          <cell r="BD1795">
            <v>-7.2078907435508294E-2</v>
          </cell>
          <cell r="BE1795">
            <v>0.12658730128324969</v>
          </cell>
          <cell r="BF1795">
            <v>0.25987199783325193</v>
          </cell>
          <cell r="BG1795">
            <v>0.22643999099731446</v>
          </cell>
        </row>
        <row r="1796">
          <cell r="D1796" t="str">
            <v>金属非金属</v>
          </cell>
          <cell r="M1796">
            <v>70.019546525599992</v>
          </cell>
          <cell r="N1796">
            <v>39.366911385697129</v>
          </cell>
          <cell r="O1796" t="str">
            <v>材料</v>
          </cell>
          <cell r="P1796" t="str">
            <v>材料Ⅱ</v>
          </cell>
          <cell r="Q1796" t="str">
            <v>金属、非金属与采矿</v>
          </cell>
          <cell r="BC1796">
            <v>4.6934865900383163E-2</v>
          </cell>
          <cell r="BD1796">
            <v>2.9674988224210976E-2</v>
          </cell>
          <cell r="BE1796">
            <v>-0.30787346066635912</v>
          </cell>
          <cell r="BF1796">
            <v>0.24662399291992188</v>
          </cell>
          <cell r="BG1796">
            <v>0.19515600204467773</v>
          </cell>
        </row>
        <row r="1797">
          <cell r="D1797" t="str">
            <v>基础化工</v>
          </cell>
          <cell r="M1797">
            <v>44.676000000000002</v>
          </cell>
          <cell r="N1797">
            <v>25.113846935014582</v>
          </cell>
          <cell r="O1797" t="str">
            <v>材料</v>
          </cell>
          <cell r="P1797" t="str">
            <v>材料Ⅱ</v>
          </cell>
          <cell r="Q1797" t="str">
            <v>化工</v>
          </cell>
          <cell r="BC1797">
            <v>0</v>
          </cell>
          <cell r="BD1797">
            <v>0</v>
          </cell>
          <cell r="BE1797">
            <v>0.16903914590747335</v>
          </cell>
          <cell r="BF1797">
            <v>0.79286399841308597</v>
          </cell>
          <cell r="BG1797">
            <v>0.20808000564575196</v>
          </cell>
        </row>
        <row r="1798">
          <cell r="D1798" t="str">
            <v>金属非金属</v>
          </cell>
          <cell r="M1798">
            <v>54.538525942799986</v>
          </cell>
          <cell r="N1798">
            <v>30.654476588022213</v>
          </cell>
          <cell r="O1798" t="str">
            <v>材料</v>
          </cell>
          <cell r="P1798" t="str">
            <v>材料Ⅱ</v>
          </cell>
          <cell r="Q1798" t="str">
            <v>金属、非金属与采矿</v>
          </cell>
          <cell r="BC1798">
            <v>6.8815331010452882E-2</v>
          </cell>
          <cell r="BD1798">
            <v>-0.12544547398431929</v>
          </cell>
          <cell r="BE1798">
            <v>-3.2334384858044178E-2</v>
          </cell>
          <cell r="BF1798">
            <v>0.24994800567626954</v>
          </cell>
          <cell r="BG1798">
            <v>-5.8224000930786134E-2</v>
          </cell>
        </row>
        <row r="1799">
          <cell r="D1799" t="str">
            <v>建筑机械与重型卡车</v>
          </cell>
          <cell r="M1799">
            <v>415.9949270454</v>
          </cell>
          <cell r="N1799">
            <v>233.79631801939442</v>
          </cell>
          <cell r="O1799" t="str">
            <v>工业</v>
          </cell>
          <cell r="P1799" t="str">
            <v>资本货物</v>
          </cell>
          <cell r="Q1799" t="str">
            <v>机械</v>
          </cell>
          <cell r="BC1799">
            <v>4.2138810198300333E-2</v>
          </cell>
          <cell r="BD1799">
            <v>2.7257240204428719E-3</v>
          </cell>
          <cell r="BE1799">
            <v>-0.35204755614266847</v>
          </cell>
          <cell r="BF1799">
            <v>0.37531200408935544</v>
          </cell>
          <cell r="BG1799">
            <v>0.14335200309753418</v>
          </cell>
        </row>
        <row r="1800">
          <cell r="D1800" t="str">
            <v>医疗保健设备</v>
          </cell>
          <cell r="M1800">
            <v>43.984000000000002</v>
          </cell>
          <cell r="N1800">
            <v>24.717496990080001</v>
          </cell>
          <cell r="O1800" t="str">
            <v>医疗保健</v>
          </cell>
          <cell r="P1800" t="str">
            <v>医疗保健设备与服务</v>
          </cell>
          <cell r="Q1800" t="str">
            <v>医疗保健设备与用品</v>
          </cell>
          <cell r="BC1800">
            <v>5.6901191849288608E-2</v>
          </cell>
          <cell r="BD1800">
            <v>-1.0901162790698088E-3</v>
          </cell>
          <cell r="BE1800">
            <v>0.25006226563916584</v>
          </cell>
          <cell r="BF1800">
            <v>0</v>
          </cell>
          <cell r="BG1800">
            <v>0</v>
          </cell>
        </row>
        <row r="1801">
          <cell r="D1801" t="str">
            <v>基础化工</v>
          </cell>
          <cell r="M1801">
            <v>26.669600000000003</v>
          </cell>
          <cell r="N1801">
            <v>14.984162385281872</v>
          </cell>
          <cell r="O1801" t="str">
            <v>材料</v>
          </cell>
          <cell r="P1801" t="str">
            <v>材料Ⅱ</v>
          </cell>
          <cell r="Q1801" t="str">
            <v>化工</v>
          </cell>
          <cell r="BC1801">
            <v>-2.5432349949135661E-3</v>
          </cell>
          <cell r="BD1801">
            <v>-4.6669907632474521E-2</v>
          </cell>
          <cell r="BE1801">
            <v>0.520814974649358</v>
          </cell>
          <cell r="BF1801">
            <v>0.69073196411132809</v>
          </cell>
          <cell r="BG1801">
            <v>0.23865600585937499</v>
          </cell>
        </row>
        <row r="1802">
          <cell r="D1802" t="str">
            <v>基础化工</v>
          </cell>
          <cell r="M1802">
            <v>28.068205003200003</v>
          </cell>
          <cell r="N1802">
            <v>15.769361008433336</v>
          </cell>
          <cell r="O1802" t="str">
            <v>材料</v>
          </cell>
          <cell r="P1802" t="str">
            <v>材料Ⅱ</v>
          </cell>
          <cell r="Q1802" t="str">
            <v>化工</v>
          </cell>
          <cell r="BC1802">
            <v>3.8548752834467105E-2</v>
          </cell>
          <cell r="BD1802">
            <v>3.9727582292848992E-2</v>
          </cell>
          <cell r="BE1802">
            <v>-2.6567481402763018E-2</v>
          </cell>
          <cell r="BF1802">
            <v>0.32857200622558591</v>
          </cell>
          <cell r="BG1802">
            <v>0.1061400032043457</v>
          </cell>
        </row>
        <row r="1803">
          <cell r="D1803" t="str">
            <v>电气部件与设备</v>
          </cell>
          <cell r="M1803">
            <v>36.775456380000001</v>
          </cell>
          <cell r="N1803">
            <v>20.651716971021042</v>
          </cell>
          <cell r="O1803" t="str">
            <v>工业</v>
          </cell>
          <cell r="P1803" t="str">
            <v>资本货物</v>
          </cell>
          <cell r="Q1803" t="str">
            <v>电气设备</v>
          </cell>
          <cell r="BC1803">
            <v>9.1324200913241414E-3</v>
          </cell>
          <cell r="BD1803">
            <v>7.8048780487804795E-2</v>
          </cell>
          <cell r="BE1803">
            <v>0.38993710691823907</v>
          </cell>
          <cell r="BF1803">
            <v>0.30096000671386719</v>
          </cell>
          <cell r="BG1803">
            <v>0</v>
          </cell>
        </row>
        <row r="1804">
          <cell r="D1804" t="str">
            <v>特种化工</v>
          </cell>
          <cell r="M1804">
            <v>37.427999999999997</v>
          </cell>
          <cell r="N1804">
            <v>21.017869843759257</v>
          </cell>
          <cell r="O1804" t="str">
            <v>材料</v>
          </cell>
          <cell r="P1804" t="str">
            <v>材料Ⅱ</v>
          </cell>
          <cell r="Q1804" t="str">
            <v>化工</v>
          </cell>
          <cell r="BC1804">
            <v>4.5942320590207947E-2</v>
          </cell>
          <cell r="BD1804">
            <v>1.3649658758531092E-2</v>
          </cell>
          <cell r="BE1804">
            <v>-0.12150322926008966</v>
          </cell>
          <cell r="BF1804">
            <v>0</v>
          </cell>
          <cell r="BG1804">
            <v>0</v>
          </cell>
        </row>
        <row r="1805">
          <cell r="D1805" t="str">
            <v>工业机械</v>
          </cell>
          <cell r="M1805">
            <v>43.200600000000001</v>
          </cell>
          <cell r="N1805">
            <v>24.257581647227926</v>
          </cell>
          <cell r="O1805" t="str">
            <v>工业</v>
          </cell>
          <cell r="P1805" t="str">
            <v>资本货物</v>
          </cell>
          <cell r="Q1805" t="str">
            <v>机械</v>
          </cell>
          <cell r="BC1805">
            <v>6.447368421052635E-2</v>
          </cell>
          <cell r="BD1805">
            <v>-9.7919216646266925E-3</v>
          </cell>
          <cell r="BE1805">
            <v>-0.24250936329588013</v>
          </cell>
          <cell r="BF1805">
            <v>0.2572319984436035</v>
          </cell>
          <cell r="BG1805">
            <v>1.4880000352859498E-2</v>
          </cell>
        </row>
        <row r="1806">
          <cell r="D1806" t="str">
            <v>有线和卫星电视</v>
          </cell>
          <cell r="M1806">
            <v>73.02163439520001</v>
          </cell>
          <cell r="N1806">
            <v>41.001905919056775</v>
          </cell>
          <cell r="O1806" t="str">
            <v>可选消费</v>
          </cell>
          <cell r="P1806" t="str">
            <v>媒体Ⅱ</v>
          </cell>
          <cell r="Q1806" t="str">
            <v>媒体Ⅲ</v>
          </cell>
          <cell r="BC1806">
            <v>7.9100749375520488E-2</v>
          </cell>
          <cell r="BD1806">
            <v>-1.0687022900763267E-2</v>
          </cell>
          <cell r="BE1806">
            <v>-0.20754453170727583</v>
          </cell>
          <cell r="BF1806">
            <v>0.39705600738525393</v>
          </cell>
          <cell r="BG1806">
            <v>0.17298000335693359</v>
          </cell>
        </row>
        <row r="1807">
          <cell r="D1807" t="str">
            <v>基础化工</v>
          </cell>
          <cell r="M1807">
            <v>30.298279272499997</v>
          </cell>
          <cell r="N1807">
            <v>17.010885493361112</v>
          </cell>
          <cell r="O1807" t="str">
            <v>材料</v>
          </cell>
          <cell r="P1807" t="str">
            <v>材料Ⅱ</v>
          </cell>
          <cell r="Q1807" t="str">
            <v>化工</v>
          </cell>
          <cell r="BC1807">
            <v>2.2569444444444427E-2</v>
          </cell>
          <cell r="BD1807">
            <v>1.2027491408934603E-2</v>
          </cell>
          <cell r="BE1807">
            <v>-0.20512820512820518</v>
          </cell>
          <cell r="BF1807">
            <v>0.2543519973754883</v>
          </cell>
          <cell r="BG1807">
            <v>-8.2356004714965819E-2</v>
          </cell>
        </row>
        <row r="1808">
          <cell r="D1808" t="str">
            <v>电脑硬件</v>
          </cell>
          <cell r="M1808">
            <v>153.41039999999998</v>
          </cell>
          <cell r="N1808">
            <v>86.104746087771659</v>
          </cell>
          <cell r="O1808" t="str">
            <v>信息技术</v>
          </cell>
          <cell r="P1808" t="str">
            <v>技术硬件与设备</v>
          </cell>
          <cell r="Q1808" t="str">
            <v>电脑与外围设备</v>
          </cell>
          <cell r="BC1808">
            <v>4.5385318306427114E-2</v>
          </cell>
          <cell r="BD1808">
            <v>-2.8037383177570149E-2</v>
          </cell>
          <cell r="BE1808">
            <v>0</v>
          </cell>
          <cell r="BF1808">
            <v>0</v>
          </cell>
          <cell r="BG1808">
            <v>0</v>
          </cell>
        </row>
        <row r="1809">
          <cell r="D1809" t="str">
            <v>大卖场与超市</v>
          </cell>
          <cell r="M1809">
            <v>93.32245978520001</v>
          </cell>
          <cell r="N1809">
            <v>52.369990834593906</v>
          </cell>
          <cell r="O1809" t="str">
            <v>日常消费</v>
          </cell>
          <cell r="P1809" t="str">
            <v>食品与主要用品零售Ⅱ</v>
          </cell>
          <cell r="Q1809" t="str">
            <v>食品与主要用品零售Ⅲ</v>
          </cell>
          <cell r="BC1809">
            <v>6.7226890756302577E-3</v>
          </cell>
          <cell r="BD1809">
            <v>-5.2215189873417729E-2</v>
          </cell>
          <cell r="BE1809">
            <v>-0.4517811448132531</v>
          </cell>
          <cell r="BF1809">
            <v>0.15549599647521972</v>
          </cell>
          <cell r="BG1809">
            <v>9.3479995727539067E-2</v>
          </cell>
        </row>
        <row r="1810">
          <cell r="D1810" t="str">
            <v>服装、服饰与奢侈品</v>
          </cell>
          <cell r="M1810">
            <v>174.34140000000002</v>
          </cell>
          <cell r="N1810">
            <v>97.804224816970986</v>
          </cell>
          <cell r="O1810" t="str">
            <v>可选消费</v>
          </cell>
          <cell r="P1810" t="str">
            <v>耐用消费品与服装</v>
          </cell>
          <cell r="Q1810" t="str">
            <v>纺织品、服装与奢侈品</v>
          </cell>
          <cell r="BC1810">
            <v>0.14298245614035088</v>
          </cell>
          <cell r="BD1810">
            <v>-5.1137816415228893E-4</v>
          </cell>
          <cell r="BE1810">
            <v>0.52695312500000002</v>
          </cell>
          <cell r="BF1810">
            <v>0.92145599365234376</v>
          </cell>
          <cell r="BG1810">
            <v>0</v>
          </cell>
        </row>
        <row r="1811">
          <cell r="D1811" t="str">
            <v>电气部件与设备</v>
          </cell>
          <cell r="M1811">
            <v>65.402998227799998</v>
          </cell>
          <cell r="N1811">
            <v>36.686368151140869</v>
          </cell>
          <cell r="O1811" t="str">
            <v>工业</v>
          </cell>
          <cell r="P1811" t="str">
            <v>资本货物</v>
          </cell>
          <cell r="Q1811" t="str">
            <v>电气设备</v>
          </cell>
          <cell r="BC1811">
            <v>8.5283018867924582E-2</v>
          </cell>
          <cell r="BD1811">
            <v>6.9589422407804894E-4</v>
          </cell>
          <cell r="BE1811">
            <v>6.9926803546547942E-2</v>
          </cell>
          <cell r="BF1811">
            <v>0.27338399887084963</v>
          </cell>
          <cell r="BG1811">
            <v>0</v>
          </cell>
        </row>
        <row r="1812">
          <cell r="D1812" t="str">
            <v>家用电器</v>
          </cell>
          <cell r="M1812">
            <v>46.176274399999997</v>
          </cell>
          <cell r="N1812">
            <v>25.900931213555879</v>
          </cell>
          <cell r="O1812" t="str">
            <v>可选消费</v>
          </cell>
          <cell r="P1812" t="str">
            <v>耐用消费品与服装</v>
          </cell>
          <cell r="Q1812" t="str">
            <v>家庭耐用消费品</v>
          </cell>
          <cell r="BC1812">
            <v>4.3143297380585414E-2</v>
          </cell>
          <cell r="BD1812">
            <v>0.17534722222222218</v>
          </cell>
          <cell r="BE1812">
            <v>-3.4236804564907304E-2</v>
          </cell>
          <cell r="BF1812">
            <v>0.19229999542236328</v>
          </cell>
          <cell r="BG1812">
            <v>0.1915559959411621</v>
          </cell>
        </row>
        <row r="1813">
          <cell r="D1813" t="str">
            <v>建材</v>
          </cell>
          <cell r="M1813">
            <v>64.952799999999996</v>
          </cell>
          <cell r="N1813">
            <v>36.431985192514965</v>
          </cell>
          <cell r="O1813" t="str">
            <v>材料</v>
          </cell>
          <cell r="P1813" t="str">
            <v>材料Ⅱ</v>
          </cell>
          <cell r="Q1813" t="str">
            <v>建材Ⅲ</v>
          </cell>
          <cell r="BC1813">
            <v>9.9099099099099017E-2</v>
          </cell>
          <cell r="BD1813">
            <v>5.4616895874263285E-2</v>
          </cell>
          <cell r="BE1813">
            <v>-0.20779220779220786</v>
          </cell>
          <cell r="BF1813">
            <v>0.83916000366210941</v>
          </cell>
          <cell r="BG1813">
            <v>0.26527200698852538</v>
          </cell>
        </row>
        <row r="1814">
          <cell r="D1814" t="str">
            <v>房地产开发</v>
          </cell>
          <cell r="M1814">
            <v>65.894777954999995</v>
          </cell>
          <cell r="N1814">
            <v>36.95796753037196</v>
          </cell>
          <cell r="O1814" t="str">
            <v>金融</v>
          </cell>
          <cell r="P1814" t="str">
            <v>房地产</v>
          </cell>
          <cell r="Q1814" t="str">
            <v>房地产管理与开发</v>
          </cell>
          <cell r="BC1814">
            <v>2.2727272727272645E-2</v>
          </cell>
          <cell r="BD1814">
            <v>-4.0511727078891335E-2</v>
          </cell>
          <cell r="BE1814">
            <v>-0.27184466019417475</v>
          </cell>
          <cell r="BF1814">
            <v>7.9739999771118161E-2</v>
          </cell>
          <cell r="BG1814">
            <v>2.085599899291992E-2</v>
          </cell>
        </row>
        <row r="1815">
          <cell r="D1815" t="str">
            <v>重型电气设备</v>
          </cell>
          <cell r="M1815">
            <v>36.982399999999998</v>
          </cell>
          <cell r="N1815">
            <v>20.740961642608411</v>
          </cell>
          <cell r="O1815" t="str">
            <v>工业</v>
          </cell>
          <cell r="P1815" t="str">
            <v>资本货物</v>
          </cell>
          <cell r="Q1815" t="str">
            <v>电气设备</v>
          </cell>
          <cell r="BC1815">
            <v>6.6666666666666596E-2</v>
          </cell>
          <cell r="BD1815">
            <v>0.13705583756345174</v>
          </cell>
          <cell r="BE1815">
            <v>-0.18634217217580828</v>
          </cell>
          <cell r="BF1815">
            <v>0.58801200866699221</v>
          </cell>
          <cell r="BG1815">
            <v>0</v>
          </cell>
        </row>
        <row r="1816">
          <cell r="D1816" t="str">
            <v>工业机械</v>
          </cell>
          <cell r="M1816">
            <v>31.588245999999998</v>
          </cell>
          <cell r="N1816">
            <v>17.715111313751112</v>
          </cell>
          <cell r="O1816" t="str">
            <v>工业</v>
          </cell>
          <cell r="P1816" t="str">
            <v>资本货物</v>
          </cell>
          <cell r="Q1816" t="str">
            <v>机械</v>
          </cell>
          <cell r="BC1816">
            <v>2.6652221018418288E-2</v>
          </cell>
          <cell r="BD1816">
            <v>1.4561027837259094E-2</v>
          </cell>
          <cell r="BE1816">
            <v>0</v>
          </cell>
          <cell r="BF1816">
            <v>0</v>
          </cell>
          <cell r="BG1816">
            <v>0</v>
          </cell>
        </row>
        <row r="1817">
          <cell r="D1817" t="str">
            <v>信息科技咨询与其它服务</v>
          </cell>
          <cell r="M1817">
            <v>77.1918540976</v>
          </cell>
          <cell r="N1817">
            <v>43.280733377747069</v>
          </cell>
          <cell r="O1817" t="str">
            <v>信息技术</v>
          </cell>
          <cell r="P1817" t="str">
            <v>软件与服务</v>
          </cell>
          <cell r="Q1817" t="str">
            <v>信息技术服务</v>
          </cell>
          <cell r="BC1817">
            <v>5.4095826893354022E-2</v>
          </cell>
          <cell r="BD1817">
            <v>-2.0114942528735587E-2</v>
          </cell>
          <cell r="BE1817">
            <v>-7.7410050082010157E-2</v>
          </cell>
          <cell r="BF1817">
            <v>0.33488399505615235</v>
          </cell>
          <cell r="BG1817">
            <v>0.11590800285339356</v>
          </cell>
        </row>
        <row r="1818">
          <cell r="D1818" t="str">
            <v>工业机械</v>
          </cell>
          <cell r="M1818">
            <v>186.4542862724</v>
          </cell>
          <cell r="N1818">
            <v>104.5366611855508</v>
          </cell>
          <cell r="O1818" t="str">
            <v>工业</v>
          </cell>
          <cell r="P1818" t="str">
            <v>资本货物</v>
          </cell>
          <cell r="Q1818" t="str">
            <v>机械</v>
          </cell>
          <cell r="BC1818">
            <v>1.7529880478087557E-2</v>
          </cell>
          <cell r="BD1818">
            <v>5.5118110236220697E-3</v>
          </cell>
          <cell r="BE1818">
            <v>0.18114203587154315</v>
          </cell>
          <cell r="BF1818">
            <v>0.48607200622558594</v>
          </cell>
          <cell r="BG1818">
            <v>0</v>
          </cell>
        </row>
        <row r="1819">
          <cell r="D1819" t="str">
            <v>电子元件</v>
          </cell>
          <cell r="M1819">
            <v>44.256114599999997</v>
          </cell>
          <cell r="N1819">
            <v>24.798604865515625</v>
          </cell>
          <cell r="O1819" t="str">
            <v>信息技术</v>
          </cell>
          <cell r="P1819" t="str">
            <v>技术硬件与设备</v>
          </cell>
          <cell r="Q1819" t="str">
            <v>电子设备、仪器和元件</v>
          </cell>
          <cell r="BC1819">
            <v>5.2000000000000025E-2</v>
          </cell>
          <cell r="BD1819">
            <v>2.8951486697965649E-2</v>
          </cell>
          <cell r="BE1819">
            <v>0</v>
          </cell>
          <cell r="BF1819">
            <v>0</v>
          </cell>
          <cell r="BG1819">
            <v>0</v>
          </cell>
        </row>
        <row r="1820">
          <cell r="D1820" t="str">
            <v>航空货运与物流</v>
          </cell>
          <cell r="M1820">
            <v>81.824855568000004</v>
          </cell>
          <cell r="N1820">
            <v>45.849461178823411</v>
          </cell>
          <cell r="O1820" t="str">
            <v>工业</v>
          </cell>
          <cell r="P1820" t="str">
            <v>运输</v>
          </cell>
          <cell r="Q1820" t="str">
            <v>航空货运与物流Ⅲ</v>
          </cell>
          <cell r="BC1820">
            <v>5.3435114503816876E-2</v>
          </cell>
          <cell r="BD1820">
            <v>-3.4627492130115373E-2</v>
          </cell>
          <cell r="BE1820">
            <v>-0.20695741559982686</v>
          </cell>
          <cell r="BF1820">
            <v>0.81141601562499999</v>
          </cell>
          <cell r="BG1820">
            <v>0</v>
          </cell>
        </row>
        <row r="1821">
          <cell r="D1821" t="str">
            <v>信息科技咨询与其它服务</v>
          </cell>
          <cell r="M1821">
            <v>113.154564042</v>
          </cell>
          <cell r="N1821">
            <v>63.403502115943823</v>
          </cell>
          <cell r="O1821" t="str">
            <v>信息技术</v>
          </cell>
          <cell r="P1821" t="str">
            <v>软件与服务</v>
          </cell>
          <cell r="Q1821" t="str">
            <v>信息技术服务</v>
          </cell>
          <cell r="BC1821">
            <v>4.2664916311126542E-3</v>
          </cell>
          <cell r="BD1821">
            <v>-9.8674521354933764E-2</v>
          </cell>
          <cell r="BE1821">
            <v>-0.39447355494245684</v>
          </cell>
          <cell r="BF1821">
            <v>0.10649999618530273</v>
          </cell>
          <cell r="BG1821">
            <v>0</v>
          </cell>
        </row>
        <row r="1822">
          <cell r="D1822" t="str">
            <v>医疗保健设备</v>
          </cell>
          <cell r="M1822">
            <v>47.174399999999999</v>
          </cell>
          <cell r="N1822">
            <v>26.428654764926417</v>
          </cell>
          <cell r="O1822" t="str">
            <v>医疗保健</v>
          </cell>
          <cell r="P1822" t="str">
            <v>医疗保健设备与服务</v>
          </cell>
          <cell r="Q1822" t="str">
            <v>医疗保健设备与用品</v>
          </cell>
          <cell r="BC1822">
            <v>-1.9801980198019382E-3</v>
          </cell>
          <cell r="BD1822">
            <v>-3.7249283667621827E-2</v>
          </cell>
          <cell r="BE1822">
            <v>-0.24000259080724398</v>
          </cell>
          <cell r="BF1822">
            <v>0.24563999176025392</v>
          </cell>
          <cell r="BG1822">
            <v>0</v>
          </cell>
        </row>
        <row r="1823">
          <cell r="D1823" t="str">
            <v>机动车零配件与设备</v>
          </cell>
          <cell r="M1823">
            <v>35.113764000000003</v>
          </cell>
          <cell r="N1823">
            <v>19.669562404045809</v>
          </cell>
          <cell r="O1823" t="str">
            <v>可选消费</v>
          </cell>
          <cell r="P1823" t="str">
            <v>汽车与汽车零部件</v>
          </cell>
          <cell r="Q1823" t="str">
            <v>汽车零配件</v>
          </cell>
          <cell r="BC1823">
            <v>8.2148499210111074E-3</v>
          </cell>
          <cell r="BD1823">
            <v>4.406672961913773E-3</v>
          </cell>
          <cell r="BE1823">
            <v>0.23347506764592188</v>
          </cell>
          <cell r="BF1823">
            <v>0</v>
          </cell>
          <cell r="BG1823">
            <v>0</v>
          </cell>
        </row>
        <row r="1824">
          <cell r="D1824" t="str">
            <v>信息科技咨询与其它服务</v>
          </cell>
          <cell r="M1824">
            <v>153.31381704030002</v>
          </cell>
          <cell r="N1824">
            <v>85.867364939111894</v>
          </cell>
          <cell r="O1824" t="str">
            <v>信息技术</v>
          </cell>
          <cell r="P1824" t="str">
            <v>软件与服务</v>
          </cell>
          <cell r="Q1824" t="str">
            <v>信息技术服务</v>
          </cell>
          <cell r="BC1824">
            <v>1.9342359767891764E-2</v>
          </cell>
          <cell r="BD1824">
            <v>-3.9322916666666617E-2</v>
          </cell>
          <cell r="BE1824">
            <v>-0.1810562954038199</v>
          </cell>
          <cell r="BF1824">
            <v>0.28868400573730468</v>
          </cell>
          <cell r="BG1824">
            <v>0.28214399337768553</v>
          </cell>
        </row>
        <row r="1825">
          <cell r="D1825" t="str">
            <v>半导体产品</v>
          </cell>
          <cell r="M1825">
            <v>100.18090177290001</v>
          </cell>
          <cell r="N1825">
            <v>56.105344045706666</v>
          </cell>
          <cell r="O1825" t="str">
            <v>信息技术</v>
          </cell>
          <cell r="P1825" t="str">
            <v>半导体与半导体生产设备</v>
          </cell>
          <cell r="Q1825" t="str">
            <v>半导体产品与半导体设备</v>
          </cell>
          <cell r="BC1825">
            <v>2.3700305810397591E-2</v>
          </cell>
          <cell r="BD1825">
            <v>1.1329305135951689E-2</v>
          </cell>
          <cell r="BE1825">
            <v>5.4714578197429975E-2</v>
          </cell>
          <cell r="BF1825">
            <v>0.42524398803710939</v>
          </cell>
          <cell r="BG1825">
            <v>0.14240400314331056</v>
          </cell>
        </row>
        <row r="1826">
          <cell r="D1826" t="str">
            <v>休闲用品</v>
          </cell>
          <cell r="M1826">
            <v>31.912100000000002</v>
          </cell>
          <cell r="N1826">
            <v>17.870202349166668</v>
          </cell>
          <cell r="O1826" t="str">
            <v>可选消费</v>
          </cell>
          <cell r="P1826" t="str">
            <v>耐用消费品与服装</v>
          </cell>
          <cell r="Q1826" t="str">
            <v>休闲设备与用品</v>
          </cell>
          <cell r="BC1826">
            <v>-6.7814854682454156E-2</v>
          </cell>
          <cell r="BD1826">
            <v>6.6502463054187319E-2</v>
          </cell>
          <cell r="BE1826">
            <v>-7.9357145361846335E-2</v>
          </cell>
          <cell r="BF1826">
            <v>0.47189998626708984</v>
          </cell>
          <cell r="BG1826">
            <v>0.16960800170898438</v>
          </cell>
        </row>
        <row r="1827">
          <cell r="D1827" t="str">
            <v>通信设备</v>
          </cell>
          <cell r="M1827">
            <v>76.493359011999999</v>
          </cell>
          <cell r="N1827">
            <v>42.809519390811282</v>
          </cell>
          <cell r="O1827" t="str">
            <v>信息技术</v>
          </cell>
          <cell r="P1827" t="str">
            <v>技术硬件与设备</v>
          </cell>
          <cell r="Q1827" t="str">
            <v>通信设备Ⅲ</v>
          </cell>
          <cell r="BC1827">
            <v>-1.7713365539452547E-2</v>
          </cell>
          <cell r="BD1827">
            <v>-3.6715357283853133E-2</v>
          </cell>
          <cell r="BE1827">
            <v>1.2188039946848221</v>
          </cell>
          <cell r="BF1827">
            <v>0.69820800781250003</v>
          </cell>
          <cell r="BG1827">
            <v>0.31354799270629885</v>
          </cell>
        </row>
        <row r="1828">
          <cell r="D1828" t="str">
            <v>建筑机械与重型卡车</v>
          </cell>
          <cell r="M1828">
            <v>33.929625600000001</v>
          </cell>
          <cell r="N1828">
            <v>18.986022293387041</v>
          </cell>
          <cell r="O1828" t="str">
            <v>工业</v>
          </cell>
          <cell r="P1828" t="str">
            <v>资本货物</v>
          </cell>
          <cell r="Q1828" t="str">
            <v>机械</v>
          </cell>
          <cell r="BC1828">
            <v>-3.5159443990188034E-2</v>
          </cell>
          <cell r="BD1828">
            <v>9.2592592592592587E-2</v>
          </cell>
          <cell r="BE1828">
            <v>-3.1993437243642231E-2</v>
          </cell>
          <cell r="BF1828">
            <v>0.31082399368286134</v>
          </cell>
          <cell r="BG1828">
            <v>-6.5184001922607426E-2</v>
          </cell>
        </row>
        <row r="1829">
          <cell r="D1829" t="str">
            <v>电气部件与设备</v>
          </cell>
          <cell r="M1829">
            <v>88.576188343799998</v>
          </cell>
          <cell r="N1829">
            <v>49.561422690658226</v>
          </cell>
          <cell r="O1829" t="str">
            <v>工业</v>
          </cell>
          <cell r="P1829" t="str">
            <v>资本货物</v>
          </cell>
          <cell r="Q1829" t="str">
            <v>电气设备</v>
          </cell>
          <cell r="BC1829">
            <v>1.1160714285714244E-2</v>
          </cell>
          <cell r="BD1829">
            <v>-2.9978586723768668E-2</v>
          </cell>
          <cell r="BE1829">
            <v>-0.21588788807448805</v>
          </cell>
          <cell r="BF1829">
            <v>0.53410800933837888</v>
          </cell>
          <cell r="BG1829">
            <v>0.17895599365234374</v>
          </cell>
        </row>
        <row r="1830">
          <cell r="D1830" t="str">
            <v>基础化工</v>
          </cell>
          <cell r="M1830">
            <v>38.548538345999994</v>
          </cell>
          <cell r="N1830">
            <v>21.568757195925183</v>
          </cell>
          <cell r="O1830" t="str">
            <v>材料</v>
          </cell>
          <cell r="P1830" t="str">
            <v>材料Ⅱ</v>
          </cell>
          <cell r="Q1830" t="str">
            <v>化工</v>
          </cell>
          <cell r="BC1830">
            <v>2.5848142164781783E-2</v>
          </cell>
          <cell r="BD1830">
            <v>2.2544283413848579E-2</v>
          </cell>
          <cell r="BE1830">
            <v>-0.35560853037543166</v>
          </cell>
          <cell r="BF1830">
            <v>0.32361598968505861</v>
          </cell>
          <cell r="BG1830">
            <v>7.6416001319885254E-2</v>
          </cell>
        </row>
        <row r="1831">
          <cell r="D1831" t="str">
            <v>煤炭与消费用燃料</v>
          </cell>
          <cell r="M1831">
            <v>511.5136</v>
          </cell>
          <cell r="N1831">
            <v>286.19567608209877</v>
          </cell>
          <cell r="O1831" t="str">
            <v>能源</v>
          </cell>
          <cell r="P1831" t="str">
            <v>能源Ⅱ</v>
          </cell>
          <cell r="Q1831" t="str">
            <v>石油、天然气与供消费用燃料</v>
          </cell>
          <cell r="BC1831">
            <v>-5.7116953762465915E-2</v>
          </cell>
          <cell r="BD1831">
            <v>0.11587982832618027</v>
          </cell>
          <cell r="BE1831">
            <v>-0.30640033097332975</v>
          </cell>
          <cell r="BF1831">
            <v>0.31260000228881835</v>
          </cell>
          <cell r="BG1831">
            <v>-0.10273200035095215</v>
          </cell>
        </row>
        <row r="1832">
          <cell r="D1832" t="str">
            <v>中药</v>
          </cell>
          <cell r="M1832">
            <v>31.043232627200002</v>
          </cell>
          <cell r="N1832">
            <v>17.368018096933511</v>
          </cell>
          <cell r="O1832" t="str">
            <v>医疗保健</v>
          </cell>
          <cell r="P1832" t="str">
            <v>制药、生物科技与生命科学</v>
          </cell>
          <cell r="Q1832" t="str">
            <v>制药</v>
          </cell>
          <cell r="BC1832">
            <v>4.0206777713957661E-3</v>
          </cell>
          <cell r="BD1832">
            <v>-6.8726691529035655E-2</v>
          </cell>
          <cell r="BE1832">
            <v>-0.26182432432432429</v>
          </cell>
          <cell r="BF1832">
            <v>0.14768400192260742</v>
          </cell>
          <cell r="BG1832">
            <v>8.2427997589111332E-2</v>
          </cell>
        </row>
        <row r="1833">
          <cell r="D1833" t="str">
            <v>工业机械</v>
          </cell>
          <cell r="M1833">
            <v>52.169701258000003</v>
          </cell>
          <cell r="N1833">
            <v>29.186352136377778</v>
          </cell>
          <cell r="O1833" t="str">
            <v>工业</v>
          </cell>
          <cell r="P1833" t="str">
            <v>资本货物</v>
          </cell>
          <cell r="Q1833" t="str">
            <v>机械</v>
          </cell>
          <cell r="BC1833">
            <v>-2.4649589173513849E-2</v>
          </cell>
          <cell r="BD1833">
            <v>7.6266666666666649E-2</v>
          </cell>
          <cell r="BE1833">
            <v>0.53110773899848251</v>
          </cell>
          <cell r="BF1833">
            <v>0.60061199188232417</v>
          </cell>
          <cell r="BG1833">
            <v>8.0304002761840826E-2</v>
          </cell>
        </row>
        <row r="1834">
          <cell r="D1834" t="str">
            <v>铝</v>
          </cell>
          <cell r="M1834">
            <v>52.998400000000004</v>
          </cell>
          <cell r="N1834">
            <v>29.646567665053329</v>
          </cell>
          <cell r="O1834" t="str">
            <v>材料</v>
          </cell>
          <cell r="P1834" t="str">
            <v>材料Ⅱ</v>
          </cell>
          <cell r="Q1834" t="str">
            <v>金属、非金属与采矿</v>
          </cell>
          <cell r="BC1834">
            <v>-3.428571428571428E-2</v>
          </cell>
          <cell r="BD1834">
            <v>2.8248587570621406E-2</v>
          </cell>
          <cell r="BE1834">
            <v>-0.19385996978142359</v>
          </cell>
          <cell r="BF1834">
            <v>0.70248001098632817</v>
          </cell>
          <cell r="BG1834">
            <v>0</v>
          </cell>
        </row>
        <row r="1835">
          <cell r="D1835" t="str">
            <v>金属非金属</v>
          </cell>
          <cell r="M1835">
            <v>34.258845799999996</v>
          </cell>
          <cell r="N1835">
            <v>19.163452341093826</v>
          </cell>
          <cell r="O1835" t="str">
            <v>材料</v>
          </cell>
          <cell r="P1835" t="str">
            <v>材料Ⅱ</v>
          </cell>
          <cell r="Q1835" t="str">
            <v>金属、非金属与采矿</v>
          </cell>
          <cell r="BC1835">
            <v>2.8011204481793364E-3</v>
          </cell>
          <cell r="BD1835">
            <v>-2.5850340136054355E-2</v>
          </cell>
          <cell r="BE1835">
            <v>-0.31083654052117154</v>
          </cell>
          <cell r="BF1835">
            <v>0.53311199188232417</v>
          </cell>
          <cell r="BG1835">
            <v>0.2024519920349121</v>
          </cell>
        </row>
        <row r="1836">
          <cell r="D1836" t="str">
            <v>休闲用品</v>
          </cell>
          <cell r="M1836">
            <v>119.11760000000001</v>
          </cell>
          <cell r="N1836">
            <v>66.626472637999655</v>
          </cell>
          <cell r="O1836" t="str">
            <v>可选消费</v>
          </cell>
          <cell r="P1836" t="str">
            <v>耐用消费品与服装</v>
          </cell>
          <cell r="Q1836" t="str">
            <v>休闲设备与用品</v>
          </cell>
          <cell r="BC1836">
            <v>2.298850574712653E-2</v>
          </cell>
          <cell r="BD1836">
            <v>-7.4294205052005943E-2</v>
          </cell>
          <cell r="BE1836">
            <v>-0.34388915247375218</v>
          </cell>
          <cell r="BF1836">
            <v>0.32541599273681643</v>
          </cell>
          <cell r="BG1836">
            <v>0</v>
          </cell>
        </row>
        <row r="1837">
          <cell r="D1837" t="str">
            <v>公路运输</v>
          </cell>
          <cell r="M1837">
            <v>210.56454304239998</v>
          </cell>
          <cell r="N1837">
            <v>117.77296055585145</v>
          </cell>
          <cell r="O1837" t="str">
            <v>工业</v>
          </cell>
          <cell r="P1837" t="str">
            <v>运输</v>
          </cell>
          <cell r="Q1837" t="str">
            <v>公路与铁路运输</v>
          </cell>
          <cell r="BC1837">
            <v>0.10049423393739694</v>
          </cell>
          <cell r="BD1837">
            <v>0.17090271691498679</v>
          </cell>
          <cell r="BE1837">
            <v>-2.6880731764874325E-2</v>
          </cell>
          <cell r="BF1837">
            <v>0.47410800933837893</v>
          </cell>
          <cell r="BG1837">
            <v>0.16268400192260743</v>
          </cell>
        </row>
        <row r="1838">
          <cell r="D1838" t="str">
            <v>白酒与葡萄酒</v>
          </cell>
          <cell r="M1838">
            <v>47.76</v>
          </cell>
          <cell r="N1838">
            <v>26.710608835689598</v>
          </cell>
          <cell r="O1838" t="str">
            <v>日常消费</v>
          </cell>
          <cell r="P1838" t="str">
            <v>食品、饮料与烟草</v>
          </cell>
          <cell r="Q1838" t="str">
            <v>饮料</v>
          </cell>
          <cell r="BC1838">
            <v>3.7358818418766267E-2</v>
          </cell>
          <cell r="BD1838">
            <v>6.4171122994652302E-2</v>
          </cell>
          <cell r="BE1838">
            <v>-0.15147440706713786</v>
          </cell>
          <cell r="BF1838">
            <v>0</v>
          </cell>
          <cell r="BG1838">
            <v>0</v>
          </cell>
        </row>
        <row r="1839">
          <cell r="D1839" t="str">
            <v>出版</v>
          </cell>
          <cell r="M1839">
            <v>52.061439149999991</v>
          </cell>
          <cell r="N1839">
            <v>29.115671857369694</v>
          </cell>
          <cell r="O1839" t="str">
            <v>可选消费</v>
          </cell>
          <cell r="P1839" t="str">
            <v>媒体Ⅱ</v>
          </cell>
          <cell r="Q1839" t="str">
            <v>媒体Ⅲ</v>
          </cell>
          <cell r="BC1839">
            <v>1.6129032258064363E-2</v>
          </cell>
          <cell r="BD1839">
            <v>-5.7826520438683957E-2</v>
          </cell>
          <cell r="BE1839">
            <v>-0.30008077107903947</v>
          </cell>
          <cell r="BF1839">
            <v>0.24214799880981444</v>
          </cell>
          <cell r="BG1839">
            <v>7.461599826812744E-2</v>
          </cell>
        </row>
        <row r="1840">
          <cell r="D1840" t="str">
            <v>消费电子产品</v>
          </cell>
          <cell r="M1840">
            <v>349.32870000000003</v>
          </cell>
          <cell r="N1840">
            <v>195.35422812384317</v>
          </cell>
          <cell r="O1840" t="str">
            <v>可选消费</v>
          </cell>
          <cell r="P1840" t="str">
            <v>耐用消费品与服装</v>
          </cell>
          <cell r="Q1840" t="str">
            <v>家庭耐用消费品</v>
          </cell>
          <cell r="BC1840">
            <v>1.6096579476861182E-2</v>
          </cell>
          <cell r="BD1840">
            <v>7.5230660042583428E-2</v>
          </cell>
          <cell r="BE1840">
            <v>0.31624674196351005</v>
          </cell>
          <cell r="BF1840">
            <v>0.91914001464843753</v>
          </cell>
          <cell r="BG1840">
            <v>0.37271999359130858</v>
          </cell>
        </row>
        <row r="1841">
          <cell r="D1841" t="str">
            <v>金属非金属</v>
          </cell>
          <cell r="M1841">
            <v>102.47739101810001</v>
          </cell>
          <cell r="N1841">
            <v>57.296154475235191</v>
          </cell>
          <cell r="O1841" t="str">
            <v>材料</v>
          </cell>
          <cell r="P1841" t="str">
            <v>材料Ⅱ</v>
          </cell>
          <cell r="Q1841" t="str">
            <v>金属、非金属与采矿</v>
          </cell>
          <cell r="BC1841">
            <v>2.6215443279313664E-2</v>
          </cell>
          <cell r="BD1841">
            <v>-6.9188191881918168E-3</v>
          </cell>
          <cell r="BE1841">
            <v>0.2267806267806268</v>
          </cell>
          <cell r="BF1841">
            <v>0.35336399078369141</v>
          </cell>
          <cell r="BG1841">
            <v>6.5124001502990719E-2</v>
          </cell>
        </row>
        <row r="1842">
          <cell r="D1842" t="str">
            <v>工业机械</v>
          </cell>
          <cell r="M1842">
            <v>50.191101152500011</v>
          </cell>
          <cell r="N1842">
            <v>28.058272710152838</v>
          </cell>
          <cell r="O1842" t="str">
            <v>工业</v>
          </cell>
          <cell r="P1842" t="str">
            <v>资本货物</v>
          </cell>
          <cell r="Q1842" t="str">
            <v>机械</v>
          </cell>
          <cell r="BC1842">
            <v>-3.2763532763532721E-2</v>
          </cell>
          <cell r="BD1842">
            <v>-8.2680356660361942E-2</v>
          </cell>
          <cell r="BE1842">
            <v>6.1925586875385408E-2</v>
          </cell>
          <cell r="BF1842">
            <v>0.32337600708007813</v>
          </cell>
          <cell r="BG1842">
            <v>0.31447200775146483</v>
          </cell>
        </row>
        <row r="1843">
          <cell r="D1843" t="str">
            <v>食品加工与肉类</v>
          </cell>
          <cell r="M1843">
            <v>187.9461738</v>
          </cell>
          <cell r="N1843">
            <v>105.0639548288712</v>
          </cell>
          <cell r="O1843" t="str">
            <v>日常消费</v>
          </cell>
          <cell r="P1843" t="str">
            <v>食品、饮料与烟草</v>
          </cell>
          <cell r="Q1843" t="str">
            <v>食品</v>
          </cell>
          <cell r="BC1843">
            <v>0</v>
          </cell>
          <cell r="BD1843">
            <v>-2.3988005997001519E-2</v>
          </cell>
          <cell r="BE1843">
            <v>-0.34375</v>
          </cell>
          <cell r="BF1843">
            <v>0.1800119972229004</v>
          </cell>
          <cell r="BG1843">
            <v>0.22689599990844728</v>
          </cell>
        </row>
        <row r="1844">
          <cell r="D1844" t="str">
            <v>工业机械</v>
          </cell>
          <cell r="M1844">
            <v>41.0625</v>
          </cell>
          <cell r="N1844">
            <v>22.952946171026234</v>
          </cell>
          <cell r="O1844" t="str">
            <v>工业</v>
          </cell>
          <cell r="P1844" t="str">
            <v>资本货物</v>
          </cell>
          <cell r="Q1844" t="str">
            <v>机械</v>
          </cell>
          <cell r="BC1844">
            <v>3.6342986939239104E-2</v>
          </cell>
          <cell r="BD1844">
            <v>1.6146993318485476E-2</v>
          </cell>
          <cell r="BE1844">
            <v>0.13024223856231701</v>
          </cell>
          <cell r="BF1844">
            <v>0.33630001068115234</v>
          </cell>
          <cell r="BG1844">
            <v>0</v>
          </cell>
        </row>
        <row r="1845">
          <cell r="D1845" t="str">
            <v>化纤</v>
          </cell>
          <cell r="M1845">
            <v>81.363035520000011</v>
          </cell>
          <cell r="N1845">
            <v>45.476687255258831</v>
          </cell>
          <cell r="O1845" t="str">
            <v>材料</v>
          </cell>
          <cell r="P1845" t="str">
            <v>材料Ⅱ</v>
          </cell>
          <cell r="Q1845" t="str">
            <v>化工</v>
          </cell>
          <cell r="BC1845">
            <v>-7.4515648286139829E-3</v>
          </cell>
          <cell r="BD1845">
            <v>-3.1976744186046478E-2</v>
          </cell>
          <cell r="BE1845">
            <v>3.3933433524685551E-2</v>
          </cell>
          <cell r="BF1845">
            <v>0.4369200134277344</v>
          </cell>
          <cell r="BG1845">
            <v>6.6203999519348147E-2</v>
          </cell>
        </row>
        <row r="1846">
          <cell r="D1846" t="str">
            <v>机动车零配件与设备</v>
          </cell>
          <cell r="M1846">
            <v>38.349503131200002</v>
          </cell>
          <cell r="N1846">
            <v>21.433969678804793</v>
          </cell>
          <cell r="O1846" t="str">
            <v>可选消费</v>
          </cell>
          <cell r="P1846" t="str">
            <v>汽车与汽车零部件</v>
          </cell>
          <cell r="Q1846" t="str">
            <v>汽车零配件</v>
          </cell>
          <cell r="BC1846">
            <v>5.6483691328560133E-2</v>
          </cell>
          <cell r="BD1846">
            <v>-0.16704996863892943</v>
          </cell>
          <cell r="BE1846">
            <v>5.100034471886513E-2</v>
          </cell>
          <cell r="BF1846">
            <v>0</v>
          </cell>
          <cell r="BG1846">
            <v>0</v>
          </cell>
        </row>
        <row r="1847">
          <cell r="D1847" t="str">
            <v>基础化工</v>
          </cell>
          <cell r="M1847">
            <v>41.7899026244</v>
          </cell>
          <cell r="N1847">
            <v>23.356305463768518</v>
          </cell>
          <cell r="O1847" t="str">
            <v>材料</v>
          </cell>
          <cell r="P1847" t="str">
            <v>材料Ⅱ</v>
          </cell>
          <cell r="Q1847" t="str">
            <v>化工</v>
          </cell>
          <cell r="BC1847">
            <v>7.3421439060206628E-3</v>
          </cell>
          <cell r="BD1847">
            <v>-7.046070460704601E-2</v>
          </cell>
          <cell r="BE1847">
            <v>0.18275862068965526</v>
          </cell>
          <cell r="BF1847">
            <v>0.20241600036621094</v>
          </cell>
          <cell r="BG1847">
            <v>7.7076001167297362E-2</v>
          </cell>
        </row>
        <row r="1848">
          <cell r="D1848" t="str">
            <v>应用软件</v>
          </cell>
          <cell r="M1848">
            <v>57.474668909999998</v>
          </cell>
          <cell r="N1848">
            <v>32.116516328792592</v>
          </cell>
          <cell r="O1848" t="str">
            <v>信息技术</v>
          </cell>
          <cell r="P1848" t="str">
            <v>软件与服务</v>
          </cell>
          <cell r="Q1848" t="str">
            <v>软件</v>
          </cell>
          <cell r="BC1848">
            <v>-2.9989094874591098E-2</v>
          </cell>
          <cell r="BD1848">
            <v>-7.6323987538940929E-2</v>
          </cell>
          <cell r="BE1848">
            <v>-2.3137631606459041E-2</v>
          </cell>
          <cell r="BF1848">
            <v>0.63296398162841794</v>
          </cell>
          <cell r="BG1848">
            <v>0.32114398956298829</v>
          </cell>
        </row>
        <row r="1849">
          <cell r="D1849" t="str">
            <v>西药</v>
          </cell>
          <cell r="M1849">
            <v>119.476</v>
          </cell>
          <cell r="N1849">
            <v>66.730371374136311</v>
          </cell>
          <cell r="O1849" t="str">
            <v>医疗保健</v>
          </cell>
          <cell r="P1849" t="str">
            <v>制药、生物科技与生命科学</v>
          </cell>
          <cell r="Q1849" t="str">
            <v>制药</v>
          </cell>
          <cell r="BC1849">
            <v>6.568431568431575E-2</v>
          </cell>
          <cell r="BD1849">
            <v>8.1622306717363716E-2</v>
          </cell>
          <cell r="BE1849">
            <v>0</v>
          </cell>
          <cell r="BF1849">
            <v>0</v>
          </cell>
          <cell r="BG1849">
            <v>0</v>
          </cell>
        </row>
        <row r="1850">
          <cell r="D1850" t="str">
            <v>特种化工</v>
          </cell>
          <cell r="M1850">
            <v>74.5402238856</v>
          </cell>
          <cell r="N1850">
            <v>41.626498250461104</v>
          </cell>
          <cell r="O1850" t="str">
            <v>材料</v>
          </cell>
          <cell r="P1850" t="str">
            <v>材料Ⅱ</v>
          </cell>
          <cell r="Q1850" t="str">
            <v>化工</v>
          </cell>
          <cell r="BC1850">
            <v>-6.1349693251532443E-3</v>
          </cell>
          <cell r="BD1850">
            <v>-7.9545454545454489E-2</v>
          </cell>
          <cell r="BE1850">
            <v>-0.18999999999999995</v>
          </cell>
          <cell r="BF1850">
            <v>0.20845199584960938</v>
          </cell>
          <cell r="BG1850">
            <v>4.7459998130798341E-2</v>
          </cell>
        </row>
        <row r="1851">
          <cell r="D1851" t="str">
            <v>工业机械</v>
          </cell>
          <cell r="M1851">
            <v>215.6691388621</v>
          </cell>
          <cell r="N1851">
            <v>120.40203803819084</v>
          </cell>
          <cell r="O1851" t="str">
            <v>工业</v>
          </cell>
          <cell r="P1851" t="str">
            <v>资本货物</v>
          </cell>
          <cell r="Q1851" t="str">
            <v>机械</v>
          </cell>
          <cell r="BC1851">
            <v>2.0161290322580215E-3</v>
          </cell>
          <cell r="BD1851">
            <v>-5.3333333333333378E-2</v>
          </cell>
          <cell r="BE1851">
            <v>0.16192941833347163</v>
          </cell>
          <cell r="BF1851">
            <v>1.4226960754394531</v>
          </cell>
          <cell r="BG1851">
            <v>0</v>
          </cell>
        </row>
        <row r="1852">
          <cell r="D1852" t="str">
            <v>西药</v>
          </cell>
          <cell r="M1852">
            <v>48.391644000000007</v>
          </cell>
          <cell r="N1852">
            <v>27.014073621962961</v>
          </cell>
          <cell r="O1852" t="str">
            <v>医疗保健</v>
          </cell>
          <cell r="P1852" t="str">
            <v>制药、生物科技与生命科学</v>
          </cell>
          <cell r="Q1852" t="str">
            <v>制药</v>
          </cell>
          <cell r="BC1852">
            <v>8.8582677165354191E-3</v>
          </cell>
          <cell r="BD1852">
            <v>-6.9872958257713211E-2</v>
          </cell>
          <cell r="BE1852">
            <v>0.13259668508287284</v>
          </cell>
          <cell r="BF1852">
            <v>0.68508003234863279</v>
          </cell>
          <cell r="BG1852">
            <v>0.32044799804687502</v>
          </cell>
        </row>
        <row r="1853">
          <cell r="D1853" t="str">
            <v>工业机械</v>
          </cell>
          <cell r="M1853">
            <v>65.94</v>
          </cell>
          <cell r="N1853">
            <v>36.8090743590108</v>
          </cell>
          <cell r="O1853" t="str">
            <v>工业</v>
          </cell>
          <cell r="P1853" t="str">
            <v>资本货物</v>
          </cell>
          <cell r="Q1853" t="str">
            <v>机械</v>
          </cell>
          <cell r="BC1853">
            <v>0.19847328244274812</v>
          </cell>
          <cell r="BD1853">
            <v>0.13415892672858626</v>
          </cell>
          <cell r="BE1853">
            <v>0.17392306785476663</v>
          </cell>
          <cell r="BF1853">
            <v>0.42229198455810546</v>
          </cell>
          <cell r="BG1853">
            <v>0</v>
          </cell>
        </row>
        <row r="1854">
          <cell r="D1854" t="str">
            <v>石油天然气设备与服务</v>
          </cell>
          <cell r="M1854">
            <v>41.732018520000004</v>
          </cell>
          <cell r="N1854">
            <v>23.292187614979166</v>
          </cell>
          <cell r="O1854" t="str">
            <v>能源</v>
          </cell>
          <cell r="P1854" t="str">
            <v>能源Ⅱ</v>
          </cell>
          <cell r="Q1854" t="str">
            <v>能源设备与服务</v>
          </cell>
          <cell r="BC1854">
            <v>2.322880371660872E-2</v>
          </cell>
          <cell r="BD1854">
            <v>8.6313193588162904E-2</v>
          </cell>
          <cell r="BE1854">
            <v>-0.15470031145742297</v>
          </cell>
          <cell r="BF1854">
            <v>7.1304001808166498E-2</v>
          </cell>
          <cell r="BG1854">
            <v>-1.4484000205993653E-2</v>
          </cell>
        </row>
        <row r="1855">
          <cell r="D1855" t="str">
            <v>医疗保健设备</v>
          </cell>
          <cell r="M1855">
            <v>123.8458661472</v>
          </cell>
          <cell r="N1855">
            <v>69.118934984820626</v>
          </cell>
          <cell r="O1855" t="str">
            <v>医疗保健</v>
          </cell>
          <cell r="P1855" t="str">
            <v>医疗保健设备与服务</v>
          </cell>
          <cell r="Q1855" t="str">
            <v>医疗保健设备与用品</v>
          </cell>
          <cell r="BC1855">
            <v>5.1150895140665009E-3</v>
          </cell>
          <cell r="BD1855">
            <v>0</v>
          </cell>
          <cell r="BE1855">
            <v>-0.33776062993945061</v>
          </cell>
          <cell r="BF1855">
            <v>-9.3227996826171874E-2</v>
          </cell>
          <cell r="BG1855">
            <v>0</v>
          </cell>
        </row>
        <row r="1856">
          <cell r="D1856" t="str">
            <v>电子元件</v>
          </cell>
          <cell r="M1856">
            <v>178.52051360600001</v>
          </cell>
          <cell r="N1856">
            <v>99.618536327675329</v>
          </cell>
          <cell r="O1856" t="str">
            <v>信息技术</v>
          </cell>
          <cell r="P1856" t="str">
            <v>技术硬件与设备</v>
          </cell>
          <cell r="Q1856" t="str">
            <v>电子设备、仪器和元件</v>
          </cell>
          <cell r="BC1856">
            <v>-3.9682539682538839E-3</v>
          </cell>
          <cell r="BD1856">
            <v>-3.5357417371252815E-2</v>
          </cell>
          <cell r="BE1856">
            <v>-9.350878753397586E-2</v>
          </cell>
          <cell r="BF1856">
            <v>0.46866001129150392</v>
          </cell>
          <cell r="BG1856">
            <v>0.19913999557495118</v>
          </cell>
        </row>
        <row r="1857">
          <cell r="D1857" t="str">
            <v>广告</v>
          </cell>
          <cell r="M1857">
            <v>110.4166323474</v>
          </cell>
          <cell r="N1857">
            <v>61.614707954768981</v>
          </cell>
          <cell r="O1857" t="str">
            <v>可选消费</v>
          </cell>
          <cell r="P1857" t="str">
            <v>媒体Ⅱ</v>
          </cell>
          <cell r="Q1857" t="str">
            <v>媒体Ⅲ</v>
          </cell>
          <cell r="BC1857">
            <v>0.1740740740740741</v>
          </cell>
          <cell r="BD1857">
            <v>-4.3259557344064357E-2</v>
          </cell>
          <cell r="BE1857">
            <v>-0.26490008950190047</v>
          </cell>
          <cell r="BF1857">
            <v>1.2635999917984008E-2</v>
          </cell>
          <cell r="BG1857">
            <v>0.16491600036621093</v>
          </cell>
        </row>
        <row r="1858">
          <cell r="D1858" t="str">
            <v>百货商店</v>
          </cell>
          <cell r="M1858">
            <v>35.824370399999999</v>
          </cell>
          <cell r="N1858">
            <v>19.988645654131943</v>
          </cell>
          <cell r="O1858" t="str">
            <v>可选消费</v>
          </cell>
          <cell r="P1858" t="str">
            <v>零售业</v>
          </cell>
          <cell r="Q1858" t="str">
            <v>多元化零售</v>
          </cell>
          <cell r="BC1858">
            <v>3.7156704361873912E-2</v>
          </cell>
          <cell r="BD1858">
            <v>0.13527851458885937</v>
          </cell>
          <cell r="BE1858">
            <v>0.14687856236425567</v>
          </cell>
          <cell r="BF1858">
            <v>3.4451999664306641E-2</v>
          </cell>
          <cell r="BG1858">
            <v>3.0311999320983888E-2</v>
          </cell>
        </row>
        <row r="1859">
          <cell r="D1859" t="str">
            <v>电子元件</v>
          </cell>
          <cell r="M1859">
            <v>244.16156882279998</v>
          </cell>
          <cell r="N1859">
            <v>136.21262914978777</v>
          </cell>
          <cell r="O1859" t="str">
            <v>信息技术</v>
          </cell>
          <cell r="P1859" t="str">
            <v>技术硬件与设备</v>
          </cell>
          <cell r="Q1859" t="str">
            <v>电子设备、仪器和元件</v>
          </cell>
          <cell r="BC1859">
            <v>0.11116650049850452</v>
          </cell>
          <cell r="BD1859">
            <v>0.1229219143576825</v>
          </cell>
          <cell r="BE1859">
            <v>1.7472114969325439</v>
          </cell>
          <cell r="BF1859">
            <v>0.70088401794433597</v>
          </cell>
          <cell r="BG1859">
            <v>0.3855120086669922</v>
          </cell>
        </row>
        <row r="1860">
          <cell r="D1860" t="str">
            <v>纸制品</v>
          </cell>
          <cell r="M1860">
            <v>41.804699999999997</v>
          </cell>
          <cell r="N1860">
            <v>23.321536455461281</v>
          </cell>
          <cell r="O1860" t="str">
            <v>材料</v>
          </cell>
          <cell r="P1860" t="str">
            <v>材料Ⅱ</v>
          </cell>
          <cell r="Q1860" t="str">
            <v>纸与林木产品</v>
          </cell>
          <cell r="BC1860">
            <v>2.2336769759450151E-2</v>
          </cell>
          <cell r="BD1860">
            <v>-8.39630562552459E-4</v>
          </cell>
          <cell r="BE1860">
            <v>0.18861455775132202</v>
          </cell>
          <cell r="BF1860">
            <v>0.49293598175048831</v>
          </cell>
          <cell r="BG1860">
            <v>0.14831999778747559</v>
          </cell>
        </row>
        <row r="1861">
          <cell r="D1861" t="str">
            <v>机动车零配件与设备</v>
          </cell>
          <cell r="M1861">
            <v>145.22477640000002</v>
          </cell>
          <cell r="N1861">
            <v>81.014271319560649</v>
          </cell>
          <cell r="O1861" t="str">
            <v>可选消费</v>
          </cell>
          <cell r="P1861" t="str">
            <v>汽车与汽车零部件</v>
          </cell>
          <cell r="Q1861" t="str">
            <v>汽车零配件</v>
          </cell>
          <cell r="BC1861">
            <v>0.18045563549160681</v>
          </cell>
          <cell r="BD1861">
            <v>0.11938601478112572</v>
          </cell>
          <cell r="BE1861">
            <v>0.733346785781546</v>
          </cell>
          <cell r="BF1861">
            <v>0.80139602661132814</v>
          </cell>
          <cell r="BG1861">
            <v>0.28739999771118163</v>
          </cell>
        </row>
        <row r="1862">
          <cell r="D1862" t="str">
            <v>电气部件与设备</v>
          </cell>
          <cell r="M1862">
            <v>51.322757376000006</v>
          </cell>
          <cell r="N1862">
            <v>28.626961458344454</v>
          </cell>
          <cell r="O1862" t="str">
            <v>工业</v>
          </cell>
          <cell r="P1862" t="str">
            <v>资本货物</v>
          </cell>
          <cell r="Q1862" t="str">
            <v>电气设备</v>
          </cell>
          <cell r="BC1862">
            <v>0</v>
          </cell>
          <cell r="BD1862">
            <v>0</v>
          </cell>
          <cell r="BE1862">
            <v>0.39755940912010285</v>
          </cell>
          <cell r="BF1862">
            <v>0.57380401611328125</v>
          </cell>
          <cell r="BG1862">
            <v>0.17775600433349609</v>
          </cell>
        </row>
        <row r="1863">
          <cell r="D1863" t="str">
            <v>电子元件</v>
          </cell>
          <cell r="M1863">
            <v>47.038221599999993</v>
          </cell>
          <cell r="N1863">
            <v>26.232728469166663</v>
          </cell>
          <cell r="O1863" t="str">
            <v>信息技术</v>
          </cell>
          <cell r="P1863" t="str">
            <v>技术硬件与设备</v>
          </cell>
          <cell r="Q1863" t="str">
            <v>电子设备、仪器和元件</v>
          </cell>
          <cell r="BC1863">
            <v>1.271676300578028E-2</v>
          </cell>
          <cell r="BD1863">
            <v>-4.5454545454546502E-3</v>
          </cell>
          <cell r="BE1863">
            <v>-0.3875432691072398</v>
          </cell>
          <cell r="BF1863">
            <v>-4.4219999313354491E-2</v>
          </cell>
          <cell r="BG1863">
            <v>-4.5311999320983884E-2</v>
          </cell>
        </row>
        <row r="1864">
          <cell r="D1864" t="str">
            <v>食品加工与肉类</v>
          </cell>
          <cell r="M1864">
            <v>187.37804055300001</v>
          </cell>
          <cell r="N1864">
            <v>104.48757647567437</v>
          </cell>
          <cell r="O1864" t="str">
            <v>日常消费</v>
          </cell>
          <cell r="P1864" t="str">
            <v>食品、饮料与烟草</v>
          </cell>
          <cell r="Q1864" t="str">
            <v>食品</v>
          </cell>
          <cell r="BC1864">
            <v>0.13624841571609636</v>
          </cell>
          <cell r="BD1864">
            <v>0.23061084420041175</v>
          </cell>
          <cell r="BE1864">
            <v>0.3707951070336391</v>
          </cell>
          <cell r="BF1864">
            <v>0.48514801025390625</v>
          </cell>
          <cell r="BG1864">
            <v>0.26846399307250979</v>
          </cell>
        </row>
        <row r="1865">
          <cell r="D1865" t="str">
            <v>建材</v>
          </cell>
          <cell r="M1865">
            <v>59.854563150200001</v>
          </cell>
          <cell r="N1865">
            <v>33.37020221793879</v>
          </cell>
          <cell r="O1865" t="str">
            <v>材料</v>
          </cell>
          <cell r="P1865" t="str">
            <v>材料Ⅱ</v>
          </cell>
          <cell r="Q1865" t="str">
            <v>建材Ⅲ</v>
          </cell>
          <cell r="BC1865">
            <v>1.9652305366591065E-2</v>
          </cell>
          <cell r="BD1865">
            <v>5.9701492537313411E-2</v>
          </cell>
          <cell r="BE1865">
            <v>-2.6119944281205839E-2</v>
          </cell>
          <cell r="BF1865">
            <v>0.36373199462890626</v>
          </cell>
          <cell r="BG1865">
            <v>0</v>
          </cell>
        </row>
        <row r="1866">
          <cell r="D1866" t="str">
            <v>金属非金属</v>
          </cell>
          <cell r="M1866">
            <v>150.49196069819999</v>
          </cell>
          <cell r="N1866">
            <v>83.895491450109574</v>
          </cell>
          <cell r="O1866" t="str">
            <v>材料</v>
          </cell>
          <cell r="P1866" t="str">
            <v>材料Ⅱ</v>
          </cell>
          <cell r="Q1866" t="str">
            <v>金属、非金属与采矿</v>
          </cell>
          <cell r="BC1866">
            <v>-1.2416427889207333E-2</v>
          </cell>
          <cell r="BD1866">
            <v>-2.6365348399246646E-2</v>
          </cell>
          <cell r="BE1866">
            <v>-0.25143775046947558</v>
          </cell>
          <cell r="BF1866">
            <v>0.14807999610900879</v>
          </cell>
          <cell r="BG1866">
            <v>0.11791199684143067</v>
          </cell>
        </row>
        <row r="1867">
          <cell r="D1867" t="str">
            <v>工业机械</v>
          </cell>
          <cell r="M1867">
            <v>69.889441735500014</v>
          </cell>
          <cell r="N1867">
            <v>38.953740195449072</v>
          </cell>
          <cell r="O1867" t="str">
            <v>工业</v>
          </cell>
          <cell r="P1867" t="str">
            <v>资本货物</v>
          </cell>
          <cell r="Q1867" t="str">
            <v>机械</v>
          </cell>
          <cell r="BC1867">
            <v>8.4194412552622434E-3</v>
          </cell>
          <cell r="BD1867">
            <v>1.5805705474171167E-2</v>
          </cell>
          <cell r="BE1867">
            <v>0.36855383472585707</v>
          </cell>
          <cell r="BF1867">
            <v>0.45816001892089842</v>
          </cell>
          <cell r="BG1867">
            <v>0.17797199249267578</v>
          </cell>
        </row>
        <row r="1868">
          <cell r="D1868" t="str">
            <v>煤炭与消费用燃料</v>
          </cell>
          <cell r="M1868">
            <v>38.521267585000004</v>
          </cell>
          <cell r="N1868">
            <v>21.469728148344448</v>
          </cell>
          <cell r="O1868" t="str">
            <v>能源</v>
          </cell>
          <cell r="P1868" t="str">
            <v>能源Ⅱ</v>
          </cell>
          <cell r="Q1868" t="str">
            <v>石油、天然气与供消费用燃料</v>
          </cell>
          <cell r="BC1868">
            <v>8.4580351333767585E-3</v>
          </cell>
          <cell r="BD1868">
            <v>-0.1824894514767933</v>
          </cell>
          <cell r="BE1868">
            <v>0.14899925871015565</v>
          </cell>
          <cell r="BF1868">
            <v>0.5306880187988281</v>
          </cell>
          <cell r="BG1868">
            <v>0.12593999862670899</v>
          </cell>
        </row>
        <row r="1869">
          <cell r="D1869" t="str">
            <v>轮胎与橡胶</v>
          </cell>
          <cell r="M1869">
            <v>42.417897428800003</v>
          </cell>
          <cell r="N1869">
            <v>23.640454791250725</v>
          </cell>
          <cell r="O1869" t="str">
            <v>可选消费</v>
          </cell>
          <cell r="P1869" t="str">
            <v>汽车与汽车零部件</v>
          </cell>
          <cell r="Q1869" t="str">
            <v>汽车零配件</v>
          </cell>
          <cell r="BC1869">
            <v>1.8315018315017925E-3</v>
          </cell>
          <cell r="BD1869">
            <v>-1.6187050359712206E-2</v>
          </cell>
          <cell r="BE1869">
            <v>-0.34505135740908971</v>
          </cell>
          <cell r="BF1869">
            <v>8.8163995742797846E-2</v>
          </cell>
          <cell r="BG1869">
            <v>-5.0520002841949463E-3</v>
          </cell>
        </row>
        <row r="1870">
          <cell r="D1870" t="str">
            <v>煤炭与消费用燃料</v>
          </cell>
          <cell r="M1870">
            <v>210.99928857499998</v>
          </cell>
          <cell r="N1870">
            <v>117.59378976951628</v>
          </cell>
          <cell r="O1870" t="str">
            <v>能源</v>
          </cell>
          <cell r="P1870" t="str">
            <v>能源Ⅱ</v>
          </cell>
          <cell r="Q1870" t="str">
            <v>石油、天然气与供消费用燃料</v>
          </cell>
          <cell r="BC1870">
            <v>3.253796095444616E-3</v>
          </cell>
          <cell r="BD1870">
            <v>-5.3224155578300882E-2</v>
          </cell>
          <cell r="BE1870">
            <v>-2.1574973031283254E-3</v>
          </cell>
          <cell r="BF1870">
            <v>0.35599201202392577</v>
          </cell>
          <cell r="BG1870">
            <v>0.12158399581909179</v>
          </cell>
        </row>
        <row r="1871">
          <cell r="D1871" t="str">
            <v>通信设备</v>
          </cell>
          <cell r="M1871">
            <v>40.926600000000001</v>
          </cell>
          <cell r="N1871">
            <v>22.807402166265685</v>
          </cell>
          <cell r="O1871" t="str">
            <v>信息技术</v>
          </cell>
          <cell r="P1871" t="str">
            <v>技术硬件与设备</v>
          </cell>
          <cell r="Q1871" t="str">
            <v>通信设备Ⅲ</v>
          </cell>
          <cell r="BC1871">
            <v>3.5571142284569181E-2</v>
          </cell>
          <cell r="BD1871">
            <v>-2.1306818181818146E-2</v>
          </cell>
          <cell r="BE1871">
            <v>0.10244387429711685</v>
          </cell>
          <cell r="BF1871">
            <v>0.27507600784301756</v>
          </cell>
          <cell r="BG1871">
            <v>0.12970800399780275</v>
          </cell>
        </row>
        <row r="1872">
          <cell r="D1872" t="str">
            <v>调查和咨询服务</v>
          </cell>
          <cell r="M1872">
            <v>61.45267678199999</v>
          </cell>
          <cell r="N1872">
            <v>34.2367590679114</v>
          </cell>
          <cell r="O1872" t="str">
            <v>工业</v>
          </cell>
          <cell r="P1872" t="str">
            <v>商业和专业服务</v>
          </cell>
          <cell r="Q1872" t="str">
            <v>专业服务</v>
          </cell>
          <cell r="BC1872">
            <v>5.8823529411764768E-2</v>
          </cell>
          <cell r="BD1872">
            <v>9.7560975609756101E-2</v>
          </cell>
          <cell r="BE1872">
            <v>0.40951288178480644</v>
          </cell>
          <cell r="BF1872">
            <v>0.29734800338745115</v>
          </cell>
          <cell r="BG1872">
            <v>0.17678400039672851</v>
          </cell>
        </row>
        <row r="1873">
          <cell r="D1873" t="str">
            <v>金属非金属</v>
          </cell>
          <cell r="M1873">
            <v>39.203998366499995</v>
          </cell>
          <cell r="N1873">
            <v>21.838268273583537</v>
          </cell>
          <cell r="O1873" t="str">
            <v>材料</v>
          </cell>
          <cell r="P1873" t="str">
            <v>材料Ⅱ</v>
          </cell>
          <cell r="Q1873" t="str">
            <v>金属、非金属与采矿</v>
          </cell>
          <cell r="BC1873">
            <v>8.228980322003572E-2</v>
          </cell>
          <cell r="BD1873">
            <v>-5.4687500000000042E-2</v>
          </cell>
          <cell r="BE1873">
            <v>0.29181494661921692</v>
          </cell>
          <cell r="BF1873">
            <v>0.45889198303222656</v>
          </cell>
          <cell r="BG1873">
            <v>0.17073600769042968</v>
          </cell>
        </row>
        <row r="1874">
          <cell r="D1874" t="str">
            <v>金属非金属</v>
          </cell>
          <cell r="M1874">
            <v>172.66118171400001</v>
          </cell>
          <cell r="N1874">
            <v>96.177270438218883</v>
          </cell>
          <cell r="O1874" t="str">
            <v>材料</v>
          </cell>
          <cell r="P1874" t="str">
            <v>材料Ⅱ</v>
          </cell>
          <cell r="Q1874" t="str">
            <v>金属、非金属与采矿</v>
          </cell>
          <cell r="BC1874">
            <v>-6.3057186344857392E-3</v>
          </cell>
          <cell r="BD1874">
            <v>2.2829006266786103E-2</v>
          </cell>
          <cell r="BE1874">
            <v>0.87668260796854802</v>
          </cell>
          <cell r="BF1874">
            <v>0.63720001220703126</v>
          </cell>
          <cell r="BG1874">
            <v>0.31586399078369143</v>
          </cell>
        </row>
        <row r="1875">
          <cell r="D1875" t="str">
            <v>基础化工</v>
          </cell>
          <cell r="M1875">
            <v>81.487569632700001</v>
          </cell>
          <cell r="N1875">
            <v>45.390619201745054</v>
          </cell>
          <cell r="O1875" t="str">
            <v>材料</v>
          </cell>
          <cell r="P1875" t="str">
            <v>材料Ⅱ</v>
          </cell>
          <cell r="Q1875" t="str">
            <v>化工</v>
          </cell>
          <cell r="BC1875">
            <v>4.2834645669291321E-2</v>
          </cell>
          <cell r="BD1875">
            <v>2.5712515489467107E-2</v>
          </cell>
          <cell r="BE1875">
            <v>0.31306565461896024</v>
          </cell>
          <cell r="BF1875">
            <v>0.54295200347900385</v>
          </cell>
          <cell r="BG1875">
            <v>0.28479600906372071</v>
          </cell>
        </row>
        <row r="1876">
          <cell r="D1876" t="str">
            <v>电子元件</v>
          </cell>
          <cell r="M1876">
            <v>59.198287679100012</v>
          </cell>
          <cell r="N1876">
            <v>32.974224948889869</v>
          </cell>
          <cell r="O1876" t="str">
            <v>信息技术</v>
          </cell>
          <cell r="P1876" t="str">
            <v>技术硬件与设备</v>
          </cell>
          <cell r="Q1876" t="str">
            <v>电子设备、仪器和元件</v>
          </cell>
          <cell r="BC1876">
            <v>0.19417475728155348</v>
          </cell>
          <cell r="BD1876">
            <v>0.2746198672476145</v>
          </cell>
          <cell r="BE1876">
            <v>0.69397953349473052</v>
          </cell>
          <cell r="BF1876">
            <v>0.67252799987792966</v>
          </cell>
          <cell r="BG1876">
            <v>0.36038398742675781</v>
          </cell>
        </row>
        <row r="1877">
          <cell r="D1877" t="str">
            <v>百货商店</v>
          </cell>
          <cell r="M1877">
            <v>46.148568251299999</v>
          </cell>
          <cell r="N1877">
            <v>25.702166356944364</v>
          </cell>
          <cell r="O1877" t="str">
            <v>可选消费</v>
          </cell>
          <cell r="P1877" t="str">
            <v>零售业</v>
          </cell>
          <cell r="Q1877" t="str">
            <v>多元化零售</v>
          </cell>
          <cell r="BC1877">
            <v>0</v>
          </cell>
          <cell r="BD1877">
            <v>0</v>
          </cell>
          <cell r="BE1877">
            <v>5.1275382513791948E-2</v>
          </cell>
          <cell r="BF1877">
            <v>0.33576000213623047</v>
          </cell>
          <cell r="BG1877">
            <v>1.3788000345230103E-2</v>
          </cell>
        </row>
        <row r="1878">
          <cell r="D1878" t="str">
            <v>工业机械</v>
          </cell>
          <cell r="M1878">
            <v>34.58</v>
          </cell>
          <cell r="N1878">
            <v>19.258758687377778</v>
          </cell>
          <cell r="O1878" t="str">
            <v>工业</v>
          </cell>
          <cell r="P1878" t="str">
            <v>资本货物</v>
          </cell>
          <cell r="Q1878" t="str">
            <v>机械</v>
          </cell>
          <cell r="BC1878">
            <v>3.4709754637941251E-2</v>
          </cell>
          <cell r="BD1878">
            <v>-4.633204633204633E-2</v>
          </cell>
          <cell r="BE1878">
            <v>0.39323167735223502</v>
          </cell>
          <cell r="BF1878">
            <v>0.53491199493408204</v>
          </cell>
          <cell r="BG1878">
            <v>0.17662799835205079</v>
          </cell>
        </row>
        <row r="1879">
          <cell r="D1879" t="str">
            <v>工业机械</v>
          </cell>
          <cell r="M1879">
            <v>36.284480799999997</v>
          </cell>
          <cell r="N1879">
            <v>20.206696823700927</v>
          </cell>
          <cell r="O1879" t="str">
            <v>工业</v>
          </cell>
          <cell r="P1879" t="str">
            <v>资本货物</v>
          </cell>
          <cell r="Q1879" t="str">
            <v>机械</v>
          </cell>
          <cell r="BC1879">
            <v>-1.8302828618968293E-2</v>
          </cell>
          <cell r="BD1879">
            <v>-1.7485428809325486E-2</v>
          </cell>
          <cell r="BE1879">
            <v>-6.9400630914826428E-2</v>
          </cell>
          <cell r="BF1879">
            <v>0.36392398834228518</v>
          </cell>
          <cell r="BG1879">
            <v>-3.9948000907897949E-2</v>
          </cell>
        </row>
        <row r="1880">
          <cell r="D1880" t="str">
            <v>应用软件</v>
          </cell>
          <cell r="M1880">
            <v>95.965765490999999</v>
          </cell>
          <cell r="N1880">
            <v>53.43762585000259</v>
          </cell>
          <cell r="O1880" t="str">
            <v>信息技术</v>
          </cell>
          <cell r="P1880" t="str">
            <v>软件与服务</v>
          </cell>
          <cell r="Q1880" t="str">
            <v>软件</v>
          </cell>
          <cell r="BC1880">
            <v>6.9008782936010801E-3</v>
          </cell>
          <cell r="BD1880">
            <v>5.3241465706232918E-3</v>
          </cell>
          <cell r="BE1880">
            <v>0.56432610221925017</v>
          </cell>
          <cell r="BF1880">
            <v>0.80594398498535158</v>
          </cell>
          <cell r="BG1880">
            <v>0</v>
          </cell>
        </row>
        <row r="1881">
          <cell r="D1881" t="str">
            <v>百货商店</v>
          </cell>
          <cell r="M1881">
            <v>91.821483770599997</v>
          </cell>
          <cell r="N1881">
            <v>51.128376389241851</v>
          </cell>
          <cell r="O1881" t="str">
            <v>可选消费</v>
          </cell>
          <cell r="P1881" t="str">
            <v>零售业</v>
          </cell>
          <cell r="Q1881" t="str">
            <v>多元化零售</v>
          </cell>
          <cell r="BC1881">
            <v>6.8951107396573286E-2</v>
          </cell>
          <cell r="BD1881">
            <v>0.22509578544061301</v>
          </cell>
          <cell r="BE1881">
            <v>0.10500543279440384</v>
          </cell>
          <cell r="BF1881">
            <v>0.79845596313476563</v>
          </cell>
          <cell r="BG1881">
            <v>0.17176799774169921</v>
          </cell>
        </row>
        <row r="1882">
          <cell r="D1882" t="str">
            <v>石油与天然气的炼制和销售</v>
          </cell>
          <cell r="M1882">
            <v>36.178200000000004</v>
          </cell>
          <cell r="N1882">
            <v>20.140839995118057</v>
          </cell>
          <cell r="O1882" t="str">
            <v>能源</v>
          </cell>
          <cell r="P1882" t="str">
            <v>能源Ⅱ</v>
          </cell>
          <cell r="Q1882" t="str">
            <v>石油、天然气与供消费用燃料</v>
          </cell>
          <cell r="BC1882">
            <v>-1.1154489682096806E-3</v>
          </cell>
          <cell r="BD1882">
            <v>-5.8359621451104071E-2</v>
          </cell>
          <cell r="BE1882">
            <v>-0.17654823410267653</v>
          </cell>
          <cell r="BF1882">
            <v>0.45169200897216799</v>
          </cell>
          <cell r="BG1882">
            <v>0</v>
          </cell>
        </row>
        <row r="1883">
          <cell r="D1883" t="str">
            <v>房地产开发</v>
          </cell>
          <cell r="M1883">
            <v>59.357402399999991</v>
          </cell>
          <cell r="N1883">
            <v>33.034767619176691</v>
          </cell>
          <cell r="O1883" t="str">
            <v>金融</v>
          </cell>
          <cell r="P1883" t="str">
            <v>房地产</v>
          </cell>
          <cell r="Q1883" t="str">
            <v>房地产管理与开发</v>
          </cell>
          <cell r="BC1883">
            <v>0</v>
          </cell>
          <cell r="BD1883">
            <v>1.3675213675213687E-2</v>
          </cell>
          <cell r="BE1883">
            <v>-0.2445859872611465</v>
          </cell>
          <cell r="BF1883">
            <v>0.43550399780273436</v>
          </cell>
          <cell r="BG1883">
            <v>4.5827999114990234E-2</v>
          </cell>
        </row>
        <row r="1884">
          <cell r="D1884" t="str">
            <v>煤炭与消费用燃料</v>
          </cell>
          <cell r="M1884">
            <v>55.172640000000001</v>
          </cell>
          <cell r="N1884">
            <v>30.703568286068521</v>
          </cell>
          <cell r="O1884" t="str">
            <v>能源</v>
          </cell>
          <cell r="P1884" t="str">
            <v>能源Ⅱ</v>
          </cell>
          <cell r="Q1884" t="str">
            <v>石油、天然气与供消费用燃料</v>
          </cell>
          <cell r="BC1884">
            <v>0.13692946058091288</v>
          </cell>
          <cell r="BD1884">
            <v>3.7878787878787908E-2</v>
          </cell>
          <cell r="BE1884">
            <v>0.17344753747323352</v>
          </cell>
          <cell r="BF1884">
            <v>0.47583599090576173</v>
          </cell>
          <cell r="BG1884">
            <v>4.9967999458312991E-2</v>
          </cell>
        </row>
        <row r="1885">
          <cell r="D1885" t="str">
            <v>通信设备</v>
          </cell>
          <cell r="M1885">
            <v>45.586368</v>
          </cell>
          <cell r="N1885">
            <v>25.368007549292933</v>
          </cell>
          <cell r="O1885" t="str">
            <v>信息技术</v>
          </cell>
          <cell r="P1885" t="str">
            <v>技术硬件与设备</v>
          </cell>
          <cell r="Q1885" t="str">
            <v>通信设备Ⅲ</v>
          </cell>
          <cell r="BC1885">
            <v>1.1850501367365452E-2</v>
          </cell>
          <cell r="BD1885">
            <v>-2.1164021164021184E-2</v>
          </cell>
          <cell r="BE1885">
            <v>-0.17287630402384502</v>
          </cell>
          <cell r="BF1885">
            <v>0.34088401794433593</v>
          </cell>
          <cell r="BG1885">
            <v>9.7391996383666996E-2</v>
          </cell>
        </row>
        <row r="1886">
          <cell r="D1886" t="str">
            <v>电气部件与设备</v>
          </cell>
          <cell r="M1886">
            <v>61.430054399999996</v>
          </cell>
          <cell r="N1886">
            <v>34.182653375733054</v>
          </cell>
          <cell r="O1886" t="str">
            <v>工业</v>
          </cell>
          <cell r="P1886" t="str">
            <v>资本货物</v>
          </cell>
          <cell r="Q1886" t="str">
            <v>电气设备</v>
          </cell>
          <cell r="BC1886">
            <v>7.0448307410795941E-2</v>
          </cell>
          <cell r="BD1886">
            <v>3.9999999999999938E-2</v>
          </cell>
          <cell r="BE1886">
            <v>0.17832265723627014</v>
          </cell>
          <cell r="BF1886">
            <v>0.4425120162963867</v>
          </cell>
          <cell r="BG1886">
            <v>0.17077199935913087</v>
          </cell>
        </row>
        <row r="1887">
          <cell r="D1887" t="str">
            <v>服装、服饰与奢侈品</v>
          </cell>
          <cell r="M1887">
            <v>80.932257000000007</v>
          </cell>
          <cell r="N1887">
            <v>45.03328371551698</v>
          </cell>
          <cell r="O1887" t="str">
            <v>可选消费</v>
          </cell>
          <cell r="P1887" t="str">
            <v>耐用消费品与服装</v>
          </cell>
          <cell r="Q1887" t="str">
            <v>纺织品、服装与奢侈品</v>
          </cell>
          <cell r="BC1887">
            <v>1.6129032258064679E-2</v>
          </cell>
          <cell r="BD1887">
            <v>4.4878048780487886E-2</v>
          </cell>
          <cell r="BE1887">
            <v>-0.25143524056639194</v>
          </cell>
          <cell r="BF1887">
            <v>0.42985198974609373</v>
          </cell>
          <cell r="BG1887">
            <v>9.1308002471923833E-2</v>
          </cell>
        </row>
        <row r="1888">
          <cell r="D1888" t="str">
            <v>铝</v>
          </cell>
          <cell r="M1888">
            <v>77.817999999999998</v>
          </cell>
          <cell r="N1888">
            <v>43.296707193269746</v>
          </cell>
          <cell r="O1888" t="str">
            <v>材料</v>
          </cell>
          <cell r="P1888" t="str">
            <v>材料Ⅱ</v>
          </cell>
          <cell r="Q1888" t="str">
            <v>金属、非金属与采矿</v>
          </cell>
          <cell r="BC1888">
            <v>-2.3411371237458171E-2</v>
          </cell>
          <cell r="BD1888">
            <v>-0.32156133828996281</v>
          </cell>
          <cell r="BE1888">
            <v>0.32880933776928134</v>
          </cell>
          <cell r="BF1888">
            <v>0.54159599304199224</v>
          </cell>
          <cell r="BG1888">
            <v>0</v>
          </cell>
        </row>
        <row r="1889">
          <cell r="D1889" t="str">
            <v>房地产开发</v>
          </cell>
          <cell r="M1889">
            <v>33.774222642599995</v>
          </cell>
          <cell r="N1889">
            <v>18.790223042287359</v>
          </cell>
          <cell r="O1889" t="str">
            <v>金融</v>
          </cell>
          <cell r="P1889" t="str">
            <v>房地产</v>
          </cell>
          <cell r="Q1889" t="str">
            <v>房地产管理与开发</v>
          </cell>
          <cell r="BC1889">
            <v>5.3953488372093031E-2</v>
          </cell>
          <cell r="BD1889">
            <v>1.7055655296229755E-2</v>
          </cell>
          <cell r="BE1889">
            <v>-0.35625000000000007</v>
          </cell>
          <cell r="BF1889">
            <v>0.25930799484252931</v>
          </cell>
          <cell r="BG1889">
            <v>0.131003999710083</v>
          </cell>
        </row>
        <row r="1890">
          <cell r="D1890" t="str">
            <v>石油天然气勘探与生产</v>
          </cell>
          <cell r="M1890">
            <v>177.68534016300001</v>
          </cell>
          <cell r="N1890">
            <v>98.846017723639704</v>
          </cell>
          <cell r="O1890" t="str">
            <v>能源</v>
          </cell>
          <cell r="P1890" t="str">
            <v>能源Ⅱ</v>
          </cell>
          <cell r="Q1890" t="str">
            <v>石油、天然气与供消费用燃料</v>
          </cell>
          <cell r="BC1890">
            <v>0</v>
          </cell>
          <cell r="BD1890">
            <v>0</v>
          </cell>
          <cell r="BE1890">
            <v>3.1152170742417495E-2</v>
          </cell>
          <cell r="BF1890">
            <v>0.12105600357055664</v>
          </cell>
          <cell r="BG1890">
            <v>0.2709000015258789</v>
          </cell>
        </row>
        <row r="1891">
          <cell r="D1891" t="str">
            <v>建材</v>
          </cell>
          <cell r="M1891">
            <v>38.205338339999997</v>
          </cell>
          <cell r="N1891">
            <v>21.25266246523719</v>
          </cell>
          <cell r="O1891" t="str">
            <v>材料</v>
          </cell>
          <cell r="P1891" t="str">
            <v>材料Ⅱ</v>
          </cell>
          <cell r="Q1891" t="str">
            <v>建材Ⅲ</v>
          </cell>
          <cell r="BC1891">
            <v>2.8756957328385947E-2</v>
          </cell>
          <cell r="BD1891">
            <v>-0.11066559743384127</v>
          </cell>
          <cell r="BE1891">
            <v>0.54646129387498998</v>
          </cell>
          <cell r="BF1891">
            <v>0.91310401916503903</v>
          </cell>
          <cell r="BG1891">
            <v>0.24437999725341797</v>
          </cell>
        </row>
        <row r="1892">
          <cell r="D1892" t="str">
            <v>农产品</v>
          </cell>
          <cell r="M1892">
            <v>39.057353920000004</v>
          </cell>
          <cell r="N1892">
            <v>21.725692144140744</v>
          </cell>
          <cell r="O1892" t="str">
            <v>日常消费</v>
          </cell>
          <cell r="P1892" t="str">
            <v>食品、饮料与烟草</v>
          </cell>
          <cell r="Q1892" t="str">
            <v>食品</v>
          </cell>
          <cell r="BC1892">
            <v>4.3723554301833639E-2</v>
          </cell>
          <cell r="BD1892">
            <v>4.6676096181046685E-2</v>
          </cell>
          <cell r="BE1892">
            <v>-0.21940928270042193</v>
          </cell>
          <cell r="BF1892">
            <v>0.10015199661254882</v>
          </cell>
          <cell r="BG1892">
            <v>-7.6644001007080076E-2</v>
          </cell>
        </row>
        <row r="1893">
          <cell r="D1893" t="str">
            <v>电气部件与设备</v>
          </cell>
          <cell r="M1893">
            <v>51.168679078900006</v>
          </cell>
          <cell r="N1893">
            <v>28.460904551568735</v>
          </cell>
          <cell r="O1893" t="str">
            <v>工业</v>
          </cell>
          <cell r="P1893" t="str">
            <v>资本货物</v>
          </cell>
          <cell r="Q1893" t="str">
            <v>电气设备</v>
          </cell>
          <cell r="BC1893">
            <v>3.4715025906735655E-2</v>
          </cell>
          <cell r="BD1893">
            <v>8.2384823848238461E-2</v>
          </cell>
          <cell r="BE1893">
            <v>-0.10329786965323651</v>
          </cell>
          <cell r="BF1893">
            <v>0.63703201293945311</v>
          </cell>
          <cell r="BG1893">
            <v>0</v>
          </cell>
        </row>
        <row r="1894">
          <cell r="D1894" t="str">
            <v>电气部件与设备</v>
          </cell>
          <cell r="M1894">
            <v>55.435212242800006</v>
          </cell>
          <cell r="N1894">
            <v>30.831903193607221</v>
          </cell>
          <cell r="O1894" t="str">
            <v>工业</v>
          </cell>
          <cell r="P1894" t="str">
            <v>资本货物</v>
          </cell>
          <cell r="Q1894" t="str">
            <v>电气设备</v>
          </cell>
          <cell r="BC1894">
            <v>0.15733015494636474</v>
          </cell>
          <cell r="BD1894">
            <v>7.5006919457514545E-2</v>
          </cell>
          <cell r="BE1894">
            <v>0.83036490153639819</v>
          </cell>
          <cell r="BF1894">
            <v>0.46479598999023436</v>
          </cell>
          <cell r="BG1894">
            <v>0</v>
          </cell>
        </row>
        <row r="1895">
          <cell r="D1895" t="str">
            <v>金属非金属</v>
          </cell>
          <cell r="M1895">
            <v>52.967225081099997</v>
          </cell>
          <cell r="N1895">
            <v>29.456304568336417</v>
          </cell>
          <cell r="O1895" t="str">
            <v>材料</v>
          </cell>
          <cell r="P1895" t="str">
            <v>材料Ⅱ</v>
          </cell>
          <cell r="Q1895" t="str">
            <v>金属、非金属与采矿</v>
          </cell>
          <cell r="BC1895">
            <v>3.9449541284403644E-2</v>
          </cell>
          <cell r="BD1895">
            <v>8.1106870229007602E-2</v>
          </cell>
          <cell r="BE1895">
            <v>0.1386934673366835</v>
          </cell>
          <cell r="BF1895">
            <v>0.2973360061645508</v>
          </cell>
          <cell r="BG1895">
            <v>1.0008000135421753E-2</v>
          </cell>
        </row>
        <row r="1896">
          <cell r="D1896" t="str">
            <v>食品加工与肉类</v>
          </cell>
          <cell r="M1896">
            <v>40.404036617999999</v>
          </cell>
          <cell r="N1896">
            <v>22.469449467603496</v>
          </cell>
          <cell r="O1896" t="str">
            <v>日常消费</v>
          </cell>
          <cell r="P1896" t="str">
            <v>食品、饮料与烟草</v>
          </cell>
          <cell r="Q1896" t="str">
            <v>食品</v>
          </cell>
          <cell r="BC1896">
            <v>8.3191850594227484E-2</v>
          </cell>
          <cell r="BD1896">
            <v>5.0378663154428634E-2</v>
          </cell>
          <cell r="BE1896">
            <v>-8.0825351097193909E-2</v>
          </cell>
          <cell r="BF1896">
            <v>0.17098800659179689</v>
          </cell>
          <cell r="BG1896">
            <v>0</v>
          </cell>
        </row>
        <row r="1897">
          <cell r="D1897" t="str">
            <v>广告</v>
          </cell>
          <cell r="M1897">
            <v>93.390970016000011</v>
          </cell>
          <cell r="N1897">
            <v>51.931915776751566</v>
          </cell>
          <cell r="O1897" t="str">
            <v>可选消费</v>
          </cell>
          <cell r="P1897" t="str">
            <v>媒体Ⅱ</v>
          </cell>
          <cell r="Q1897" t="str">
            <v>媒体Ⅲ</v>
          </cell>
          <cell r="BC1897">
            <v>-7.6001261431725003E-2</v>
          </cell>
          <cell r="BD1897">
            <v>-8.4374999999999978E-2</v>
          </cell>
          <cell r="BE1897">
            <v>0.71626010285459019</v>
          </cell>
          <cell r="BF1897">
            <v>1.2098639678955079</v>
          </cell>
          <cell r="BG1897">
            <v>0</v>
          </cell>
        </row>
        <row r="1898">
          <cell r="D1898" t="str">
            <v>金属非金属</v>
          </cell>
          <cell r="M1898">
            <v>109.55339299999999</v>
          </cell>
          <cell r="N1898">
            <v>60.917869312044729</v>
          </cell>
          <cell r="O1898" t="str">
            <v>材料</v>
          </cell>
          <cell r="P1898" t="str">
            <v>材料Ⅱ</v>
          </cell>
          <cell r="Q1898" t="str">
            <v>金属、非金属与采矿</v>
          </cell>
          <cell r="BC1898">
            <v>-3.8929440389295304E-3</v>
          </cell>
          <cell r="BD1898">
            <v>0.15780542986425336</v>
          </cell>
          <cell r="BE1898">
            <v>-1.003696203748196E-2</v>
          </cell>
          <cell r="BF1898">
            <v>0</v>
          </cell>
          <cell r="BG1898">
            <v>0</v>
          </cell>
        </row>
        <row r="1899">
          <cell r="D1899" t="str">
            <v>电子设备和仪器</v>
          </cell>
          <cell r="M1899">
            <v>31.496767999999999</v>
          </cell>
          <cell r="N1899">
            <v>17.513143932066452</v>
          </cell>
          <cell r="O1899" t="str">
            <v>信息技术</v>
          </cell>
          <cell r="P1899" t="str">
            <v>技术硬件与设备</v>
          </cell>
          <cell r="Q1899" t="str">
            <v>电子设备、仪器和元件</v>
          </cell>
          <cell r="BC1899">
            <v>1.8418201516793058E-2</v>
          </cell>
          <cell r="BD1899">
            <v>-3.8363171355498722E-2</v>
          </cell>
          <cell r="BE1899">
            <v>-7.6423268017341353E-2</v>
          </cell>
          <cell r="BF1899">
            <v>0.27590400695800782</v>
          </cell>
          <cell r="BG1899">
            <v>0</v>
          </cell>
        </row>
        <row r="1900">
          <cell r="D1900" t="str">
            <v>工业机械</v>
          </cell>
          <cell r="M1900">
            <v>27.277249999999999</v>
          </cell>
          <cell r="N1900">
            <v>15.165898589712965</v>
          </cell>
          <cell r="O1900" t="str">
            <v>工业</v>
          </cell>
          <cell r="P1900" t="str">
            <v>资本货物</v>
          </cell>
          <cell r="Q1900" t="str">
            <v>机械</v>
          </cell>
          <cell r="BC1900">
            <v>7.9207920792079278E-2</v>
          </cell>
          <cell r="BD1900">
            <v>0.10101010101010097</v>
          </cell>
          <cell r="BE1900">
            <v>-2.7194598797610034E-2</v>
          </cell>
          <cell r="BF1900">
            <v>0.61318801879882812</v>
          </cell>
          <cell r="BG1900">
            <v>0.1025160026550293</v>
          </cell>
        </row>
        <row r="1901">
          <cell r="D1901" t="str">
            <v>电子元件</v>
          </cell>
          <cell r="M1901">
            <v>39.3889743334</v>
          </cell>
          <cell r="N1901">
            <v>21.899214583275</v>
          </cell>
          <cell r="O1901" t="str">
            <v>信息技术</v>
          </cell>
          <cell r="P1901" t="str">
            <v>技术硬件与设备</v>
          </cell>
          <cell r="Q1901" t="str">
            <v>电子设备、仪器和元件</v>
          </cell>
          <cell r="BC1901">
            <v>4.1184041184041224E-2</v>
          </cell>
          <cell r="BD1901">
            <v>2.1464646464646457E-2</v>
          </cell>
          <cell r="BE1901">
            <v>0.28719172633253776</v>
          </cell>
          <cell r="BF1901">
            <v>0.11294400215148925</v>
          </cell>
          <cell r="BG1901">
            <v>0.10328399658203125</v>
          </cell>
        </row>
        <row r="1902">
          <cell r="D1902" t="str">
            <v>建筑产品</v>
          </cell>
          <cell r="M1902">
            <v>43.234560000000002</v>
          </cell>
          <cell r="N1902">
            <v>24.035735582858024</v>
          </cell>
          <cell r="O1902" t="str">
            <v>工业</v>
          </cell>
          <cell r="P1902" t="str">
            <v>资本货物</v>
          </cell>
          <cell r="Q1902" t="str">
            <v>建筑产品Ⅲ</v>
          </cell>
          <cell r="BC1902">
            <v>5.7480980557903613E-2</v>
          </cell>
          <cell r="BD1902">
            <v>8.8709677419354371E-3</v>
          </cell>
          <cell r="BE1902">
            <v>3.0029842788308451E-2</v>
          </cell>
          <cell r="BF1902">
            <v>0.46701599121093751</v>
          </cell>
          <cell r="BG1902">
            <v>0</v>
          </cell>
        </row>
        <row r="1903">
          <cell r="D1903" t="str">
            <v>电气部件与设备</v>
          </cell>
          <cell r="M1903">
            <v>92.406138959999993</v>
          </cell>
          <cell r="N1903">
            <v>51.352670292795722</v>
          </cell>
          <cell r="O1903" t="str">
            <v>工业</v>
          </cell>
          <cell r="P1903" t="str">
            <v>资本货物</v>
          </cell>
          <cell r="Q1903" t="str">
            <v>电气设备</v>
          </cell>
          <cell r="BC1903">
            <v>3.8406827880512029E-2</v>
          </cell>
          <cell r="BD1903">
            <v>-3.9473684210526293E-2</v>
          </cell>
          <cell r="BE1903">
            <v>0.62764771460423618</v>
          </cell>
          <cell r="BF1903">
            <v>0.67357200622558588</v>
          </cell>
          <cell r="BG1903">
            <v>0.34515598297119143</v>
          </cell>
        </row>
        <row r="1904">
          <cell r="D1904" t="str">
            <v>西药</v>
          </cell>
          <cell r="M1904">
            <v>88.352968130999997</v>
          </cell>
          <cell r="N1904">
            <v>49.094749313744813</v>
          </cell>
          <cell r="O1904" t="str">
            <v>医疗保健</v>
          </cell>
          <cell r="P1904" t="str">
            <v>制药、生物科技与生命科学</v>
          </cell>
          <cell r="Q1904" t="str">
            <v>制药</v>
          </cell>
          <cell r="BC1904">
            <v>0</v>
          </cell>
          <cell r="BD1904">
            <v>0</v>
          </cell>
          <cell r="BE1904">
            <v>0.66093482259522829</v>
          </cell>
          <cell r="BF1904">
            <v>0.62305198669433592</v>
          </cell>
          <cell r="BG1904">
            <v>0</v>
          </cell>
        </row>
        <row r="1905">
          <cell r="D1905" t="str">
            <v>食品加工与肉类</v>
          </cell>
          <cell r="M1905">
            <v>43.468193894400002</v>
          </cell>
          <cell r="N1905">
            <v>24.151824177101172</v>
          </cell>
          <cell r="O1905" t="str">
            <v>日常消费</v>
          </cell>
          <cell r="P1905" t="str">
            <v>食品、饮料与烟草</v>
          </cell>
          <cell r="Q1905" t="str">
            <v>食品</v>
          </cell>
          <cell r="BC1905">
            <v>0.12785774767146485</v>
          </cell>
          <cell r="BD1905">
            <v>0.12690355329949238</v>
          </cell>
          <cell r="BE1905">
            <v>-5.3977272727272714E-2</v>
          </cell>
          <cell r="BF1905">
            <v>0.4148160171508789</v>
          </cell>
          <cell r="BG1905">
            <v>0.17181600570678712</v>
          </cell>
        </row>
        <row r="1906">
          <cell r="D1906" t="str">
            <v>工业机械</v>
          </cell>
          <cell r="M1906">
            <v>52.80639</v>
          </cell>
          <cell r="N1906">
            <v>29.33766865388889</v>
          </cell>
          <cell r="O1906" t="str">
            <v>工业</v>
          </cell>
          <cell r="P1906" t="str">
            <v>资本货物</v>
          </cell>
          <cell r="Q1906" t="str">
            <v>机械</v>
          </cell>
          <cell r="BC1906">
            <v>8.3778234086242256E-2</v>
          </cell>
          <cell r="BD1906">
            <v>5.8563979141596507E-2</v>
          </cell>
          <cell r="BE1906">
            <v>5.7789494202319033E-2</v>
          </cell>
          <cell r="BF1906">
            <v>0</v>
          </cell>
          <cell r="BG1906">
            <v>0</v>
          </cell>
        </row>
        <row r="1907">
          <cell r="D1907" t="str">
            <v>综合类行业</v>
          </cell>
          <cell r="M1907">
            <v>101.63185124069997</v>
          </cell>
          <cell r="N1907">
            <v>56.454599256732067</v>
          </cell>
          <cell r="O1907" t="str">
            <v>工业</v>
          </cell>
          <cell r="P1907" t="str">
            <v>资本货物</v>
          </cell>
          <cell r="Q1907" t="str">
            <v>综合类Ⅲ</v>
          </cell>
          <cell r="BC1907">
            <v>0</v>
          </cell>
          <cell r="BD1907">
            <v>0</v>
          </cell>
          <cell r="BE1907">
            <v>-0.18340289475180047</v>
          </cell>
          <cell r="BF1907">
            <v>0.93747596740722661</v>
          </cell>
          <cell r="BG1907">
            <v>0.52807201385498048</v>
          </cell>
        </row>
        <row r="1908">
          <cell r="D1908" t="str">
            <v>工业机械</v>
          </cell>
          <cell r="M1908">
            <v>137.55511785479996</v>
          </cell>
          <cell r="N1908">
            <v>76.406572683783324</v>
          </cell>
          <cell r="O1908" t="str">
            <v>工业</v>
          </cell>
          <cell r="P1908" t="str">
            <v>资本货物</v>
          </cell>
          <cell r="Q1908" t="str">
            <v>机械</v>
          </cell>
          <cell r="BC1908">
            <v>1.1254924029262764E-2</v>
          </cell>
          <cell r="BD1908">
            <v>3.7528868360277051E-2</v>
          </cell>
          <cell r="BE1908">
            <v>-3.7492153755540575E-2</v>
          </cell>
          <cell r="BF1908">
            <v>0.59960399627685546</v>
          </cell>
          <cell r="BG1908">
            <v>0.16636800765991211</v>
          </cell>
        </row>
        <row r="1909">
          <cell r="D1909" t="str">
            <v>化肥与农用化工</v>
          </cell>
          <cell r="M1909">
            <v>45.958334150399999</v>
          </cell>
          <cell r="N1909">
            <v>25.527273122074472</v>
          </cell>
          <cell r="O1909" t="str">
            <v>材料</v>
          </cell>
          <cell r="P1909" t="str">
            <v>材料Ⅱ</v>
          </cell>
          <cell r="Q1909" t="str">
            <v>化工</v>
          </cell>
          <cell r="BC1909">
            <v>-2.5673940949936407E-3</v>
          </cell>
          <cell r="BD1909">
            <v>-2.5673940949936407E-3</v>
          </cell>
          <cell r="BE1909">
            <v>-0.30686886708296174</v>
          </cell>
          <cell r="BF1909">
            <v>8.7720000743865961E-3</v>
          </cell>
          <cell r="BG1909">
            <v>0.10730400085449218</v>
          </cell>
        </row>
        <row r="1910">
          <cell r="D1910" t="str">
            <v>白酒与葡萄酒</v>
          </cell>
          <cell r="M1910">
            <v>91.957591411200013</v>
          </cell>
          <cell r="N1910">
            <v>51.072981289767228</v>
          </cell>
          <cell r="O1910" t="str">
            <v>日常消费</v>
          </cell>
          <cell r="P1910" t="str">
            <v>食品、饮料与烟草</v>
          </cell>
          <cell r="Q1910" t="str">
            <v>饮料</v>
          </cell>
          <cell r="BC1910">
            <v>7.036508260248818E-2</v>
          </cell>
          <cell r="BD1910">
            <v>7.9169237096442399E-2</v>
          </cell>
          <cell r="BE1910">
            <v>-4.0540541490546346E-2</v>
          </cell>
          <cell r="BF1910">
            <v>0.61898399353027345</v>
          </cell>
          <cell r="BG1910">
            <v>0.22215599060058594</v>
          </cell>
        </row>
        <row r="1911">
          <cell r="D1911" t="str">
            <v>贸易公司与工业品经销商</v>
          </cell>
          <cell r="M1911">
            <v>190.06280925120001</v>
          </cell>
          <cell r="N1911">
            <v>105.52033457149948</v>
          </cell>
          <cell r="O1911" t="str">
            <v>工业</v>
          </cell>
          <cell r="P1911" t="str">
            <v>资本货物</v>
          </cell>
          <cell r="Q1911" t="str">
            <v>贸易公司与工业品经销商Ⅲ</v>
          </cell>
          <cell r="BC1911">
            <v>-1.1560693641618251E-3</v>
          </cell>
          <cell r="BD1911">
            <v>-7.196562835660579E-2</v>
          </cell>
          <cell r="BE1911">
            <v>-0.34009242019116431</v>
          </cell>
          <cell r="BF1911">
            <v>0.19031999588012696</v>
          </cell>
          <cell r="BG1911">
            <v>0.19651199340820313</v>
          </cell>
        </row>
        <row r="1912">
          <cell r="D1912" t="str">
            <v>金属非金属</v>
          </cell>
          <cell r="M1912">
            <v>53.136531911699997</v>
          </cell>
          <cell r="N1912">
            <v>29.494135558811461</v>
          </cell>
          <cell r="O1912" t="str">
            <v>材料</v>
          </cell>
          <cell r="P1912" t="str">
            <v>材料Ⅱ</v>
          </cell>
          <cell r="Q1912" t="str">
            <v>金属、非金属与采矿</v>
          </cell>
          <cell r="BC1912">
            <v>-3.3388981636060869E-3</v>
          </cell>
          <cell r="BD1912">
            <v>-5.0000000000000417E-3</v>
          </cell>
          <cell r="BE1912">
            <v>-0.30730608962914135</v>
          </cell>
          <cell r="BF1912">
            <v>7.119599819183349E-2</v>
          </cell>
          <cell r="BG1912">
            <v>5.4888000488281248E-2</v>
          </cell>
        </row>
        <row r="1913">
          <cell r="D1913" t="str">
            <v>重型电气设备</v>
          </cell>
          <cell r="M1913">
            <v>1175.9888370916001</v>
          </cell>
          <cell r="N1913">
            <v>652.67804225275427</v>
          </cell>
          <cell r="O1913" t="str">
            <v>工业</v>
          </cell>
          <cell r="P1913" t="str">
            <v>资本货物</v>
          </cell>
          <cell r="Q1913" t="str">
            <v>电气设备</v>
          </cell>
          <cell r="BC1913">
            <v>2.2296544035674389E-2</v>
          </cell>
          <cell r="BD1913">
            <v>3.382187147688847E-2</v>
          </cell>
          <cell r="BE1913">
            <v>-0.1457180154033384</v>
          </cell>
          <cell r="BF1913">
            <v>0.65863197326660161</v>
          </cell>
          <cell r="BG1913">
            <v>0.11961600303649902</v>
          </cell>
        </row>
        <row r="1914">
          <cell r="D1914" t="str">
            <v>水务</v>
          </cell>
          <cell r="M1914">
            <v>65.482663520000003</v>
          </cell>
          <cell r="N1914">
            <v>36.33846518150559</v>
          </cell>
          <cell r="O1914" t="str">
            <v>公用事业</v>
          </cell>
          <cell r="P1914" t="str">
            <v>公用事业Ⅱ</v>
          </cell>
          <cell r="Q1914" t="str">
            <v>水务Ⅲ</v>
          </cell>
          <cell r="BC1914">
            <v>1.4680483592400685E-2</v>
          </cell>
          <cell r="BD1914">
            <v>-3.6885245901639288E-2</v>
          </cell>
          <cell r="BE1914">
            <v>0.19753383126803603</v>
          </cell>
          <cell r="BF1914">
            <v>0</v>
          </cell>
          <cell r="BG1914">
            <v>0</v>
          </cell>
        </row>
        <row r="1915">
          <cell r="D1915" t="str">
            <v>食品加工与肉类</v>
          </cell>
          <cell r="M1915">
            <v>54.568137254400007</v>
          </cell>
          <cell r="N1915">
            <v>30.277685342905471</v>
          </cell>
          <cell r="O1915" t="str">
            <v>日常消费</v>
          </cell>
          <cell r="P1915" t="str">
            <v>食品、饮料与烟草</v>
          </cell>
          <cell r="Q1915" t="str">
            <v>食品</v>
          </cell>
          <cell r="BC1915">
            <v>3.8942976356049978E-2</v>
          </cell>
          <cell r="BD1915">
            <v>-5.0825921219822157E-2</v>
          </cell>
          <cell r="BE1915">
            <v>-2.058274668955478E-2</v>
          </cell>
          <cell r="BF1915">
            <v>0.25302000045776368</v>
          </cell>
          <cell r="BG1915">
            <v>-2.8224000930786131E-2</v>
          </cell>
        </row>
        <row r="1916">
          <cell r="D1916" t="str">
            <v>电子元件</v>
          </cell>
          <cell r="M1916">
            <v>122.49799999999999</v>
          </cell>
          <cell r="N1916">
            <v>67.969228689331018</v>
          </cell>
          <cell r="O1916" t="str">
            <v>信息技术</v>
          </cell>
          <cell r="P1916" t="str">
            <v>技术硬件与设备</v>
          </cell>
          <cell r="Q1916" t="str">
            <v>电子设备、仪器和元件</v>
          </cell>
          <cell r="BC1916">
            <v>5.9907834101382521E-2</v>
          </cell>
          <cell r="BD1916">
            <v>5.3113553113553119E-2</v>
          </cell>
          <cell r="BE1916">
            <v>-0.38506943712654651</v>
          </cell>
          <cell r="BF1916">
            <v>-0.11697600364685058</v>
          </cell>
          <cell r="BG1916">
            <v>2.8896000385284424E-2</v>
          </cell>
        </row>
        <row r="1917">
          <cell r="D1917" t="str">
            <v>贸易公司与工业品经销商</v>
          </cell>
          <cell r="M1917">
            <v>37.334669513999998</v>
          </cell>
          <cell r="N1917">
            <v>20.71472060854444</v>
          </cell>
          <cell r="O1917" t="str">
            <v>工业</v>
          </cell>
          <cell r="P1917" t="str">
            <v>资本货物</v>
          </cell>
          <cell r="Q1917" t="str">
            <v>贸易公司与工业品经销商Ⅲ</v>
          </cell>
          <cell r="BC1917">
            <v>-3.4897713598074719E-2</v>
          </cell>
          <cell r="BD1917">
            <v>-2.4875621890546734E-3</v>
          </cell>
          <cell r="BE1917">
            <v>-3.7267080745343024E-3</v>
          </cell>
          <cell r="BF1917">
            <v>0.40725601196289063</v>
          </cell>
          <cell r="BG1917">
            <v>0.14012399673461914</v>
          </cell>
        </row>
        <row r="1918">
          <cell r="D1918" t="str">
            <v>公路与铁路</v>
          </cell>
          <cell r="M1918">
            <v>54.5</v>
          </cell>
          <cell r="N1918">
            <v>30.233095186150848</v>
          </cell>
          <cell r="O1918" t="str">
            <v>工业</v>
          </cell>
          <cell r="P1918" t="str">
            <v>运输</v>
          </cell>
          <cell r="Q1918" t="str">
            <v>交通基础设施</v>
          </cell>
          <cell r="BC1918">
            <v>5.485232067510544E-2</v>
          </cell>
          <cell r="BD1918">
            <v>8.4598698481561749E-2</v>
          </cell>
          <cell r="BE1918">
            <v>-0.21348881156871422</v>
          </cell>
          <cell r="BF1918">
            <v>5.6700000762939455E-2</v>
          </cell>
          <cell r="BG1918">
            <v>7.963200092315674E-2</v>
          </cell>
        </row>
        <row r="1919">
          <cell r="D1919" t="str">
            <v>机动车零配件与设备</v>
          </cell>
          <cell r="M1919">
            <v>32.272000000000006</v>
          </cell>
          <cell r="N1919">
            <v>17.893146455074078</v>
          </cell>
          <cell r="O1919" t="str">
            <v>可选消费</v>
          </cell>
          <cell r="P1919" t="str">
            <v>汽车与汽车零部件</v>
          </cell>
          <cell r="Q1919" t="str">
            <v>汽车零配件</v>
          </cell>
          <cell r="BC1919">
            <v>3.1186094069529807E-2</v>
          </cell>
          <cell r="BD1919">
            <v>4.3455768235902921E-2</v>
          </cell>
          <cell r="BE1919">
            <v>-0.18456357428801459</v>
          </cell>
          <cell r="BF1919">
            <v>4.4699997901916505E-2</v>
          </cell>
          <cell r="BG1919">
            <v>0</v>
          </cell>
        </row>
        <row r="1920">
          <cell r="D1920" t="str">
            <v>信息科技咨询与其它服务</v>
          </cell>
          <cell r="M1920">
            <v>111.35651999999999</v>
          </cell>
          <cell r="N1920">
            <v>61.734805113239929</v>
          </cell>
          <cell r="O1920" t="str">
            <v>信息技术</v>
          </cell>
          <cell r="P1920" t="str">
            <v>软件与服务</v>
          </cell>
          <cell r="Q1920" t="str">
            <v>信息技术服务</v>
          </cell>
          <cell r="BC1920">
            <v>0.2248421052631579</v>
          </cell>
          <cell r="BD1920">
            <v>0.17251108424022576</v>
          </cell>
          <cell r="BE1920">
            <v>0.45748580472308376</v>
          </cell>
          <cell r="BF1920">
            <v>0.63742801666259763</v>
          </cell>
          <cell r="BG1920">
            <v>0</v>
          </cell>
        </row>
        <row r="1921">
          <cell r="D1921" t="str">
            <v>住宅建筑</v>
          </cell>
          <cell r="M1921">
            <v>40.298760000000001</v>
          </cell>
          <cell r="N1921">
            <v>22.340767702604165</v>
          </cell>
          <cell r="O1921" t="str">
            <v>可选消费</v>
          </cell>
          <cell r="P1921" t="str">
            <v>耐用消费品与服装</v>
          </cell>
          <cell r="Q1921" t="str">
            <v>家庭耐用消费品</v>
          </cell>
          <cell r="BC1921">
            <v>3.0363364858138349E-2</v>
          </cell>
          <cell r="BD1921">
            <v>-7.4653553866785946E-2</v>
          </cell>
          <cell r="BE1921">
            <v>0.35266117243631617</v>
          </cell>
          <cell r="BF1921">
            <v>0</v>
          </cell>
          <cell r="BG1921">
            <v>0</v>
          </cell>
        </row>
        <row r="1922">
          <cell r="D1922" t="str">
            <v>通信设备</v>
          </cell>
          <cell r="M1922">
            <v>66.705600000000004</v>
          </cell>
          <cell r="N1922">
            <v>36.973534265966663</v>
          </cell>
          <cell r="O1922" t="str">
            <v>信息技术</v>
          </cell>
          <cell r="P1922" t="str">
            <v>技术硬件与设备</v>
          </cell>
          <cell r="Q1922" t="str">
            <v>通信设备Ⅲ</v>
          </cell>
          <cell r="BC1922">
            <v>8.3402835696411897E-4</v>
          </cell>
          <cell r="BD1922">
            <v>-6.6225165562913968E-3</v>
          </cell>
          <cell r="BE1922">
            <v>-0.17496040602174356</v>
          </cell>
          <cell r="BF1922">
            <v>0.25669200897216798</v>
          </cell>
          <cell r="BG1922">
            <v>8.1239995956420896E-2</v>
          </cell>
        </row>
        <row r="1923">
          <cell r="D1923" t="str">
            <v>应用软件</v>
          </cell>
          <cell r="M1923">
            <v>86.561037374999998</v>
          </cell>
          <cell r="N1923">
            <v>47.973611268604571</v>
          </cell>
          <cell r="O1923" t="str">
            <v>信息技术</v>
          </cell>
          <cell r="P1923" t="str">
            <v>软件与服务</v>
          </cell>
          <cell r="Q1923" t="str">
            <v>软件</v>
          </cell>
          <cell r="BC1923">
            <v>8.339124391938792E-3</v>
          </cell>
          <cell r="BD1923">
            <v>-4.1611624834874551E-2</v>
          </cell>
          <cell r="BE1923">
            <v>-0.4292429041594828</v>
          </cell>
          <cell r="BF1923">
            <v>0.10298399925231934</v>
          </cell>
          <cell r="BG1923">
            <v>0.14233200073242189</v>
          </cell>
        </row>
        <row r="1924">
          <cell r="D1924" t="str">
            <v>通信设备</v>
          </cell>
          <cell r="M1924">
            <v>120.11519999999999</v>
          </cell>
          <cell r="N1924">
            <v>66.566347181068281</v>
          </cell>
          <cell r="O1924" t="str">
            <v>信息技术</v>
          </cell>
          <cell r="P1924" t="str">
            <v>技术硬件与设备</v>
          </cell>
          <cell r="Q1924" t="str">
            <v>通信设备Ⅲ</v>
          </cell>
          <cell r="BC1924">
            <v>7.6670317634171415E-3</v>
          </cell>
          <cell r="BD1924">
            <v>-9.2702169625246675E-2</v>
          </cell>
          <cell r="BE1924">
            <v>-0.37809369712278701</v>
          </cell>
          <cell r="BF1924">
            <v>0.74818801879882812</v>
          </cell>
          <cell r="BG1924">
            <v>0.22332000732421875</v>
          </cell>
        </row>
        <row r="1925">
          <cell r="D1925" t="str">
            <v>纺织品</v>
          </cell>
          <cell r="M1925">
            <v>30.283452270200002</v>
          </cell>
          <cell r="N1925">
            <v>16.78143066445741</v>
          </cell>
          <cell r="O1925" t="str">
            <v>可选消费</v>
          </cell>
          <cell r="P1925" t="str">
            <v>耐用消费品与服装</v>
          </cell>
          <cell r="Q1925" t="str">
            <v>纺织品、服装与奢侈品</v>
          </cell>
          <cell r="BC1925">
            <v>0.10966981132075468</v>
          </cell>
          <cell r="BD1925">
            <v>0.12829736211031179</v>
          </cell>
          <cell r="BE1925">
            <v>0.29258241758241754</v>
          </cell>
          <cell r="BF1925">
            <v>0.53551200866699222</v>
          </cell>
          <cell r="BG1925">
            <v>0.16664400100708007</v>
          </cell>
        </row>
        <row r="1926">
          <cell r="D1926" t="str">
            <v>技术产品经销商</v>
          </cell>
          <cell r="M1926">
            <v>42.363638391199999</v>
          </cell>
          <cell r="N1926">
            <v>23.471935208740412</v>
          </cell>
          <cell r="O1926" t="str">
            <v>信息技术</v>
          </cell>
          <cell r="P1926" t="str">
            <v>技术硬件与设备</v>
          </cell>
          <cell r="Q1926" t="str">
            <v>电子设备、仪器和元件</v>
          </cell>
          <cell r="BC1926">
            <v>0</v>
          </cell>
          <cell r="BD1926">
            <v>-0.12943962115232838</v>
          </cell>
          <cell r="BE1926">
            <v>0.64259121370067007</v>
          </cell>
          <cell r="BF1926">
            <v>0.68155197143554691</v>
          </cell>
          <cell r="BG1926">
            <v>0.30861600875854495</v>
          </cell>
        </row>
        <row r="1927">
          <cell r="D1927" t="str">
            <v>汽车零售</v>
          </cell>
          <cell r="M1927">
            <v>48.720672</v>
          </cell>
          <cell r="N1927">
            <v>26.992969593182938</v>
          </cell>
          <cell r="O1927" t="str">
            <v>可选消费</v>
          </cell>
          <cell r="P1927" t="str">
            <v>零售业</v>
          </cell>
          <cell r="Q1927" t="str">
            <v>专营零售</v>
          </cell>
          <cell r="BC1927">
            <v>-3.6496350364962726E-3</v>
          </cell>
          <cell r="BD1927">
            <v>0.15776081424936397</v>
          </cell>
          <cell r="BE1927">
            <v>0.54761886367192658</v>
          </cell>
          <cell r="BF1927">
            <v>0.53423999786376952</v>
          </cell>
          <cell r="BG1927">
            <v>0</v>
          </cell>
        </row>
        <row r="1928">
          <cell r="D1928" t="str">
            <v>金属非金属</v>
          </cell>
          <cell r="M1928">
            <v>373.92681689999995</v>
          </cell>
          <cell r="N1928">
            <v>207.13729164775367</v>
          </cell>
          <cell r="O1928" t="str">
            <v>材料</v>
          </cell>
          <cell r="P1928" t="str">
            <v>材料Ⅱ</v>
          </cell>
          <cell r="Q1928" t="str">
            <v>金属、非金属与采矿</v>
          </cell>
          <cell r="BC1928">
            <v>-3.2997498140509812E-2</v>
          </cell>
          <cell r="BD1928">
            <v>-3.4146341463415267E-3</v>
          </cell>
          <cell r="BE1928">
            <v>1.4488013698630136</v>
          </cell>
          <cell r="BF1928">
            <v>0.71191200256347653</v>
          </cell>
          <cell r="BG1928">
            <v>0.40127998352050781</v>
          </cell>
        </row>
        <row r="1929">
          <cell r="D1929" t="str">
            <v>房地产开发</v>
          </cell>
          <cell r="M1929">
            <v>86.655359976799986</v>
          </cell>
          <cell r="N1929">
            <v>48.001410590963815</v>
          </cell>
          <cell r="O1929" t="str">
            <v>金融</v>
          </cell>
          <cell r="P1929" t="str">
            <v>房地产</v>
          </cell>
          <cell r="Q1929" t="str">
            <v>房地产管理与开发</v>
          </cell>
          <cell r="BC1929">
            <v>5.3623188405796988E-2</v>
          </cell>
          <cell r="BD1929">
            <v>-0.11718275652701882</v>
          </cell>
          <cell r="BE1929">
            <v>0.34690692832356013</v>
          </cell>
          <cell r="BF1929">
            <v>0.54135601043701176</v>
          </cell>
          <cell r="BG1929">
            <v>0.25502399444580076</v>
          </cell>
        </row>
        <row r="1930">
          <cell r="D1930" t="str">
            <v>汽车零售</v>
          </cell>
          <cell r="M1930">
            <v>72.474783155500006</v>
          </cell>
          <cell r="N1930">
            <v>40.139243630068606</v>
          </cell>
          <cell r="O1930" t="str">
            <v>可选消费</v>
          </cell>
          <cell r="P1930" t="str">
            <v>零售业</v>
          </cell>
          <cell r="Q1930" t="str">
            <v>专营零售</v>
          </cell>
          <cell r="BC1930">
            <v>5.8673469387755209E-2</v>
          </cell>
          <cell r="BD1930">
            <v>1.9656019656019673E-2</v>
          </cell>
          <cell r="BE1930">
            <v>-0.17495029821073554</v>
          </cell>
          <cell r="BF1930">
            <v>0.32844001770019532</v>
          </cell>
          <cell r="BG1930">
            <v>9.9216003417968754E-2</v>
          </cell>
        </row>
        <row r="1931">
          <cell r="D1931" t="str">
            <v>工业机械</v>
          </cell>
          <cell r="M1931">
            <v>37.672999999999995</v>
          </cell>
          <cell r="N1931">
            <v>20.861949626263961</v>
          </cell>
          <cell r="O1931" t="str">
            <v>工业</v>
          </cell>
          <cell r="P1931" t="str">
            <v>资本货物</v>
          </cell>
          <cell r="Q1931" t="str">
            <v>机械</v>
          </cell>
          <cell r="BC1931">
            <v>1.3586956521739132E-2</v>
          </cell>
          <cell r="BD1931">
            <v>3.0956329463792079E-2</v>
          </cell>
          <cell r="BE1931">
            <v>-6.3480200501253109E-2</v>
          </cell>
          <cell r="BF1931">
            <v>0</v>
          </cell>
          <cell r="BG1931">
            <v>0</v>
          </cell>
        </row>
        <row r="1932">
          <cell r="D1932" t="str">
            <v>工业机械</v>
          </cell>
          <cell r="M1932">
            <v>84.878936834400008</v>
          </cell>
          <cell r="N1932">
            <v>46.992519942737452</v>
          </cell>
          <cell r="O1932" t="str">
            <v>工业</v>
          </cell>
          <cell r="P1932" t="str">
            <v>资本货物</v>
          </cell>
          <cell r="Q1932" t="str">
            <v>机械</v>
          </cell>
          <cell r="BC1932">
            <v>9.0592334494774066E-3</v>
          </cell>
          <cell r="BD1932">
            <v>-2.6881720430107548E-2</v>
          </cell>
          <cell r="BE1932">
            <v>0.54025290900252199</v>
          </cell>
          <cell r="BF1932">
            <v>1.0984200286865233</v>
          </cell>
          <cell r="BG1932">
            <v>0.41275199890136721</v>
          </cell>
        </row>
        <row r="1933">
          <cell r="D1933" t="str">
            <v>基础化工</v>
          </cell>
          <cell r="M1933">
            <v>50.298891922799996</v>
          </cell>
          <cell r="N1933">
            <v>27.847487321695304</v>
          </cell>
          <cell r="O1933" t="str">
            <v>材料</v>
          </cell>
          <cell r="P1933" t="str">
            <v>材料Ⅱ</v>
          </cell>
          <cell r="Q1933" t="str">
            <v>化工</v>
          </cell>
          <cell r="BC1933">
            <v>-1.5455950540957939E-3</v>
          </cell>
          <cell r="BD1933">
            <v>-2.857142857142863E-2</v>
          </cell>
          <cell r="BE1933">
            <v>-0.24267291910902691</v>
          </cell>
          <cell r="BF1933">
            <v>1.0440000295639039E-2</v>
          </cell>
          <cell r="BG1933">
            <v>-7.8372001647949219E-2</v>
          </cell>
        </row>
        <row r="1934">
          <cell r="D1934" t="str">
            <v>电气部件与设备</v>
          </cell>
          <cell r="M1934">
            <v>35.322238995399999</v>
          </cell>
          <cell r="N1934">
            <v>19.555259085082497</v>
          </cell>
          <cell r="O1934" t="str">
            <v>工业</v>
          </cell>
          <cell r="P1934" t="str">
            <v>资本货物</v>
          </cell>
          <cell r="Q1934" t="str">
            <v>电气设备</v>
          </cell>
          <cell r="BC1934">
            <v>5.8193979933110436E-2</v>
          </cell>
          <cell r="BD1934">
            <v>0.18768768768768768</v>
          </cell>
          <cell r="BE1934">
            <v>5.9454477707581227E-3</v>
          </cell>
          <cell r="BF1934">
            <v>0.35002799987792971</v>
          </cell>
          <cell r="BG1934">
            <v>0</v>
          </cell>
        </row>
        <row r="1935">
          <cell r="D1935" t="str">
            <v>基础化工</v>
          </cell>
          <cell r="M1935">
            <v>153.80119680800001</v>
          </cell>
          <cell r="N1935">
            <v>85.144162891705548</v>
          </cell>
          <cell r="O1935" t="str">
            <v>材料</v>
          </cell>
          <cell r="P1935" t="str">
            <v>材料Ⅱ</v>
          </cell>
          <cell r="Q1935" t="str">
            <v>化工</v>
          </cell>
          <cell r="BC1935">
            <v>1.7597551644988555E-2</v>
          </cell>
          <cell r="BD1935">
            <v>-0.11745189117451889</v>
          </cell>
          <cell r="BE1935">
            <v>0.14754098360655746</v>
          </cell>
          <cell r="BF1935">
            <v>0.38462398529052733</v>
          </cell>
          <cell r="BG1935">
            <v>0.1816080093383789</v>
          </cell>
        </row>
        <row r="1936">
          <cell r="D1936" t="str">
            <v>工业机械</v>
          </cell>
          <cell r="M1936">
            <v>35.977716075000004</v>
          </cell>
          <cell r="N1936">
            <v>19.914021440318287</v>
          </cell>
          <cell r="O1936" t="str">
            <v>工业</v>
          </cell>
          <cell r="P1936" t="str">
            <v>资本货物</v>
          </cell>
          <cell r="Q1936" t="str">
            <v>机械</v>
          </cell>
          <cell r="BC1936">
            <v>0.11162255466052942</v>
          </cell>
          <cell r="BD1936">
            <v>-1.6293279022403271E-2</v>
          </cell>
          <cell r="BE1936">
            <v>-0.17435897435897429</v>
          </cell>
          <cell r="BF1936">
            <v>0.29893199920654295</v>
          </cell>
          <cell r="BG1936">
            <v>-1.9608000516891478E-2</v>
          </cell>
        </row>
        <row r="1937">
          <cell r="D1937" t="str">
            <v>互联网软件与服务</v>
          </cell>
          <cell r="M1937">
            <v>68.392113199999997</v>
          </cell>
          <cell r="N1937">
            <v>37.853888301310235</v>
          </cell>
          <cell r="O1937" t="str">
            <v>信息技术</v>
          </cell>
          <cell r="P1937" t="str">
            <v>软件与服务</v>
          </cell>
          <cell r="Q1937" t="str">
            <v>互联网软件与服务Ⅲ</v>
          </cell>
          <cell r="BC1937">
            <v>-2.6022304832713731E-2</v>
          </cell>
          <cell r="BD1937">
            <v>0.23526638378123518</v>
          </cell>
          <cell r="BE1937">
            <v>-0.18278228321896453</v>
          </cell>
          <cell r="BF1937">
            <v>-8.3423995971679682E-2</v>
          </cell>
          <cell r="BG1937">
            <v>0.36760799407958983</v>
          </cell>
        </row>
        <row r="1938">
          <cell r="D1938" t="str">
            <v>机动车零配件与设备</v>
          </cell>
          <cell r="M1938">
            <v>174.09425000000002</v>
          </cell>
          <cell r="N1938">
            <v>96.339861478721886</v>
          </cell>
          <cell r="O1938" t="str">
            <v>可选消费</v>
          </cell>
          <cell r="P1938" t="str">
            <v>汽车与汽车零部件</v>
          </cell>
          <cell r="Q1938" t="str">
            <v>汽车零配件</v>
          </cell>
          <cell r="BC1938">
            <v>-2.2001205545509248E-2</v>
          </cell>
          <cell r="BD1938">
            <v>-4.7269524368760987E-2</v>
          </cell>
          <cell r="BE1938">
            <v>0.57135107785302031</v>
          </cell>
          <cell r="BF1938">
            <v>0.71116798400878911</v>
          </cell>
          <cell r="BG1938">
            <v>0.27098400115966798</v>
          </cell>
        </row>
        <row r="1939">
          <cell r="D1939" t="str">
            <v>电子设备和仪器</v>
          </cell>
          <cell r="M1939">
            <v>59.583999999999996</v>
          </cell>
          <cell r="N1939">
            <v>32.97102055766269</v>
          </cell>
          <cell r="O1939" t="str">
            <v>信息技术</v>
          </cell>
          <cell r="P1939" t="str">
            <v>技术硬件与设备</v>
          </cell>
          <cell r="Q1939" t="str">
            <v>电子设备、仪器和元件</v>
          </cell>
          <cell r="BC1939">
            <v>0.1161814843954891</v>
          </cell>
          <cell r="BD1939">
            <v>0.19887323943661978</v>
          </cell>
          <cell r="BE1939">
            <v>0</v>
          </cell>
          <cell r="BF1939">
            <v>0</v>
          </cell>
          <cell r="BG1939">
            <v>0</v>
          </cell>
        </row>
        <row r="1940">
          <cell r="D1940" t="str">
            <v>通信设备</v>
          </cell>
          <cell r="M1940">
            <v>91.382719999999992</v>
          </cell>
          <cell r="N1940">
            <v>50.560899711720978</v>
          </cell>
          <cell r="O1940" t="str">
            <v>信息技术</v>
          </cell>
          <cell r="P1940" t="str">
            <v>技术硬件与设备</v>
          </cell>
          <cell r="Q1940" t="str">
            <v>通信设备Ⅲ</v>
          </cell>
          <cell r="BC1940">
            <v>-5.9571462208617879E-2</v>
          </cell>
          <cell r="BD1940">
            <v>-8.8127853881278528E-2</v>
          </cell>
          <cell r="BE1940">
            <v>0.47727901178266713</v>
          </cell>
          <cell r="BF1940">
            <v>0.85213203430175777</v>
          </cell>
          <cell r="BG1940">
            <v>0</v>
          </cell>
        </row>
        <row r="1941">
          <cell r="D1941" t="str">
            <v>电气部件与设备</v>
          </cell>
          <cell r="M1941">
            <v>59.83156940500001</v>
          </cell>
          <cell r="N1941">
            <v>33.103844207291395</v>
          </cell>
          <cell r="O1941" t="str">
            <v>工业</v>
          </cell>
          <cell r="P1941" t="str">
            <v>资本货物</v>
          </cell>
          <cell r="Q1941" t="str">
            <v>电气设备</v>
          </cell>
          <cell r="BC1941">
            <v>3.0701754385964879E-2</v>
          </cell>
          <cell r="BD1941">
            <v>-1.8379281537176325E-2</v>
          </cell>
          <cell r="BE1941">
            <v>-0.48979591836734698</v>
          </cell>
          <cell r="BF1941">
            <v>0.2363640022277832</v>
          </cell>
          <cell r="BG1941">
            <v>0.1113479995727539</v>
          </cell>
        </row>
        <row r="1942">
          <cell r="D1942" t="str">
            <v>建筑产品</v>
          </cell>
          <cell r="M1942">
            <v>95.294957039500005</v>
          </cell>
          <cell r="N1942">
            <v>52.719015130173894</v>
          </cell>
          <cell r="O1942" t="str">
            <v>工业</v>
          </cell>
          <cell r="P1942" t="str">
            <v>资本货物</v>
          </cell>
          <cell r="Q1942" t="str">
            <v>建筑产品Ⅲ</v>
          </cell>
          <cell r="BC1942">
            <v>2.4410089503661574E-2</v>
          </cell>
          <cell r="BD1942">
            <v>8.6281276962899056E-2</v>
          </cell>
          <cell r="BE1942">
            <v>0.19321017059912182</v>
          </cell>
          <cell r="BF1942">
            <v>0.47626800537109376</v>
          </cell>
          <cell r="BG1942">
            <v>0.20153999328613281</v>
          </cell>
        </row>
        <row r="1943">
          <cell r="D1943" t="str">
            <v>电子元件</v>
          </cell>
          <cell r="M1943">
            <v>82.636800092799987</v>
          </cell>
          <cell r="N1943">
            <v>45.692063527545926</v>
          </cell>
          <cell r="O1943" t="str">
            <v>信息技术</v>
          </cell>
          <cell r="P1943" t="str">
            <v>技术硬件与设备</v>
          </cell>
          <cell r="Q1943" t="str">
            <v>电子设备、仪器和元件</v>
          </cell>
          <cell r="BC1943">
            <v>0</v>
          </cell>
          <cell r="BD1943">
            <v>0</v>
          </cell>
          <cell r="BE1943">
            <v>0.29443915320827768</v>
          </cell>
          <cell r="BF1943">
            <v>0.73870796203613276</v>
          </cell>
          <cell r="BG1943">
            <v>0.39555599212646486</v>
          </cell>
        </row>
        <row r="1944">
          <cell r="D1944" t="str">
            <v>工业机械</v>
          </cell>
          <cell r="M1944">
            <v>43.895400000000002</v>
          </cell>
          <cell r="N1944">
            <v>24.265198088644752</v>
          </cell>
          <cell r="O1944" t="str">
            <v>工业</v>
          </cell>
          <cell r="P1944" t="str">
            <v>资本货物</v>
          </cell>
          <cell r="Q1944" t="str">
            <v>机械</v>
          </cell>
          <cell r="BC1944">
            <v>2.8272251308900476E-2</v>
          </cell>
          <cell r="BD1944">
            <v>-5.2123552123552047E-2</v>
          </cell>
          <cell r="BE1944">
            <v>3.4618220682851218E-2</v>
          </cell>
          <cell r="BF1944">
            <v>0.35826000213623049</v>
          </cell>
          <cell r="BG1944">
            <v>0.1315559959411621</v>
          </cell>
        </row>
        <row r="1945">
          <cell r="D1945" t="str">
            <v>石油与天然气的炼制和销售</v>
          </cell>
          <cell r="M1945">
            <v>50.772150000000003</v>
          </cell>
          <cell r="N1945">
            <v>28.066411072919017</v>
          </cell>
          <cell r="O1945" t="str">
            <v>能源</v>
          </cell>
          <cell r="P1945" t="str">
            <v>能源Ⅱ</v>
          </cell>
          <cell r="Q1945" t="str">
            <v>石油、天然气与供消费用燃料</v>
          </cell>
          <cell r="BC1945">
            <v>3.8167938931298255E-3</v>
          </cell>
          <cell r="BD1945">
            <v>5.2000000000000025E-2</v>
          </cell>
          <cell r="BE1945">
            <v>-0.2500118182595204</v>
          </cell>
          <cell r="BF1945">
            <v>-2.9075999259948731E-2</v>
          </cell>
          <cell r="BG1945">
            <v>0.14680800437927247</v>
          </cell>
        </row>
        <row r="1946">
          <cell r="D1946" t="str">
            <v>电力</v>
          </cell>
          <cell r="M1946">
            <v>104.7778070808</v>
          </cell>
          <cell r="N1946">
            <v>57.90605203929357</v>
          </cell>
          <cell r="O1946" t="str">
            <v>公用事业</v>
          </cell>
          <cell r="P1946" t="str">
            <v>公用事业Ⅱ</v>
          </cell>
          <cell r="Q1946" t="str">
            <v>电力Ⅲ</v>
          </cell>
          <cell r="BC1946">
            <v>2.2222222222222077E-2</v>
          </cell>
          <cell r="BD1946">
            <v>-5.3173241852487223E-2</v>
          </cell>
          <cell r="BE1946">
            <v>4.743833017077799E-2</v>
          </cell>
          <cell r="BF1946">
            <v>0.67211997985839844</v>
          </cell>
          <cell r="BG1946">
            <v>0.25317600250244143</v>
          </cell>
        </row>
        <row r="1947">
          <cell r="D1947" t="str">
            <v>家庭用品</v>
          </cell>
          <cell r="M1947">
            <v>56.824092220600001</v>
          </cell>
          <cell r="N1947">
            <v>31.403072276478881</v>
          </cell>
          <cell r="O1947" t="str">
            <v>日常消费</v>
          </cell>
          <cell r="P1947" t="str">
            <v>家庭与个人用品</v>
          </cell>
          <cell r="Q1947" t="str">
            <v>家庭用品Ⅲ</v>
          </cell>
          <cell r="BC1947">
            <v>8.348794063079765E-3</v>
          </cell>
          <cell r="BD1947">
            <v>-9.6425602660016638E-2</v>
          </cell>
          <cell r="BE1947">
            <v>-0.16217123880925527</v>
          </cell>
          <cell r="BF1947">
            <v>0.13050000190734865</v>
          </cell>
          <cell r="BG1947">
            <v>0.16970399856567384</v>
          </cell>
        </row>
        <row r="1948">
          <cell r="D1948" t="str">
            <v>电力</v>
          </cell>
          <cell r="M1948">
            <v>33.383499999999998</v>
          </cell>
          <cell r="N1948">
            <v>18.445288763174982</v>
          </cell>
          <cell r="O1948" t="str">
            <v>公用事业</v>
          </cell>
          <cell r="P1948" t="str">
            <v>公用事业Ⅱ</v>
          </cell>
          <cell r="Q1948" t="str">
            <v>电力Ⅲ</v>
          </cell>
          <cell r="BC1948">
            <v>4.5560747663551261E-2</v>
          </cell>
          <cell r="BD1948">
            <v>8.3535108958837714E-2</v>
          </cell>
          <cell r="BE1948">
            <v>-0.1094527363184081</v>
          </cell>
          <cell r="BF1948">
            <v>0.25704000473022459</v>
          </cell>
          <cell r="BG1948">
            <v>1.8323999643325806E-2</v>
          </cell>
        </row>
        <row r="1949">
          <cell r="D1949" t="str">
            <v>建筑产品</v>
          </cell>
          <cell r="M1949">
            <v>32.037734399999998</v>
          </cell>
          <cell r="N1949">
            <v>17.699047449726695</v>
          </cell>
          <cell r="O1949" t="str">
            <v>工业</v>
          </cell>
          <cell r="P1949" t="str">
            <v>资本货物</v>
          </cell>
          <cell r="Q1949" t="str">
            <v>建筑产品Ⅲ</v>
          </cell>
          <cell r="BC1949">
            <v>0</v>
          </cell>
          <cell r="BD1949">
            <v>0</v>
          </cell>
          <cell r="BE1949">
            <v>0.41880341880341881</v>
          </cell>
          <cell r="BF1949">
            <v>0.53812801361083984</v>
          </cell>
          <cell r="BG1949">
            <v>0</v>
          </cell>
        </row>
        <row r="1950">
          <cell r="D1950" t="str">
            <v>水务</v>
          </cell>
          <cell r="M1950">
            <v>38.432739108600003</v>
          </cell>
          <cell r="N1950">
            <v>21.230366106704114</v>
          </cell>
          <cell r="O1950" t="str">
            <v>公用事业</v>
          </cell>
          <cell r="P1950" t="str">
            <v>公用事业Ⅱ</v>
          </cell>
          <cell r="Q1950" t="str">
            <v>水务Ⅲ</v>
          </cell>
          <cell r="BC1950">
            <v>4.3961864406779759E-2</v>
          </cell>
          <cell r="BD1950">
            <v>1.0157440325037873E-3</v>
          </cell>
          <cell r="BE1950">
            <v>0.16077738515901063</v>
          </cell>
          <cell r="BF1950">
            <v>0.17097600936889648</v>
          </cell>
          <cell r="BG1950">
            <v>0.19005599975585938</v>
          </cell>
        </row>
        <row r="1951">
          <cell r="D1951" t="str">
            <v>公路与铁路</v>
          </cell>
          <cell r="M1951">
            <v>74.434843999999998</v>
          </cell>
          <cell r="N1951">
            <v>41.116277766180559</v>
          </cell>
          <cell r="O1951" t="str">
            <v>工业</v>
          </cell>
          <cell r="P1951" t="str">
            <v>运输</v>
          </cell>
          <cell r="Q1951" t="str">
            <v>交通基础设施</v>
          </cell>
          <cell r="BC1951">
            <v>3.6662452591656021E-2</v>
          </cell>
          <cell r="BD1951">
            <v>-2.8436018957345998E-2</v>
          </cell>
          <cell r="BE1951">
            <v>0.13000674719702313</v>
          </cell>
          <cell r="BF1951">
            <v>0.54220798492431643</v>
          </cell>
          <cell r="BG1951">
            <v>0.19443599700927736</v>
          </cell>
        </row>
        <row r="1952">
          <cell r="D1952" t="str">
            <v>机动车零配件与设备</v>
          </cell>
          <cell r="M1952">
            <v>37.833379999999998</v>
          </cell>
          <cell r="N1952">
            <v>20.895929783883332</v>
          </cell>
          <cell r="O1952" t="str">
            <v>可选消费</v>
          </cell>
          <cell r="P1952" t="str">
            <v>汽车与汽车零部件</v>
          </cell>
          <cell r="Q1952" t="str">
            <v>汽车零配件</v>
          </cell>
          <cell r="BC1952">
            <v>0.10076206604572392</v>
          </cell>
          <cell r="BD1952">
            <v>6.4701064701064626E-2</v>
          </cell>
          <cell r="BE1952">
            <v>-1.3096004849118688E-2</v>
          </cell>
          <cell r="BF1952">
            <v>0.44323200225830078</v>
          </cell>
          <cell r="BG1952">
            <v>8.9868001937866204E-2</v>
          </cell>
        </row>
        <row r="1953">
          <cell r="D1953" t="str">
            <v>应用软件</v>
          </cell>
          <cell r="M1953">
            <v>80.029924000000008</v>
          </cell>
          <cell r="N1953">
            <v>44.195861112287176</v>
          </cell>
          <cell r="O1953" t="str">
            <v>信息技术</v>
          </cell>
          <cell r="P1953" t="str">
            <v>软件与服务</v>
          </cell>
          <cell r="Q1953" t="str">
            <v>软件</v>
          </cell>
          <cell r="BC1953">
            <v>6.6186490169359666E-2</v>
          </cell>
          <cell r="BD1953">
            <v>7.2449579009203111E-2</v>
          </cell>
          <cell r="BE1953">
            <v>0.15194319118274302</v>
          </cell>
          <cell r="BF1953">
            <v>1.4074800109863281</v>
          </cell>
          <cell r="BG1953">
            <v>0</v>
          </cell>
        </row>
        <row r="1954">
          <cell r="D1954" t="str">
            <v>工业机械</v>
          </cell>
          <cell r="M1954">
            <v>45.401779764600001</v>
          </cell>
          <cell r="N1954">
            <v>25.071322264132114</v>
          </cell>
          <cell r="O1954" t="str">
            <v>工业</v>
          </cell>
          <cell r="P1954" t="str">
            <v>资本货物</v>
          </cell>
          <cell r="Q1954" t="str">
            <v>机械</v>
          </cell>
          <cell r="BC1954">
            <v>3.0249110320284683E-2</v>
          </cell>
          <cell r="BD1954">
            <v>-3.9800995024875656E-2</v>
          </cell>
          <cell r="BE1954">
            <v>-0.1167048054919908</v>
          </cell>
          <cell r="BF1954">
            <v>0.41529598236083987</v>
          </cell>
          <cell r="BG1954">
            <v>0.16302000045776366</v>
          </cell>
        </row>
        <row r="1955">
          <cell r="D1955" t="str">
            <v>工业机械</v>
          </cell>
          <cell r="M1955">
            <v>66.908519999999996</v>
          </cell>
          <cell r="N1955">
            <v>36.933191059462956</v>
          </cell>
          <cell r="O1955" t="str">
            <v>工业</v>
          </cell>
          <cell r="P1955" t="str">
            <v>资本货物</v>
          </cell>
          <cell r="Q1955" t="str">
            <v>机械</v>
          </cell>
          <cell r="BC1955">
            <v>0</v>
          </cell>
          <cell r="BD1955">
            <v>0</v>
          </cell>
          <cell r="BE1955">
            <v>0.67999999999999994</v>
          </cell>
          <cell r="BF1955">
            <v>0.49437599182128905</v>
          </cell>
          <cell r="BG1955">
            <v>5.2416000366210941E-2</v>
          </cell>
        </row>
        <row r="1956">
          <cell r="D1956" t="str">
            <v>食品加工与肉类</v>
          </cell>
          <cell r="M1956">
            <v>104.93192791679999</v>
          </cell>
          <cell r="N1956">
            <v>57.916970715301787</v>
          </cell>
          <cell r="O1956" t="str">
            <v>日常消费</v>
          </cell>
          <cell r="P1956" t="str">
            <v>食品、饮料与烟草</v>
          </cell>
          <cell r="Q1956" t="str">
            <v>食品</v>
          </cell>
          <cell r="BC1956">
            <v>0.15958549222797919</v>
          </cell>
          <cell r="BD1956">
            <v>0.11788211788211786</v>
          </cell>
          <cell r="BE1956">
            <v>-0.13473665522125883</v>
          </cell>
          <cell r="BF1956">
            <v>0.18318000793457032</v>
          </cell>
          <cell r="BG1956">
            <v>0.14475600242614747</v>
          </cell>
        </row>
        <row r="1957">
          <cell r="D1957" t="str">
            <v>电气部件与设备</v>
          </cell>
          <cell r="M1957">
            <v>90.389908719200008</v>
          </cell>
          <cell r="N1957">
            <v>49.885059626894808</v>
          </cell>
          <cell r="O1957" t="str">
            <v>工业</v>
          </cell>
          <cell r="P1957" t="str">
            <v>资本货物</v>
          </cell>
          <cell r="Q1957" t="str">
            <v>电气设备</v>
          </cell>
          <cell r="BC1957">
            <v>1.3043478260869674E-2</v>
          </cell>
          <cell r="BD1957">
            <v>-9.5642933049946716E-3</v>
          </cell>
          <cell r="BE1957">
            <v>0.56576978480110041</v>
          </cell>
          <cell r="BF1957">
            <v>0.73222801208496091</v>
          </cell>
          <cell r="BG1957">
            <v>0.31062000274658202</v>
          </cell>
        </row>
        <row r="1958">
          <cell r="D1958" t="str">
            <v>工业机械</v>
          </cell>
          <cell r="M1958">
            <v>69.120585599999998</v>
          </cell>
          <cell r="N1958">
            <v>38.138395359979171</v>
          </cell>
          <cell r="O1958" t="str">
            <v>工业</v>
          </cell>
          <cell r="P1958" t="str">
            <v>资本货物</v>
          </cell>
          <cell r="Q1958" t="str">
            <v>机械</v>
          </cell>
          <cell r="BC1958">
            <v>3.6159600997506348E-2</v>
          </cell>
          <cell r="BD1958">
            <v>2.0884520884520873E-2</v>
          </cell>
          <cell r="BE1958">
            <v>-0.21600087217757716</v>
          </cell>
          <cell r="BF1958">
            <v>0.1645800018310547</v>
          </cell>
          <cell r="BG1958">
            <v>-3.2495999336242677E-2</v>
          </cell>
        </row>
        <row r="1959">
          <cell r="D1959" t="str">
            <v>复合型公用事业</v>
          </cell>
          <cell r="M1959">
            <v>69.881771268400001</v>
          </cell>
          <cell r="N1959">
            <v>38.557943629802395</v>
          </cell>
          <cell r="O1959" t="str">
            <v>公用事业</v>
          </cell>
          <cell r="P1959" t="str">
            <v>公用事业Ⅱ</v>
          </cell>
          <cell r="Q1959" t="str">
            <v>复合型公用事业Ⅲ</v>
          </cell>
          <cell r="BC1959">
            <v>7.8414839797639108E-2</v>
          </cell>
          <cell r="BD1959">
            <v>1.9936204146730464E-2</v>
          </cell>
          <cell r="BE1959">
            <v>-0.16230146660054659</v>
          </cell>
          <cell r="BF1959">
            <v>0.19929599761962891</v>
          </cell>
          <cell r="BG1959">
            <v>0.19468799591064453</v>
          </cell>
        </row>
        <row r="1960">
          <cell r="D1960" t="str">
            <v>新能源发电业者</v>
          </cell>
          <cell r="M1960">
            <v>41.388675225500002</v>
          </cell>
          <cell r="N1960">
            <v>22.836117688399614</v>
          </cell>
          <cell r="O1960" t="str">
            <v>公用事业</v>
          </cell>
          <cell r="P1960" t="str">
            <v>公用事业Ⅱ</v>
          </cell>
          <cell r="Q1960" t="str">
            <v>独立电力生产商与能源贸易商Ⅲ</v>
          </cell>
          <cell r="BC1960">
            <v>0.10796221322537121</v>
          </cell>
          <cell r="BD1960">
            <v>8.7417218543046502E-2</v>
          </cell>
          <cell r="BE1960">
            <v>4.5294226422239001E-2</v>
          </cell>
          <cell r="BF1960">
            <v>0.38945999145507815</v>
          </cell>
          <cell r="BG1960">
            <v>4.3319997787475584E-2</v>
          </cell>
        </row>
        <row r="1961">
          <cell r="D1961" t="str">
            <v>综合类行业</v>
          </cell>
          <cell r="M1961">
            <v>58.2311428394</v>
          </cell>
          <cell r="N1961">
            <v>32.124086786433338</v>
          </cell>
          <cell r="O1961" t="str">
            <v>工业</v>
          </cell>
          <cell r="P1961" t="str">
            <v>资本货物</v>
          </cell>
          <cell r="Q1961" t="str">
            <v>综合类Ⅲ</v>
          </cell>
          <cell r="BC1961">
            <v>0.15532994923857879</v>
          </cell>
          <cell r="BD1961">
            <v>0.16122448979591836</v>
          </cell>
          <cell r="BE1961">
            <v>0.32943925233644861</v>
          </cell>
          <cell r="BF1961">
            <v>0.8846279907226563</v>
          </cell>
          <cell r="BG1961">
            <v>0.33029998779296876</v>
          </cell>
        </row>
        <row r="1962">
          <cell r="D1962" t="str">
            <v>化纤</v>
          </cell>
          <cell r="M1962">
            <v>47.312067599999999</v>
          </cell>
          <cell r="N1962">
            <v>26.097717798997241</v>
          </cell>
          <cell r="O1962" t="str">
            <v>材料</v>
          </cell>
          <cell r="P1962" t="str">
            <v>材料Ⅱ</v>
          </cell>
          <cell r="Q1962" t="str">
            <v>化工</v>
          </cell>
          <cell r="BC1962">
            <v>5.1251489868891498E-2</v>
          </cell>
          <cell r="BD1962">
            <v>0.12356687898089172</v>
          </cell>
          <cell r="BE1962">
            <v>0.57526277164148087</v>
          </cell>
          <cell r="BF1962">
            <v>0.78885597229003901</v>
          </cell>
          <cell r="BG1962">
            <v>0.27619199752807616</v>
          </cell>
        </row>
        <row r="1963">
          <cell r="D1963" t="str">
            <v>信息科技咨询与其它服务</v>
          </cell>
          <cell r="M1963">
            <v>133.3704458416</v>
          </cell>
          <cell r="N1963">
            <v>73.562301407237598</v>
          </cell>
          <cell r="O1963" t="str">
            <v>信息技术</v>
          </cell>
          <cell r="P1963" t="str">
            <v>软件与服务</v>
          </cell>
          <cell r="Q1963" t="str">
            <v>信息技术服务</v>
          </cell>
          <cell r="BC1963">
            <v>5.4466230936819175E-2</v>
          </cell>
          <cell r="BD1963">
            <v>-1.2244897959183773E-2</v>
          </cell>
          <cell r="BE1963">
            <v>3.3812670804885141E-2</v>
          </cell>
          <cell r="BF1963">
            <v>0.36328800201416017</v>
          </cell>
          <cell r="BG1963">
            <v>0.21802799224853517</v>
          </cell>
        </row>
        <row r="1964">
          <cell r="D1964" t="str">
            <v>航天航空与国防</v>
          </cell>
          <cell r="M1964">
            <v>94.365418211999994</v>
          </cell>
          <cell r="N1964">
            <v>52.04788297957716</v>
          </cell>
          <cell r="O1964" t="str">
            <v>工业</v>
          </cell>
          <cell r="P1964" t="str">
            <v>资本货物</v>
          </cell>
          <cell r="Q1964" t="str">
            <v>航空航天与国防Ⅲ</v>
          </cell>
          <cell r="BC1964">
            <v>0.10007968127490041</v>
          </cell>
          <cell r="BD1964">
            <v>0.10007968127490041</v>
          </cell>
          <cell r="BE1964">
            <v>-1.8856429512337753E-2</v>
          </cell>
          <cell r="BF1964">
            <v>0.65430000305175784</v>
          </cell>
          <cell r="BG1964">
            <v>0.31376399993896487</v>
          </cell>
        </row>
        <row r="1965">
          <cell r="D1965" t="str">
            <v>建筑机械与重型卡车</v>
          </cell>
          <cell r="M1965">
            <v>94.917941974200033</v>
          </cell>
          <cell r="N1965">
            <v>52.350062505068209</v>
          </cell>
          <cell r="O1965" t="str">
            <v>工业</v>
          </cell>
          <cell r="P1965" t="str">
            <v>资本货物</v>
          </cell>
          <cell r="Q1965" t="str">
            <v>机械</v>
          </cell>
          <cell r="BC1965">
            <v>-3.3236994219653114E-2</v>
          </cell>
          <cell r="BD1965">
            <v>-1.9061583577712593E-2</v>
          </cell>
          <cell r="BE1965">
            <v>-0.3305757395869573</v>
          </cell>
          <cell r="BF1965">
            <v>0.36308399200439451</v>
          </cell>
          <cell r="BG1965">
            <v>9.1644001007080075E-2</v>
          </cell>
        </row>
        <row r="1966">
          <cell r="D1966" t="str">
            <v>工业机械</v>
          </cell>
          <cell r="M1966">
            <v>38.726099999999995</v>
          </cell>
          <cell r="N1966">
            <v>21.357953875134175</v>
          </cell>
          <cell r="O1966" t="str">
            <v>工业</v>
          </cell>
          <cell r="P1966" t="str">
            <v>资本货物</v>
          </cell>
          <cell r="Q1966" t="str">
            <v>机械</v>
          </cell>
          <cell r="BC1966">
            <v>-4.0730337078651736E-2</v>
          </cell>
          <cell r="BD1966">
            <v>6.3862928348909484E-2</v>
          </cell>
          <cell r="BE1966">
            <v>-7.5419101080258219E-2</v>
          </cell>
          <cell r="BF1966">
            <v>0.26850000381469724</v>
          </cell>
          <cell r="BG1966">
            <v>0.18349199295043944</v>
          </cell>
        </row>
        <row r="1967">
          <cell r="D1967" t="str">
            <v>工业机械</v>
          </cell>
          <cell r="M1967">
            <v>43.182589008199997</v>
          </cell>
          <cell r="N1967">
            <v>23.815004034815644</v>
          </cell>
          <cell r="O1967" t="str">
            <v>工业</v>
          </cell>
          <cell r="P1967" t="str">
            <v>资本货物</v>
          </cell>
          <cell r="Q1967" t="str">
            <v>机械</v>
          </cell>
          <cell r="BC1967">
            <v>0.12727272727272715</v>
          </cell>
          <cell r="BD1967">
            <v>0.12529274004683846</v>
          </cell>
          <cell r="BE1967">
            <v>0.27759751010448308</v>
          </cell>
          <cell r="BF1967">
            <v>0.61905601501464846</v>
          </cell>
          <cell r="BG1967">
            <v>0.15002400398254395</v>
          </cell>
        </row>
        <row r="1968">
          <cell r="D1968" t="str">
            <v>房地产开发</v>
          </cell>
          <cell r="M1968">
            <v>77.718599885000003</v>
          </cell>
          <cell r="N1968">
            <v>42.850034593862539</v>
          </cell>
          <cell r="O1968" t="str">
            <v>金融</v>
          </cell>
          <cell r="P1968" t="str">
            <v>房地产</v>
          </cell>
          <cell r="Q1968" t="str">
            <v>房地产管理与开发</v>
          </cell>
          <cell r="BC1968">
            <v>3.0483764082173681E-2</v>
          </cell>
          <cell r="BD1968">
            <v>-2.5689223057644119E-2</v>
          </cell>
          <cell r="BE1968">
            <v>-7.1553455646854183E-2</v>
          </cell>
          <cell r="BF1968">
            <v>0.76790397644042974</v>
          </cell>
          <cell r="BG1968">
            <v>0.36070800781250001</v>
          </cell>
        </row>
        <row r="1969">
          <cell r="D1969" t="str">
            <v>电脑硬件</v>
          </cell>
          <cell r="M1969">
            <v>184.2442689312</v>
          </cell>
          <cell r="N1969">
            <v>101.5791090756972</v>
          </cell>
          <cell r="O1969" t="str">
            <v>信息技术</v>
          </cell>
          <cell r="P1969" t="str">
            <v>技术硬件与设备</v>
          </cell>
          <cell r="Q1969" t="str">
            <v>电脑与外围设备</v>
          </cell>
          <cell r="BC1969">
            <v>2.730627306273057E-2</v>
          </cell>
          <cell r="BD1969">
            <v>-0.35376044568245124</v>
          </cell>
          <cell r="BE1969">
            <v>-0.19069767441860463</v>
          </cell>
          <cell r="BF1969">
            <v>1.0898159790039061</v>
          </cell>
          <cell r="BG1969">
            <v>0.33829200744628907</v>
          </cell>
        </row>
        <row r="1970">
          <cell r="D1970" t="str">
            <v>信息科技咨询与其它服务</v>
          </cell>
          <cell r="M1970">
            <v>76.610110250400012</v>
          </cell>
          <cell r="N1970">
            <v>42.228738604284956</v>
          </cell>
          <cell r="O1970" t="str">
            <v>信息技术</v>
          </cell>
          <cell r="P1970" t="str">
            <v>软件与服务</v>
          </cell>
          <cell r="Q1970" t="str">
            <v>信息技术服务</v>
          </cell>
          <cell r="BC1970">
            <v>5.4308093994778213E-2</v>
          </cell>
          <cell r="BD1970">
            <v>6.8678046843985874E-2</v>
          </cell>
          <cell r="BE1970">
            <v>4.293151380645166E-2</v>
          </cell>
          <cell r="BF1970">
            <v>0</v>
          </cell>
          <cell r="BG1970">
            <v>0</v>
          </cell>
        </row>
        <row r="1971">
          <cell r="D1971" t="str">
            <v>基础化工</v>
          </cell>
          <cell r="M1971">
            <v>101.85941543800001</v>
          </cell>
          <cell r="N1971">
            <v>56.144535083841532</v>
          </cell>
          <cell r="O1971" t="str">
            <v>材料</v>
          </cell>
          <cell r="P1971" t="str">
            <v>材料Ⅱ</v>
          </cell>
          <cell r="Q1971" t="str">
            <v>化工</v>
          </cell>
          <cell r="BC1971">
            <v>5.948197318755704E-2</v>
          </cell>
          <cell r="BD1971">
            <v>0.11354309165526692</v>
          </cell>
          <cell r="BE1971">
            <v>0.48645953777744094</v>
          </cell>
          <cell r="BF1971">
            <v>0.72229202270507809</v>
          </cell>
          <cell r="BG1971">
            <v>0</v>
          </cell>
        </row>
        <row r="1972">
          <cell r="D1972" t="str">
            <v>白酒与葡萄酒</v>
          </cell>
          <cell r="M1972">
            <v>44.295267659400004</v>
          </cell>
          <cell r="N1972">
            <v>24.41076289079497</v>
          </cell>
          <cell r="O1972" t="str">
            <v>日常消费</v>
          </cell>
          <cell r="P1972" t="str">
            <v>食品、饮料与烟草</v>
          </cell>
          <cell r="Q1972" t="str">
            <v>饮料</v>
          </cell>
          <cell r="BC1972">
            <v>2.5740025740025763E-2</v>
          </cell>
          <cell r="BD1972">
            <v>1.6581632653061212E-2</v>
          </cell>
          <cell r="BE1972">
            <v>-0.33039091011430372</v>
          </cell>
          <cell r="BF1972">
            <v>2.6112000942230224E-2</v>
          </cell>
          <cell r="BG1972">
            <v>-9.9912004470825197E-2</v>
          </cell>
        </row>
        <row r="1973">
          <cell r="D1973" t="str">
            <v>基础化工</v>
          </cell>
          <cell r="M1973">
            <v>69.2078968</v>
          </cell>
          <cell r="N1973">
            <v>38.136564975962969</v>
          </cell>
          <cell r="O1973" t="str">
            <v>材料</v>
          </cell>
          <cell r="P1973" t="str">
            <v>材料Ⅱ</v>
          </cell>
          <cell r="Q1973" t="str">
            <v>化工</v>
          </cell>
          <cell r="BC1973">
            <v>-1.3756613756613653E-2</v>
          </cell>
          <cell r="BD1973">
            <v>-4.2735042735041829E-3</v>
          </cell>
          <cell r="BE1973">
            <v>9.6034974418446342E-2</v>
          </cell>
          <cell r="BF1973">
            <v>0.52942798614501951</v>
          </cell>
          <cell r="BG1973">
            <v>0.18724800109863282</v>
          </cell>
        </row>
        <row r="1974">
          <cell r="D1974" t="str">
            <v>机动车零配件与设备</v>
          </cell>
          <cell r="M1974">
            <v>57.7266941504</v>
          </cell>
          <cell r="N1974">
            <v>31.807551051239361</v>
          </cell>
          <cell r="O1974" t="str">
            <v>可选消费</v>
          </cell>
          <cell r="P1974" t="str">
            <v>汽车与汽车零部件</v>
          </cell>
          <cell r="Q1974" t="str">
            <v>汽车零配件</v>
          </cell>
          <cell r="BC1974">
            <v>0.17333333333333339</v>
          </cell>
          <cell r="BD1974">
            <v>0.11641791044776123</v>
          </cell>
          <cell r="BE1974">
            <v>-0.48484900304314393</v>
          </cell>
          <cell r="BF1974">
            <v>0.57116401672363282</v>
          </cell>
          <cell r="BG1974">
            <v>0.22968000411987305</v>
          </cell>
        </row>
        <row r="1975">
          <cell r="D1975" t="str">
            <v>石油天然气设备与服务</v>
          </cell>
          <cell r="M1975">
            <v>58.216250479800003</v>
          </cell>
          <cell r="N1975">
            <v>32.073662856177734</v>
          </cell>
          <cell r="O1975" t="str">
            <v>能源</v>
          </cell>
          <cell r="P1975" t="str">
            <v>能源Ⅱ</v>
          </cell>
          <cell r="Q1975" t="str">
            <v>能源设备与服务</v>
          </cell>
          <cell r="BC1975">
            <v>6.1983471074380679E-3</v>
          </cell>
          <cell r="BD1975">
            <v>3.7273695420660238E-2</v>
          </cell>
          <cell r="BE1975">
            <v>-0.36547231270358305</v>
          </cell>
          <cell r="BF1975">
            <v>-0.17041200637817383</v>
          </cell>
          <cell r="BG1975">
            <v>0.10906800270080566</v>
          </cell>
        </row>
        <row r="1976">
          <cell r="D1976" t="str">
            <v>基础化工</v>
          </cell>
          <cell r="M1976">
            <v>173.23007762940003</v>
          </cell>
          <cell r="N1976">
            <v>95.436717556864963</v>
          </cell>
          <cell r="O1976" t="str">
            <v>材料</v>
          </cell>
          <cell r="P1976" t="str">
            <v>材料Ⅱ</v>
          </cell>
          <cell r="Q1976" t="str">
            <v>化工</v>
          </cell>
          <cell r="BC1976">
            <v>-1.9083969465648447E-3</v>
          </cell>
          <cell r="BD1976">
            <v>-4.2124542124542037E-2</v>
          </cell>
          <cell r="BE1976">
            <v>0.180037052751642</v>
          </cell>
          <cell r="BF1976">
            <v>0.53916000366210937</v>
          </cell>
          <cell r="BG1976">
            <v>0</v>
          </cell>
        </row>
        <row r="1977">
          <cell r="D1977" t="str">
            <v>建筑产品</v>
          </cell>
          <cell r="M1977">
            <v>64.284000000000006</v>
          </cell>
          <cell r="N1977">
            <v>35.407021144311109</v>
          </cell>
          <cell r="O1977" t="str">
            <v>工业</v>
          </cell>
          <cell r="P1977" t="str">
            <v>资本货物</v>
          </cell>
          <cell r="Q1977" t="str">
            <v>建筑产品Ⅲ</v>
          </cell>
          <cell r="BC1977">
            <v>-3.9615846338535425E-2</v>
          </cell>
          <cell r="BD1977">
            <v>-8.0459770114942458E-2</v>
          </cell>
          <cell r="BE1977">
            <v>-0.13137893593919661</v>
          </cell>
          <cell r="BF1977">
            <v>0.65684402465820313</v>
          </cell>
          <cell r="BG1977">
            <v>0.10996800422668457</v>
          </cell>
        </row>
        <row r="1978">
          <cell r="D1978" t="str">
            <v>药品零售</v>
          </cell>
          <cell r="M1978">
            <v>39.681899999999999</v>
          </cell>
          <cell r="N1978">
            <v>21.853361378869629</v>
          </cell>
          <cell r="O1978" t="str">
            <v>日常消费</v>
          </cell>
          <cell r="P1978" t="str">
            <v>食品与主要用品零售Ⅱ</v>
          </cell>
          <cell r="Q1978" t="str">
            <v>食品与主要用品零售Ⅲ</v>
          </cell>
          <cell r="BC1978">
            <v>5.5591467356173083E-2</v>
          </cell>
          <cell r="BD1978">
            <v>-5.4976851851852013E-2</v>
          </cell>
          <cell r="BE1978">
            <v>-1.9895773319375532E-2</v>
          </cell>
          <cell r="BF1978">
            <v>0.18819599151611327</v>
          </cell>
          <cell r="BG1978">
            <v>0.15544799804687501</v>
          </cell>
        </row>
        <row r="1979">
          <cell r="D1979" t="str">
            <v>广告</v>
          </cell>
          <cell r="M1979">
            <v>104.95236</v>
          </cell>
          <cell r="N1979">
            <v>57.787429717691943</v>
          </cell>
          <cell r="O1979" t="str">
            <v>可选消费</v>
          </cell>
          <cell r="P1979" t="str">
            <v>媒体Ⅱ</v>
          </cell>
          <cell r="Q1979" t="str">
            <v>媒体Ⅲ</v>
          </cell>
          <cell r="BC1979">
            <v>3.5686578743211718E-2</v>
          </cell>
          <cell r="BD1979">
            <v>1.7142857142857116E-2</v>
          </cell>
          <cell r="BE1979">
            <v>0.11296373488953736</v>
          </cell>
          <cell r="BF1979">
            <v>0.62405998229980464</v>
          </cell>
          <cell r="BG1979">
            <v>0.36718799591064455</v>
          </cell>
        </row>
        <row r="1980">
          <cell r="D1980" t="str">
            <v>房地产开发</v>
          </cell>
          <cell r="M1980">
            <v>72.938977753399982</v>
          </cell>
          <cell r="N1980">
            <v>40.153981196695362</v>
          </cell>
          <cell r="O1980" t="str">
            <v>金融</v>
          </cell>
          <cell r="P1980" t="str">
            <v>房地产</v>
          </cell>
          <cell r="Q1980" t="str">
            <v>房地产管理与开发</v>
          </cell>
          <cell r="BC1980">
            <v>-2.3809523809523878E-2</v>
          </cell>
          <cell r="BD1980">
            <v>-0.1156862745098039</v>
          </cell>
          <cell r="BE1980">
            <v>-0.49496080627099664</v>
          </cell>
          <cell r="BF1980">
            <v>-7.6739997863769532E-2</v>
          </cell>
          <cell r="BG1980">
            <v>9.9672002792358397E-2</v>
          </cell>
        </row>
        <row r="1981">
          <cell r="D1981" t="str">
            <v>技术产品经销商</v>
          </cell>
          <cell r="M1981">
            <v>200.25973747800003</v>
          </cell>
          <cell r="N1981">
            <v>110.23757713213834</v>
          </cell>
          <cell r="O1981" t="str">
            <v>信息技术</v>
          </cell>
          <cell r="P1981" t="str">
            <v>技术硬件与设备</v>
          </cell>
          <cell r="Q1981" t="str">
            <v>电子设备、仪器和元件</v>
          </cell>
          <cell r="BC1981">
            <v>0.15428571428571425</v>
          </cell>
          <cell r="BD1981">
            <v>3.0612244897959072E-2</v>
          </cell>
          <cell r="BE1981">
            <v>0.1496869664200341</v>
          </cell>
          <cell r="BF1981">
            <v>0.31099199295043944</v>
          </cell>
          <cell r="BG1981">
            <v>0.20533199310302735</v>
          </cell>
        </row>
        <row r="1982">
          <cell r="D1982" t="str">
            <v>西药</v>
          </cell>
          <cell r="M1982">
            <v>156.19313594479999</v>
          </cell>
          <cell r="N1982">
            <v>85.967264768206277</v>
          </cell>
          <cell r="O1982" t="str">
            <v>医疗保健</v>
          </cell>
          <cell r="P1982" t="str">
            <v>制药、生物科技与生命科学</v>
          </cell>
          <cell r="Q1982" t="str">
            <v>制药</v>
          </cell>
          <cell r="BC1982">
            <v>1.8897637795275608E-2</v>
          </cell>
          <cell r="BD1982">
            <v>-4.1481481481481515E-2</v>
          </cell>
          <cell r="BE1982">
            <v>0.27376137300034636</v>
          </cell>
          <cell r="BF1982">
            <v>0.38639999389648438</v>
          </cell>
          <cell r="BG1982">
            <v>8.5752000808715825E-2</v>
          </cell>
        </row>
        <row r="1983">
          <cell r="D1983" t="str">
            <v>电子设备和仪器</v>
          </cell>
          <cell r="M1983">
            <v>143.29819468800002</v>
          </cell>
          <cell r="N1983">
            <v>78.86810943292511</v>
          </cell>
          <cell r="O1983" t="str">
            <v>信息技术</v>
          </cell>
          <cell r="P1983" t="str">
            <v>技术硬件与设备</v>
          </cell>
          <cell r="Q1983" t="str">
            <v>电子设备、仪器和元件</v>
          </cell>
          <cell r="BC1983">
            <v>3.746397694524501E-2</v>
          </cell>
          <cell r="BD1983">
            <v>-2.0852221214868419E-2</v>
          </cell>
          <cell r="BE1983">
            <v>0.20670391061452531</v>
          </cell>
          <cell r="BF1983">
            <v>0.30694799423217772</v>
          </cell>
          <cell r="BG1983">
            <v>0.10714799880981446</v>
          </cell>
        </row>
        <row r="1984">
          <cell r="D1984" t="str">
            <v>餐馆</v>
          </cell>
          <cell r="M1984">
            <v>33.536557823999992</v>
          </cell>
          <cell r="N1984">
            <v>18.454673175088882</v>
          </cell>
          <cell r="O1984" t="str">
            <v>可选消费</v>
          </cell>
          <cell r="P1984" t="str">
            <v>消费者服务Ⅱ</v>
          </cell>
          <cell r="Q1984" t="str">
            <v>酒店、餐馆与休闲Ⅲ</v>
          </cell>
          <cell r="BC1984">
            <v>-1.1764705882352951E-2</v>
          </cell>
          <cell r="BD1984">
            <v>2.2831050228310421E-2</v>
          </cell>
          <cell r="BE1984">
            <v>6.4976228209191786E-2</v>
          </cell>
          <cell r="BF1984">
            <v>0.3877199935913086</v>
          </cell>
          <cell r="BG1984">
            <v>0.11328000068664551</v>
          </cell>
        </row>
        <row r="1985">
          <cell r="D1985" t="str">
            <v>机动车零配件与设备</v>
          </cell>
          <cell r="M1985">
            <v>47.132800000000003</v>
          </cell>
          <cell r="N1985">
            <v>25.936310215181855</v>
          </cell>
          <cell r="O1985" t="str">
            <v>可选消费</v>
          </cell>
          <cell r="P1985" t="str">
            <v>汽车与汽车零部件</v>
          </cell>
          <cell r="Q1985" t="str">
            <v>汽车零配件</v>
          </cell>
          <cell r="BC1985">
            <v>4.1839080459770119E-2</v>
          </cell>
          <cell r="BD1985">
            <v>4.8780487804877797E-3</v>
          </cell>
          <cell r="BE1985">
            <v>0</v>
          </cell>
          <cell r="BF1985">
            <v>0</v>
          </cell>
          <cell r="BG1985">
            <v>0</v>
          </cell>
        </row>
        <row r="1986">
          <cell r="D1986" t="str">
            <v>房地产开发</v>
          </cell>
          <cell r="M1986">
            <v>82.77225</v>
          </cell>
          <cell r="N1986">
            <v>45.545937257261571</v>
          </cell>
          <cell r="O1986" t="str">
            <v>金融</v>
          </cell>
          <cell r="P1986" t="str">
            <v>房地产</v>
          </cell>
          <cell r="Q1986" t="str">
            <v>房地产管理与开发</v>
          </cell>
          <cell r="BC1986">
            <v>-1.0903426791277303E-2</v>
          </cell>
          <cell r="BD1986">
            <v>-0.12413793103448281</v>
          </cell>
          <cell r="BE1986">
            <v>-0.10939691444600284</v>
          </cell>
          <cell r="BF1986">
            <v>0.52790401458740233</v>
          </cell>
          <cell r="BG1986">
            <v>0.12634799957275392</v>
          </cell>
        </row>
        <row r="1987">
          <cell r="D1987" t="str">
            <v>航天航空与国防</v>
          </cell>
          <cell r="M1987">
            <v>118.80549032300001</v>
          </cell>
          <cell r="N1987">
            <v>65.36997388608728</v>
          </cell>
          <cell r="O1987" t="str">
            <v>工业</v>
          </cell>
          <cell r="P1987" t="str">
            <v>资本货物</v>
          </cell>
          <cell r="Q1987" t="str">
            <v>航空航天与国防Ⅲ</v>
          </cell>
          <cell r="BC1987">
            <v>3.1887755102040817E-2</v>
          </cell>
          <cell r="BD1987">
            <v>2.2299306243806593E-3</v>
          </cell>
          <cell r="BE1987">
            <v>-0.15287098231757226</v>
          </cell>
          <cell r="BF1987">
            <v>0.31205999374389648</v>
          </cell>
          <cell r="BG1987">
            <v>0.28801200866699217</v>
          </cell>
        </row>
        <row r="1988">
          <cell r="D1988" t="str">
            <v>航天航空与国防</v>
          </cell>
          <cell r="M1988">
            <v>121.04119999999999</v>
          </cell>
          <cell r="N1988">
            <v>66.599285436853336</v>
          </cell>
          <cell r="O1988" t="str">
            <v>工业</v>
          </cell>
          <cell r="P1988" t="str">
            <v>资本货物</v>
          </cell>
          <cell r="Q1988" t="str">
            <v>航空航天与国防Ⅲ</v>
          </cell>
          <cell r="BC1988">
            <v>3.2258064516129162E-3</v>
          </cell>
          <cell r="BD1988">
            <v>-1.4932126696832661E-2</v>
          </cell>
          <cell r="BE1988">
            <v>0.20882383280003011</v>
          </cell>
          <cell r="BF1988">
            <v>0.38607601165771482</v>
          </cell>
          <cell r="BG1988">
            <v>0.23089199066162108</v>
          </cell>
        </row>
        <row r="1989">
          <cell r="D1989" t="str">
            <v>药品零售</v>
          </cell>
          <cell r="M1989">
            <v>34.199136995099998</v>
          </cell>
          <cell r="N1989">
            <v>18.81465154008535</v>
          </cell>
          <cell r="O1989" t="str">
            <v>日常消费</v>
          </cell>
          <cell r="P1989" t="str">
            <v>食品与主要用品零售Ⅱ</v>
          </cell>
          <cell r="Q1989" t="str">
            <v>食品与主要用品零售Ⅲ</v>
          </cell>
          <cell r="BC1989">
            <v>1.4559894109861062E-2</v>
          </cell>
          <cell r="BD1989">
            <v>-7.9831932773109252E-2</v>
          </cell>
          <cell r="BE1989">
            <v>-0.14614793476040241</v>
          </cell>
          <cell r="BF1989">
            <v>0.41888401031494138</v>
          </cell>
          <cell r="BG1989">
            <v>0.19524000167846681</v>
          </cell>
        </row>
        <row r="1990">
          <cell r="D1990" t="str">
            <v>生命科学工具和服务</v>
          </cell>
          <cell r="M1990">
            <v>43.828857999999997</v>
          </cell>
          <cell r="N1990">
            <v>24.11125572860092</v>
          </cell>
          <cell r="O1990" t="str">
            <v>医疗保健</v>
          </cell>
          <cell r="P1990" t="str">
            <v>制药、生物科技与生命科学</v>
          </cell>
          <cell r="Q1990" t="str">
            <v>生命科学工具和服务Ⅲ</v>
          </cell>
          <cell r="BC1990">
            <v>6.1218243036423549E-3</v>
          </cell>
          <cell r="BD1990">
            <v>-0.10679347826086956</v>
          </cell>
          <cell r="BE1990">
            <v>0</v>
          </cell>
          <cell r="BF1990">
            <v>0</v>
          </cell>
          <cell r="BG1990">
            <v>0</v>
          </cell>
        </row>
        <row r="1991">
          <cell r="D1991" t="str">
            <v>工业机械</v>
          </cell>
          <cell r="M1991">
            <v>42.086400000000005</v>
          </cell>
          <cell r="N1991">
            <v>23.151719923200421</v>
          </cell>
          <cell r="O1991" t="str">
            <v>工业</v>
          </cell>
          <cell r="P1991" t="str">
            <v>资本货物</v>
          </cell>
          <cell r="Q1991" t="str">
            <v>机械</v>
          </cell>
          <cell r="BC1991">
            <v>8.1934846989141233E-2</v>
          </cell>
          <cell r="BD1991">
            <v>0.14644351464435157</v>
          </cell>
          <cell r="BE1991">
            <v>0.6810081295642445</v>
          </cell>
          <cell r="BF1991">
            <v>0.52105201721191408</v>
          </cell>
          <cell r="BG1991">
            <v>0</v>
          </cell>
        </row>
        <row r="1992">
          <cell r="D1992" t="str">
            <v>啤酒</v>
          </cell>
          <cell r="M1992">
            <v>36.5569268526</v>
          </cell>
          <cell r="N1992">
            <v>20.108879300930205</v>
          </cell>
          <cell r="O1992" t="str">
            <v>日常消费</v>
          </cell>
          <cell r="P1992" t="str">
            <v>食品、饮料与烟草</v>
          </cell>
          <cell r="Q1992" t="str">
            <v>饮料</v>
          </cell>
          <cell r="BC1992">
            <v>0</v>
          </cell>
          <cell r="BD1992">
            <v>-3.7500000000000061E-2</v>
          </cell>
          <cell r="BE1992">
            <v>-0.23248763587738622</v>
          </cell>
          <cell r="BF1992">
            <v>0.22585199356079103</v>
          </cell>
          <cell r="BG1992">
            <v>0.20565599441528321</v>
          </cell>
        </row>
        <row r="1993">
          <cell r="D1993" t="str">
            <v>航天航空与国防</v>
          </cell>
          <cell r="M1993">
            <v>122.600142486</v>
          </cell>
          <cell r="N1993">
            <v>67.438145764463158</v>
          </cell>
          <cell r="O1993" t="str">
            <v>工业</v>
          </cell>
          <cell r="P1993" t="str">
            <v>资本货物</v>
          </cell>
          <cell r="Q1993" t="str">
            <v>航空航天与国防Ⅲ</v>
          </cell>
          <cell r="BC1993">
            <v>0.14406779661016944</v>
          </cell>
          <cell r="BD1993">
            <v>6.3690085357846274E-2</v>
          </cell>
          <cell r="BE1993">
            <v>-4.5887765562289136E-2</v>
          </cell>
          <cell r="BF1993">
            <v>0.38355598449707029</v>
          </cell>
          <cell r="BG1993">
            <v>0.20893199920654296</v>
          </cell>
        </row>
        <row r="1994">
          <cell r="D1994" t="str">
            <v>金属非金属</v>
          </cell>
          <cell r="M1994">
            <v>230.72041199999998</v>
          </cell>
          <cell r="N1994">
            <v>126.89533512756688</v>
          </cell>
          <cell r="O1994" t="str">
            <v>材料</v>
          </cell>
          <cell r="P1994" t="str">
            <v>材料Ⅱ</v>
          </cell>
          <cell r="Q1994" t="str">
            <v>金属、非金属与采矿</v>
          </cell>
          <cell r="BC1994">
            <v>-2.3696682464455034E-2</v>
          </cell>
          <cell r="BD1994">
            <v>6.2768701633705806E-2</v>
          </cell>
          <cell r="BE1994">
            <v>-0.26250924154302691</v>
          </cell>
          <cell r="BF1994">
            <v>0</v>
          </cell>
          <cell r="BG1994">
            <v>0</v>
          </cell>
        </row>
        <row r="1995">
          <cell r="D1995" t="str">
            <v>纺织品</v>
          </cell>
          <cell r="M1995">
            <v>39.688326287399995</v>
          </cell>
          <cell r="N1995">
            <v>21.827318168807711</v>
          </cell>
          <cell r="O1995" t="str">
            <v>可选消费</v>
          </cell>
          <cell r="P1995" t="str">
            <v>耐用消费品与服装</v>
          </cell>
          <cell r="Q1995" t="str">
            <v>纺织品、服装与奢侈品</v>
          </cell>
          <cell r="BC1995">
            <v>3.894736842105255E-2</v>
          </cell>
          <cell r="BD1995">
            <v>6.1290322580644999E-2</v>
          </cell>
          <cell r="BE1995">
            <v>9.5449500554938893E-2</v>
          </cell>
          <cell r="BF1995">
            <v>0.47891998291015625</v>
          </cell>
          <cell r="BG1995">
            <v>0.16880399703979493</v>
          </cell>
        </row>
        <row r="1996">
          <cell r="D1996" t="str">
            <v>信息科技咨询与其它服务</v>
          </cell>
          <cell r="M1996">
            <v>50.593065612899991</v>
          </cell>
          <cell r="N1996">
            <v>27.822721058666072</v>
          </cell>
          <cell r="O1996" t="str">
            <v>信息技术</v>
          </cell>
          <cell r="P1996" t="str">
            <v>软件与服务</v>
          </cell>
          <cell r="Q1996" t="str">
            <v>信息技术服务</v>
          </cell>
          <cell r="BC1996">
            <v>3.5863717872085941E-2</v>
          </cell>
          <cell r="BD1996">
            <v>-2.4760832864378239E-2</v>
          </cell>
          <cell r="BE1996">
            <v>0.11806451612903215</v>
          </cell>
          <cell r="BF1996">
            <v>0.52101600646972657</v>
          </cell>
          <cell r="BG1996">
            <v>0.27583200454711915</v>
          </cell>
        </row>
        <row r="1997">
          <cell r="D1997" t="str">
            <v>基础化工</v>
          </cell>
          <cell r="M1997">
            <v>75.242599999999982</v>
          </cell>
          <cell r="N1997">
            <v>41.373216671420131</v>
          </cell>
          <cell r="O1997" t="str">
            <v>材料</v>
          </cell>
          <cell r="P1997" t="str">
            <v>材料Ⅱ</v>
          </cell>
          <cell r="Q1997" t="str">
            <v>化工</v>
          </cell>
          <cell r="BC1997">
            <v>0</v>
          </cell>
          <cell r="BD1997">
            <v>0</v>
          </cell>
          <cell r="BE1997">
            <v>-0.13151485630784232</v>
          </cell>
          <cell r="BF1997">
            <v>0.58930801391601562</v>
          </cell>
          <cell r="BG1997">
            <v>0.21253200531005859</v>
          </cell>
        </row>
        <row r="1998">
          <cell r="D1998" t="str">
            <v>林木产品</v>
          </cell>
          <cell r="M1998">
            <v>138.4121009118</v>
          </cell>
          <cell r="N1998">
            <v>76.105325786480577</v>
          </cell>
          <cell r="O1998" t="str">
            <v>材料</v>
          </cell>
          <cell r="P1998" t="str">
            <v>材料Ⅱ</v>
          </cell>
          <cell r="Q1998" t="str">
            <v>纸与林木产品</v>
          </cell>
          <cell r="BC1998">
            <v>4.9816849816849793E-2</v>
          </cell>
          <cell r="BD1998">
            <v>-2.6494565217391342E-2</v>
          </cell>
          <cell r="BE1998">
            <v>-0.44435827840248154</v>
          </cell>
          <cell r="BF1998">
            <v>0.56537998199462891</v>
          </cell>
          <cell r="BG1998">
            <v>0.3318600082397461</v>
          </cell>
        </row>
        <row r="1999">
          <cell r="D1999" t="str">
            <v>工业机械</v>
          </cell>
          <cell r="M1999">
            <v>44.8</v>
          </cell>
          <cell r="N1999">
            <v>24.632461413025275</v>
          </cell>
          <cell r="O1999" t="str">
            <v>工业</v>
          </cell>
          <cell r="P1999" t="str">
            <v>资本货物</v>
          </cell>
          <cell r="Q1999" t="str">
            <v>机械</v>
          </cell>
          <cell r="BC1999">
            <v>3.8961038961038939E-2</v>
          </cell>
          <cell r="BD1999">
            <v>-6.2111801242236905E-3</v>
          </cell>
          <cell r="BE1999">
            <v>-0.30540159536430311</v>
          </cell>
          <cell r="BF1999">
            <v>0.79233596801757811</v>
          </cell>
          <cell r="BG1999">
            <v>0</v>
          </cell>
        </row>
        <row r="2000">
          <cell r="D2000" t="str">
            <v>基础化工</v>
          </cell>
          <cell r="M2000">
            <v>42.718860799999995</v>
          </cell>
          <cell r="N2000">
            <v>23.488102782407406</v>
          </cell>
          <cell r="O2000" t="str">
            <v>材料</v>
          </cell>
          <cell r="P2000" t="str">
            <v>材料Ⅱ</v>
          </cell>
          <cell r="Q2000" t="str">
            <v>化工</v>
          </cell>
          <cell r="BC2000">
            <v>0.10681818181818176</v>
          </cell>
          <cell r="BD2000">
            <v>0.18347509113001212</v>
          </cell>
          <cell r="BE2000">
            <v>5.2972972972972994E-2</v>
          </cell>
          <cell r="BF2000">
            <v>0.20417999267578124</v>
          </cell>
          <cell r="BG2000">
            <v>-2.5896000862121581E-2</v>
          </cell>
        </row>
        <row r="2001">
          <cell r="D2001" t="str">
            <v>西药</v>
          </cell>
          <cell r="M2001">
            <v>67.833456600000005</v>
          </cell>
          <cell r="N2001">
            <v>37.279153836457404</v>
          </cell>
          <cell r="O2001" t="str">
            <v>医疗保健</v>
          </cell>
          <cell r="P2001" t="str">
            <v>制药、生物科技与生命科学</v>
          </cell>
          <cell r="Q2001" t="str">
            <v>制药</v>
          </cell>
          <cell r="BC2001">
            <v>0.10886252616887651</v>
          </cell>
          <cell r="BD2001">
            <v>6.0040026684456328E-2</v>
          </cell>
          <cell r="BE2001">
            <v>-6.4193168433451103E-2</v>
          </cell>
          <cell r="BF2001">
            <v>0.44738399505615234</v>
          </cell>
          <cell r="BG2001">
            <v>0.21312000274658202</v>
          </cell>
        </row>
        <row r="2002">
          <cell r="D2002" t="str">
            <v>服装、服饰与奢侈品</v>
          </cell>
          <cell r="M2002">
            <v>54.744478297600004</v>
          </cell>
          <cell r="N2002">
            <v>30.076469528159262</v>
          </cell>
          <cell r="O2002" t="str">
            <v>可选消费</v>
          </cell>
          <cell r="P2002" t="str">
            <v>耐用消费品与服装</v>
          </cell>
          <cell r="Q2002" t="str">
            <v>纺织品、服装与奢侈品</v>
          </cell>
          <cell r="BC2002">
            <v>5.4308472121650977E-2</v>
          </cell>
          <cell r="BD2002">
            <v>-7.1428571428571383E-2</v>
          </cell>
          <cell r="BE2002">
            <v>-0.11131633147181469</v>
          </cell>
          <cell r="BF2002">
            <v>0.78935997009277348</v>
          </cell>
          <cell r="BG2002">
            <v>0.27479999542236327</v>
          </cell>
        </row>
        <row r="2003">
          <cell r="D2003" t="str">
            <v>消费电子产品</v>
          </cell>
          <cell r="M2003">
            <v>59.240999999999993</v>
          </cell>
          <cell r="N2003">
            <v>32.546246110380601</v>
          </cell>
          <cell r="O2003" t="str">
            <v>可选消费</v>
          </cell>
          <cell r="P2003" t="str">
            <v>耐用消费品与服装</v>
          </cell>
          <cell r="Q2003" t="str">
            <v>家庭耐用消费品</v>
          </cell>
          <cell r="BC2003">
            <v>0.12006670372429129</v>
          </cell>
          <cell r="BD2003">
            <v>8.5668103448275856E-2</v>
          </cell>
          <cell r="BE2003">
            <v>-0.11445250990556891</v>
          </cell>
          <cell r="BF2003">
            <v>0.36749999999999999</v>
          </cell>
          <cell r="BG2003">
            <v>0.15914400100708007</v>
          </cell>
        </row>
        <row r="2004">
          <cell r="D2004" t="str">
            <v>工业机械</v>
          </cell>
          <cell r="M2004">
            <v>81.491666620000004</v>
          </cell>
          <cell r="N2004">
            <v>44.750983945420373</v>
          </cell>
          <cell r="O2004" t="str">
            <v>工业</v>
          </cell>
          <cell r="P2004" t="str">
            <v>资本货物</v>
          </cell>
          <cell r="Q2004" t="str">
            <v>机械</v>
          </cell>
          <cell r="BC2004">
            <v>-9.2307692307691432E-3</v>
          </cell>
          <cell r="BD2004">
            <v>7.2618254497002113E-2</v>
          </cell>
          <cell r="BE2004">
            <v>-0.26416819012797066</v>
          </cell>
          <cell r="BF2004">
            <v>0.53717998504638675</v>
          </cell>
          <cell r="BG2004">
            <v>0.19579200744628905</v>
          </cell>
        </row>
        <row r="2005">
          <cell r="D2005" t="str">
            <v>电子元件</v>
          </cell>
          <cell r="M2005">
            <v>70.827792000000002</v>
          </cell>
          <cell r="N2005">
            <v>38.89419211631423</v>
          </cell>
          <cell r="O2005" t="str">
            <v>信息技术</v>
          </cell>
          <cell r="P2005" t="str">
            <v>技术硬件与设备</v>
          </cell>
          <cell r="Q2005" t="str">
            <v>电子设备、仪器和元件</v>
          </cell>
          <cell r="BC2005">
            <v>-2.8070175438596429E-2</v>
          </cell>
          <cell r="BD2005">
            <v>0.11500862564692352</v>
          </cell>
          <cell r="BE2005">
            <v>2.2061198923305415E-2</v>
          </cell>
          <cell r="BF2005">
            <v>0.10016400337219239</v>
          </cell>
          <cell r="BG2005">
            <v>0</v>
          </cell>
        </row>
        <row r="2006">
          <cell r="D2006" t="str">
            <v>建材</v>
          </cell>
          <cell r="M2006">
            <v>64.335302846500014</v>
          </cell>
          <cell r="N2006">
            <v>35.325170016999564</v>
          </cell>
          <cell r="O2006" t="str">
            <v>材料</v>
          </cell>
          <cell r="P2006" t="str">
            <v>材料Ⅱ</v>
          </cell>
          <cell r="Q2006" t="str">
            <v>建材Ⅲ</v>
          </cell>
          <cell r="BC2006">
            <v>-6.4226519337016549E-2</v>
          </cell>
          <cell r="BD2006">
            <v>1.8031555221637883E-2</v>
          </cell>
          <cell r="BE2006">
            <v>6.5713496531681459E-2</v>
          </cell>
          <cell r="BF2006">
            <v>0.50575199127197268</v>
          </cell>
          <cell r="BG2006">
            <v>0.14169599533081054</v>
          </cell>
        </row>
        <row r="2007">
          <cell r="D2007" t="str">
            <v>大卖场与超市</v>
          </cell>
          <cell r="M2007">
            <v>46.011240000000001</v>
          </cell>
          <cell r="N2007">
            <v>25.263327326513895</v>
          </cell>
          <cell r="O2007" t="str">
            <v>日常消费</v>
          </cell>
          <cell r="P2007" t="str">
            <v>食品与主要用品零售Ⅱ</v>
          </cell>
          <cell r="Q2007" t="str">
            <v>食品与主要用品零售Ⅲ</v>
          </cell>
          <cell r="BC2007">
            <v>3.8616251005631569E-2</v>
          </cell>
          <cell r="BD2007">
            <v>-4.7935103244837782E-2</v>
          </cell>
          <cell r="BE2007">
            <v>0.49529871141626602</v>
          </cell>
          <cell r="BF2007">
            <v>0.49126800537109377</v>
          </cell>
          <cell r="BG2007">
            <v>0.13473600387573242</v>
          </cell>
        </row>
        <row r="2008">
          <cell r="D2008" t="str">
            <v>半导体产品</v>
          </cell>
          <cell r="M2008">
            <v>48.802500000000002</v>
          </cell>
          <cell r="N2008">
            <v>26.7951157066679</v>
          </cell>
          <cell r="O2008" t="str">
            <v>信息技术</v>
          </cell>
          <cell r="P2008" t="str">
            <v>半导体与半导体生产设备</v>
          </cell>
          <cell r="Q2008" t="str">
            <v>半导体产品与半导体设备</v>
          </cell>
          <cell r="BC2008">
            <v>0.13858267716535447</v>
          </cell>
          <cell r="BD2008">
            <v>-2.9530201342281844E-2</v>
          </cell>
          <cell r="BE2008">
            <v>-0.21356043566482533</v>
          </cell>
          <cell r="BF2008">
            <v>3.7535998821258548E-2</v>
          </cell>
          <cell r="BG2008">
            <v>0</v>
          </cell>
        </row>
        <row r="2009">
          <cell r="D2009" t="str">
            <v>建筑与工程</v>
          </cell>
          <cell r="M2009">
            <v>48.861943109700007</v>
          </cell>
          <cell r="N2009">
            <v>26.827031558973154</v>
          </cell>
          <cell r="O2009" t="str">
            <v>工业</v>
          </cell>
          <cell r="P2009" t="str">
            <v>资本货物</v>
          </cell>
          <cell r="Q2009" t="str">
            <v>建筑与工程Ⅲ</v>
          </cell>
          <cell r="BC2009">
            <v>0</v>
          </cell>
          <cell r="BD2009">
            <v>0</v>
          </cell>
          <cell r="BE2009">
            <v>7.536231289754261E-2</v>
          </cell>
          <cell r="BF2009">
            <v>0.24824399948120118</v>
          </cell>
          <cell r="BG2009">
            <v>0.32786399841308594</v>
          </cell>
        </row>
        <row r="2010">
          <cell r="D2010" t="str">
            <v>半导体产品</v>
          </cell>
          <cell r="M2010">
            <v>74.331212799999989</v>
          </cell>
          <cell r="N2010">
            <v>40.808993144721484</v>
          </cell>
          <cell r="O2010" t="str">
            <v>信息技术</v>
          </cell>
          <cell r="P2010" t="str">
            <v>半导体与半导体生产设备</v>
          </cell>
          <cell r="Q2010" t="str">
            <v>半导体产品与半导体设备</v>
          </cell>
          <cell r="BC2010">
            <v>2.0547945205479472E-2</v>
          </cell>
          <cell r="BD2010">
            <v>-3.8709677419354875E-2</v>
          </cell>
          <cell r="BE2010">
            <v>-0.22855607873509684</v>
          </cell>
          <cell r="BF2010">
            <v>6.9419999122619633E-2</v>
          </cell>
          <cell r="BG2010">
            <v>3.1475999355316163E-2</v>
          </cell>
        </row>
        <row r="2011">
          <cell r="D2011" t="str">
            <v>生物科技</v>
          </cell>
          <cell r="M2011">
            <v>150.41323208240001</v>
          </cell>
          <cell r="N2011">
            <v>82.57913014772592</v>
          </cell>
          <cell r="O2011" t="str">
            <v>医疗保健</v>
          </cell>
          <cell r="P2011" t="str">
            <v>制药、生物科技与生命科学</v>
          </cell>
          <cell r="Q2011" t="str">
            <v>生物科技Ⅲ</v>
          </cell>
          <cell r="BC2011">
            <v>-6.8493150684930044E-4</v>
          </cell>
          <cell r="BD2011">
            <v>-0.13591945513769627</v>
          </cell>
          <cell r="BE2011">
            <v>-0.21832306455933562</v>
          </cell>
          <cell r="BF2011">
            <v>0.37096801757812498</v>
          </cell>
          <cell r="BG2011">
            <v>0.15219599723815919</v>
          </cell>
        </row>
        <row r="2012">
          <cell r="D2012" t="str">
            <v>消费电子产品</v>
          </cell>
          <cell r="M2012">
            <v>370.02325409280002</v>
          </cell>
          <cell r="N2012">
            <v>203.06444341798093</v>
          </cell>
          <cell r="O2012" t="str">
            <v>可选消费</v>
          </cell>
          <cell r="P2012" t="str">
            <v>耐用消费品与服装</v>
          </cell>
          <cell r="Q2012" t="str">
            <v>家庭耐用消费品</v>
          </cell>
          <cell r="BC2012">
            <v>0</v>
          </cell>
          <cell r="BD2012">
            <v>0</v>
          </cell>
          <cell r="BE2012">
            <v>1.7910645948961228</v>
          </cell>
          <cell r="BF2012">
            <v>0.83889602661132812</v>
          </cell>
          <cell r="BG2012">
            <v>0.42566398620605467</v>
          </cell>
        </row>
        <row r="2013">
          <cell r="D2013" t="str">
            <v>金属非金属</v>
          </cell>
          <cell r="M2013">
            <v>35.5047</v>
          </cell>
          <cell r="N2013">
            <v>19.484379180921298</v>
          </cell>
          <cell r="O2013" t="str">
            <v>材料</v>
          </cell>
          <cell r="P2013" t="str">
            <v>材料Ⅱ</v>
          </cell>
          <cell r="Q2013" t="str">
            <v>金属、非金属与采矿</v>
          </cell>
          <cell r="BC2013">
            <v>-2.5957170668397746E-3</v>
          </cell>
          <cell r="BD2013">
            <v>-0.15410016510731989</v>
          </cell>
          <cell r="BE2013">
            <v>3.2930107526881615E-2</v>
          </cell>
          <cell r="BF2013">
            <v>0.67452003479003908</v>
          </cell>
          <cell r="BG2013">
            <v>0.20539199829101562</v>
          </cell>
        </row>
        <row r="2014">
          <cell r="D2014" t="str">
            <v>基础化工</v>
          </cell>
          <cell r="M2014">
            <v>125.6627682845</v>
          </cell>
          <cell r="N2014">
            <v>68.953450901109719</v>
          </cell>
          <cell r="O2014" t="str">
            <v>材料</v>
          </cell>
          <cell r="P2014" t="str">
            <v>材料Ⅱ</v>
          </cell>
          <cell r="Q2014" t="str">
            <v>化工</v>
          </cell>
          <cell r="BC2014">
            <v>1.0077519379844883E-2</v>
          </cell>
          <cell r="BD2014">
            <v>-7.7848549186128907E-2</v>
          </cell>
          <cell r="BE2014">
            <v>0.30038067629068049</v>
          </cell>
          <cell r="BF2014">
            <v>0.76894798278808596</v>
          </cell>
          <cell r="BG2014">
            <v>0.16565999984741211</v>
          </cell>
        </row>
        <row r="2015">
          <cell r="D2015" t="str">
            <v>复合型公用事业</v>
          </cell>
          <cell r="M2015">
            <v>41.081150000000001</v>
          </cell>
          <cell r="N2015">
            <v>22.541521853117281</v>
          </cell>
          <cell r="O2015" t="str">
            <v>公用事业</v>
          </cell>
          <cell r="P2015" t="str">
            <v>公用事业Ⅱ</v>
          </cell>
          <cell r="Q2015" t="str">
            <v>复合型公用事业Ⅲ</v>
          </cell>
          <cell r="BC2015">
            <v>2.420856610800743E-2</v>
          </cell>
          <cell r="BD2015">
            <v>-0.27055702917771884</v>
          </cell>
          <cell r="BE2015">
            <v>-0.38499240210961561</v>
          </cell>
          <cell r="BF2015">
            <v>0.1818600082397461</v>
          </cell>
          <cell r="BG2015">
            <v>7.3619999885559076E-2</v>
          </cell>
        </row>
        <row r="2016">
          <cell r="D2016" t="str">
            <v>基础化工</v>
          </cell>
          <cell r="M2016">
            <v>27.541320000000002</v>
          </cell>
          <cell r="N2016">
            <v>15.110171165271019</v>
          </cell>
          <cell r="O2016" t="str">
            <v>材料</v>
          </cell>
          <cell r="P2016" t="str">
            <v>材料Ⅱ</v>
          </cell>
          <cell r="Q2016" t="str">
            <v>化工</v>
          </cell>
          <cell r="BC2016">
            <v>3.0398671096345486E-2</v>
          </cell>
          <cell r="BD2016">
            <v>-8.5373046299026728E-2</v>
          </cell>
          <cell r="BE2016">
            <v>-0.10212844096439685</v>
          </cell>
          <cell r="BF2016">
            <v>0.62896800994873048</v>
          </cell>
          <cell r="BG2016">
            <v>0</v>
          </cell>
        </row>
        <row r="2017">
          <cell r="D2017" t="str">
            <v>轮胎与橡胶</v>
          </cell>
          <cell r="M2017">
            <v>43.847628045</v>
          </cell>
          <cell r="N2017">
            <v>24.055257903364723</v>
          </cell>
          <cell r="O2017" t="str">
            <v>可选消费</v>
          </cell>
          <cell r="P2017" t="str">
            <v>汽车与汽车零部件</v>
          </cell>
          <cell r="Q2017" t="str">
            <v>汽车零配件</v>
          </cell>
          <cell r="BC2017">
            <v>5.8631921824104288E-2</v>
          </cell>
          <cell r="BD2017">
            <v>-4.5521292217327404E-2</v>
          </cell>
          <cell r="BE2017">
            <v>-0.46883728351041326</v>
          </cell>
          <cell r="BF2017">
            <v>0.33927600860595702</v>
          </cell>
          <cell r="BG2017">
            <v>0.13816800117492675</v>
          </cell>
        </row>
        <row r="2018">
          <cell r="D2018" t="str">
            <v>建筑机械与重型卡车</v>
          </cell>
          <cell r="M2018">
            <v>40.065867679</v>
          </cell>
          <cell r="N2018">
            <v>21.978917049526988</v>
          </cell>
          <cell r="O2018" t="str">
            <v>工业</v>
          </cell>
          <cell r="P2018" t="str">
            <v>资本货物</v>
          </cell>
          <cell r="Q2018" t="str">
            <v>机械</v>
          </cell>
          <cell r="BC2018">
            <v>0.17671691792294819</v>
          </cell>
          <cell r="BD2018">
            <v>0.13397901533494755</v>
          </cell>
          <cell r="BE2018">
            <v>-1.0563380281690042E-2</v>
          </cell>
          <cell r="BF2018">
            <v>0.18643199920654296</v>
          </cell>
          <cell r="BG2018">
            <v>6.5748000144958491E-2</v>
          </cell>
        </row>
        <row r="2019">
          <cell r="D2019" t="str">
            <v>应用软件</v>
          </cell>
          <cell r="M2019">
            <v>84.594744072800012</v>
          </cell>
          <cell r="N2019">
            <v>46.404645198540521</v>
          </cell>
          <cell r="O2019" t="str">
            <v>信息技术</v>
          </cell>
          <cell r="P2019" t="str">
            <v>软件与服务</v>
          </cell>
          <cell r="Q2019" t="str">
            <v>软件</v>
          </cell>
          <cell r="BC2019">
            <v>6.1332326854123417E-2</v>
          </cell>
          <cell r="BD2019">
            <v>0.1815126050420168</v>
          </cell>
          <cell r="BE2019">
            <v>0.51958930018913818</v>
          </cell>
          <cell r="BF2019">
            <v>0.42763198852539064</v>
          </cell>
          <cell r="BG2019">
            <v>0.23388000488281249</v>
          </cell>
        </row>
        <row r="2020">
          <cell r="D2020" t="str">
            <v>电子元件</v>
          </cell>
          <cell r="M2020">
            <v>55.261500000000005</v>
          </cell>
          <cell r="N2020">
            <v>30.306480648428707</v>
          </cell>
          <cell r="O2020" t="str">
            <v>信息技术</v>
          </cell>
          <cell r="P2020" t="str">
            <v>技术硬件与设备</v>
          </cell>
          <cell r="Q2020" t="str">
            <v>电子设备、仪器和元件</v>
          </cell>
          <cell r="BC2020">
            <v>-4.620123203285414E-3</v>
          </cell>
          <cell r="BD2020">
            <v>0</v>
          </cell>
          <cell r="BE2020">
            <v>0.50894941634241253</v>
          </cell>
          <cell r="BF2020">
            <v>0.52223999023437495</v>
          </cell>
          <cell r="BG2020">
            <v>0.18087600708007812</v>
          </cell>
        </row>
        <row r="2021">
          <cell r="D2021" t="str">
            <v>综合类行业</v>
          </cell>
          <cell r="M2021">
            <v>69.513792503999994</v>
          </cell>
          <cell r="N2021">
            <v>38.115574785315097</v>
          </cell>
          <cell r="O2021" t="str">
            <v>工业</v>
          </cell>
          <cell r="P2021" t="str">
            <v>资本货物</v>
          </cell>
          <cell r="Q2021" t="str">
            <v>综合类Ⅲ</v>
          </cell>
          <cell r="BC2021">
            <v>-6.4748201438848824E-2</v>
          </cell>
          <cell r="BD2021">
            <v>8.4462982273201301E-2</v>
          </cell>
          <cell r="BE2021">
            <v>-4.4117647058823567E-2</v>
          </cell>
          <cell r="BF2021">
            <v>0.26749200820922853</v>
          </cell>
          <cell r="BG2021">
            <v>1.8323999643325806E-2</v>
          </cell>
        </row>
        <row r="2022">
          <cell r="D2022" t="str">
            <v>工业机械</v>
          </cell>
          <cell r="M2022">
            <v>41.433707366999997</v>
          </cell>
          <cell r="N2022">
            <v>22.716494435123405</v>
          </cell>
          <cell r="O2022" t="str">
            <v>工业</v>
          </cell>
          <cell r="P2022" t="str">
            <v>资本货物</v>
          </cell>
          <cell r="Q2022" t="str">
            <v>机械</v>
          </cell>
          <cell r="BC2022">
            <v>3.9076376554174022E-2</v>
          </cell>
          <cell r="BD2022">
            <v>-5.4163298302344377E-2</v>
          </cell>
          <cell r="BE2022">
            <v>-0.10164138278390314</v>
          </cell>
          <cell r="BF2022">
            <v>0.41180400848388671</v>
          </cell>
          <cell r="BG2022">
            <v>0.14463600158691406</v>
          </cell>
        </row>
        <row r="2023">
          <cell r="D2023" t="str">
            <v>公路运输</v>
          </cell>
          <cell r="M2023">
            <v>156.95096645900003</v>
          </cell>
          <cell r="N2023">
            <v>86.041850144966944</v>
          </cell>
          <cell r="O2023" t="str">
            <v>工业</v>
          </cell>
          <cell r="P2023" t="str">
            <v>运输</v>
          </cell>
          <cell r="Q2023" t="str">
            <v>公路与铁路运输</v>
          </cell>
          <cell r="BC2023">
            <v>8.8385682980277644E-2</v>
          </cell>
          <cell r="BD2023">
            <v>0.23242349048800667</v>
          </cell>
          <cell r="BE2023">
            <v>0.10766305869798189</v>
          </cell>
          <cell r="BF2023">
            <v>0.46299598693847654</v>
          </cell>
          <cell r="BG2023">
            <v>0.21901199340820313</v>
          </cell>
        </row>
        <row r="2024">
          <cell r="D2024" t="str">
            <v>建材</v>
          </cell>
          <cell r="M2024">
            <v>33.736780000000003</v>
          </cell>
          <cell r="N2024">
            <v>18.49299333941136</v>
          </cell>
          <cell r="O2024" t="str">
            <v>材料</v>
          </cell>
          <cell r="P2024" t="str">
            <v>材料Ⅱ</v>
          </cell>
          <cell r="Q2024" t="str">
            <v>建材Ⅲ</v>
          </cell>
          <cell r="BC2024">
            <v>2.3936170212766041E-2</v>
          </cell>
          <cell r="BD2024">
            <v>-5.1679586563307539E-3</v>
          </cell>
          <cell r="BE2024">
            <v>-0.11697247706422023</v>
          </cell>
          <cell r="BF2024">
            <v>0.4690679931640625</v>
          </cell>
          <cell r="BG2024">
            <v>0.18274799346923828</v>
          </cell>
        </row>
        <row r="2025">
          <cell r="D2025" t="str">
            <v>化纤</v>
          </cell>
          <cell r="M2025">
            <v>83.373812666700005</v>
          </cell>
          <cell r="N2025">
            <v>45.701139206312817</v>
          </cell>
          <cell r="O2025" t="str">
            <v>材料</v>
          </cell>
          <cell r="P2025" t="str">
            <v>材料Ⅱ</v>
          </cell>
          <cell r="Q2025" t="str">
            <v>化工</v>
          </cell>
          <cell r="BC2025">
            <v>4.2081949058693335E-2</v>
          </cell>
          <cell r="BD2025">
            <v>5.730337078651683E-2</v>
          </cell>
          <cell r="BE2025">
            <v>0.23129669129914582</v>
          </cell>
          <cell r="BF2025">
            <v>0.63726001739501958</v>
          </cell>
          <cell r="BG2025">
            <v>0.11390399932861328</v>
          </cell>
        </row>
        <row r="2026">
          <cell r="D2026" t="str">
            <v>工业机械</v>
          </cell>
          <cell r="M2026">
            <v>67.189430000000002</v>
          </cell>
          <cell r="N2026">
            <v>36.825444635830273</v>
          </cell>
          <cell r="O2026" t="str">
            <v>工业</v>
          </cell>
          <cell r="P2026" t="str">
            <v>资本货物</v>
          </cell>
          <cell r="Q2026" t="str">
            <v>机械</v>
          </cell>
          <cell r="BC2026">
            <v>-4.7286821705426314E-2</v>
          </cell>
          <cell r="BD2026">
            <v>-6.8939393939393898E-2</v>
          </cell>
          <cell r="BE2026">
            <v>0</v>
          </cell>
          <cell r="BF2026">
            <v>0</v>
          </cell>
          <cell r="BG2026">
            <v>0</v>
          </cell>
        </row>
        <row r="2027">
          <cell r="D2027" t="str">
            <v>贸易公司与工业品经销商</v>
          </cell>
          <cell r="M2027">
            <v>47.466266415199996</v>
          </cell>
          <cell r="N2027">
            <v>26.014741011894674</v>
          </cell>
          <cell r="O2027" t="str">
            <v>工业</v>
          </cell>
          <cell r="P2027" t="str">
            <v>资本货物</v>
          </cell>
          <cell r="Q2027" t="str">
            <v>贸易公司与工业品经销商Ⅲ</v>
          </cell>
          <cell r="BC2027">
            <v>3.2478632478632551E-2</v>
          </cell>
          <cell r="BD2027">
            <v>-9.0237899917965086E-3</v>
          </cell>
          <cell r="BE2027">
            <v>-0.41712778752396651</v>
          </cell>
          <cell r="BF2027">
            <v>0.13355999946594238</v>
          </cell>
          <cell r="BG2027">
            <v>0.17415599822998046</v>
          </cell>
        </row>
        <row r="2028">
          <cell r="D2028" t="str">
            <v>房地产开发</v>
          </cell>
          <cell r="M2028">
            <v>47.872387663399998</v>
          </cell>
          <cell r="N2028">
            <v>26.233070580607002</v>
          </cell>
          <cell r="O2028" t="str">
            <v>金融</v>
          </cell>
          <cell r="P2028" t="str">
            <v>房地产</v>
          </cell>
          <cell r="Q2028" t="str">
            <v>房地产管理与开发</v>
          </cell>
          <cell r="BC2028">
            <v>2.0257826887661201E-2</v>
          </cell>
          <cell r="BD2028">
            <v>3.6231884057971852E-3</v>
          </cell>
          <cell r="BE2028">
            <v>-0.19975936593212629</v>
          </cell>
          <cell r="BF2028">
            <v>0.5039400100708008</v>
          </cell>
          <cell r="BG2028">
            <v>0.15412799835205079</v>
          </cell>
        </row>
        <row r="2029">
          <cell r="D2029" t="str">
            <v>基础化工</v>
          </cell>
          <cell r="M2029">
            <v>34.887167999999996</v>
          </cell>
          <cell r="N2029">
            <v>19.117114758857557</v>
          </cell>
          <cell r="O2029" t="str">
            <v>材料</v>
          </cell>
          <cell r="P2029" t="str">
            <v>材料Ⅱ</v>
          </cell>
          <cell r="Q2029" t="str">
            <v>化工</v>
          </cell>
          <cell r="BC2029">
            <v>-9.9601593625498017E-2</v>
          </cell>
          <cell r="BD2029">
            <v>-9.9601593625498017E-2</v>
          </cell>
          <cell r="BE2029">
            <v>-6.9330427306808329E-2</v>
          </cell>
          <cell r="BF2029">
            <v>0.3713399887084961</v>
          </cell>
          <cell r="BG2029">
            <v>0.20420400619506837</v>
          </cell>
        </row>
        <row r="2030">
          <cell r="D2030" t="str">
            <v>电气部件与设备</v>
          </cell>
          <cell r="M2030">
            <v>213.82284653280001</v>
          </cell>
          <cell r="N2030">
            <v>117.16311077105006</v>
          </cell>
          <cell r="O2030" t="str">
            <v>工业</v>
          </cell>
          <cell r="P2030" t="str">
            <v>资本货物</v>
          </cell>
          <cell r="Q2030" t="str">
            <v>电气设备</v>
          </cell>
          <cell r="BC2030">
            <v>0</v>
          </cell>
          <cell r="BD2030">
            <v>0</v>
          </cell>
          <cell r="BE2030">
            <v>0.76406533575317626</v>
          </cell>
          <cell r="BF2030">
            <v>1.1301000213623047</v>
          </cell>
          <cell r="BG2030">
            <v>0.4069919967651367</v>
          </cell>
        </row>
        <row r="2031">
          <cell r="D2031" t="str">
            <v>工业机械</v>
          </cell>
          <cell r="M2031">
            <v>80.611967632000002</v>
          </cell>
          <cell r="N2031">
            <v>44.168201148364119</v>
          </cell>
          <cell r="O2031" t="str">
            <v>工业</v>
          </cell>
          <cell r="P2031" t="str">
            <v>资本货物</v>
          </cell>
          <cell r="Q2031" t="str">
            <v>机械</v>
          </cell>
          <cell r="BC2031">
            <v>0</v>
          </cell>
          <cell r="BD2031">
            <v>0</v>
          </cell>
          <cell r="BE2031">
            <v>1.0521066334914795</v>
          </cell>
          <cell r="BF2031">
            <v>0.88867202758789066</v>
          </cell>
          <cell r="BG2031">
            <v>0</v>
          </cell>
        </row>
        <row r="2032">
          <cell r="D2032" t="str">
            <v>电子元件</v>
          </cell>
          <cell r="M2032">
            <v>50.084564109999995</v>
          </cell>
          <cell r="N2032">
            <v>27.438332993391711</v>
          </cell>
          <cell r="O2032" t="str">
            <v>信息技术</v>
          </cell>
          <cell r="P2032" t="str">
            <v>技术硬件与设备</v>
          </cell>
          <cell r="Q2032" t="str">
            <v>电子设备、仪器和元件</v>
          </cell>
          <cell r="BC2032">
            <v>-1.7006802721088437E-2</v>
          </cell>
          <cell r="BD2032">
            <v>-4.9342105263157895E-2</v>
          </cell>
          <cell r="BE2032">
            <v>0.69896167750872629</v>
          </cell>
          <cell r="BF2032">
            <v>0.54060001373291011</v>
          </cell>
          <cell r="BG2032">
            <v>0</v>
          </cell>
        </row>
        <row r="2033">
          <cell r="D2033" t="str">
            <v>电子元件</v>
          </cell>
          <cell r="M2033">
            <v>59.530021190399999</v>
          </cell>
          <cell r="N2033">
            <v>32.607551896246299</v>
          </cell>
          <cell r="O2033" t="str">
            <v>信息技术</v>
          </cell>
          <cell r="P2033" t="str">
            <v>技术硬件与设备</v>
          </cell>
          <cell r="Q2033" t="str">
            <v>电子设备、仪器和元件</v>
          </cell>
          <cell r="BC2033">
            <v>2.5380710659898501E-2</v>
          </cell>
          <cell r="BD2033">
            <v>-4.1518386714116208E-2</v>
          </cell>
          <cell r="BE2033">
            <v>-0.39925650557620812</v>
          </cell>
          <cell r="BF2033">
            <v>3.2147998809814456E-2</v>
          </cell>
          <cell r="BG2033">
            <v>-2.6928000450134278E-2</v>
          </cell>
        </row>
        <row r="2034">
          <cell r="D2034" t="str">
            <v>机动车零配件与设备</v>
          </cell>
          <cell r="M2034">
            <v>27.9956</v>
          </cell>
          <cell r="N2034">
            <v>15.333129611407406</v>
          </cell>
          <cell r="O2034" t="str">
            <v>可选消费</v>
          </cell>
          <cell r="P2034" t="str">
            <v>汽车与汽车零部件</v>
          </cell>
          <cell r="Q2034" t="str">
            <v>汽车零配件</v>
          </cell>
          <cell r="BC2034">
            <v>1.467155718572862E-2</v>
          </cell>
          <cell r="BD2034">
            <v>2.4579124579124593E-2</v>
          </cell>
          <cell r="BE2034">
            <v>5.1020846164826626E-2</v>
          </cell>
          <cell r="BF2034">
            <v>0.38189998626708982</v>
          </cell>
          <cell r="BG2034">
            <v>0</v>
          </cell>
        </row>
        <row r="2035">
          <cell r="D2035" t="str">
            <v>海港与服务</v>
          </cell>
          <cell r="M2035">
            <v>62.042890768299998</v>
          </cell>
          <cell r="N2035">
            <v>33.97993291682694</v>
          </cell>
          <cell r="O2035" t="str">
            <v>工业</v>
          </cell>
          <cell r="P2035" t="str">
            <v>运输</v>
          </cell>
          <cell r="Q2035" t="str">
            <v>交通基础设施</v>
          </cell>
          <cell r="BC2035">
            <v>9.3648208469055402E-2</v>
          </cell>
          <cell r="BD2035">
            <v>2.5190839694656495E-2</v>
          </cell>
          <cell r="BE2035">
            <v>-0.12511561622789408</v>
          </cell>
          <cell r="BF2035">
            <v>0.42747600555419923</v>
          </cell>
          <cell r="BG2035">
            <v>0.10409999847412109</v>
          </cell>
        </row>
        <row r="2036">
          <cell r="D2036" t="str">
            <v>啤酒</v>
          </cell>
          <cell r="M2036">
            <v>38.274999999999999</v>
          </cell>
          <cell r="N2036">
            <v>20.953426633240746</v>
          </cell>
          <cell r="O2036" t="str">
            <v>日常消费</v>
          </cell>
          <cell r="P2036" t="str">
            <v>食品、饮料与烟草</v>
          </cell>
          <cell r="Q2036" t="str">
            <v>饮料</v>
          </cell>
          <cell r="BC2036">
            <v>9.894459102902398E-3</v>
          </cell>
          <cell r="BD2036">
            <v>8.6586231369765843E-2</v>
          </cell>
          <cell r="BE2036">
            <v>0.28222418696085705</v>
          </cell>
          <cell r="BF2036">
            <v>0.42724800109863281</v>
          </cell>
          <cell r="BG2036">
            <v>6.2087998390197754E-2</v>
          </cell>
        </row>
        <row r="2037">
          <cell r="D2037" t="str">
            <v>铝</v>
          </cell>
          <cell r="M2037">
            <v>71.448968883600003</v>
          </cell>
          <cell r="N2037">
            <v>39.114285264514443</v>
          </cell>
          <cell r="O2037" t="str">
            <v>材料</v>
          </cell>
          <cell r="P2037" t="str">
            <v>材料Ⅱ</v>
          </cell>
          <cell r="Q2037" t="str">
            <v>金属、非金属与采矿</v>
          </cell>
          <cell r="BC2037">
            <v>0</v>
          </cell>
          <cell r="BD2037">
            <v>2.9462738301559935E-2</v>
          </cell>
          <cell r="BE2037">
            <v>-0.51785714285714279</v>
          </cell>
          <cell r="BF2037">
            <v>0.20020799636840819</v>
          </cell>
          <cell r="BG2037">
            <v>-2.7923998832702638E-2</v>
          </cell>
        </row>
        <row r="2038">
          <cell r="D2038" t="str">
            <v>建筑机械与重型卡车</v>
          </cell>
          <cell r="M2038">
            <v>26.150399999999998</v>
          </cell>
          <cell r="N2038">
            <v>14.313789328703702</v>
          </cell>
          <cell r="O2038" t="str">
            <v>工业</v>
          </cell>
          <cell r="P2038" t="str">
            <v>资本货物</v>
          </cell>
          <cell r="Q2038" t="str">
            <v>机械</v>
          </cell>
          <cell r="BC2038">
            <v>-1.8739352640545198E-2</v>
          </cell>
          <cell r="BD2038">
            <v>5.1094890510948787E-2</v>
          </cell>
          <cell r="BE2038">
            <v>4.8225659690627781E-2</v>
          </cell>
          <cell r="BF2038">
            <v>0.55777198791503901</v>
          </cell>
          <cell r="BG2038">
            <v>0.11084400177001953</v>
          </cell>
        </row>
        <row r="2039">
          <cell r="D2039" t="str">
            <v>建筑机械与重型卡车</v>
          </cell>
          <cell r="M2039">
            <v>28.907999999999998</v>
          </cell>
          <cell r="N2039">
            <v>15.821653998670369</v>
          </cell>
          <cell r="O2039" t="str">
            <v>工业</v>
          </cell>
          <cell r="P2039" t="str">
            <v>资本货物</v>
          </cell>
          <cell r="Q2039" t="str">
            <v>机械</v>
          </cell>
          <cell r="BC2039">
            <v>4.5096635647816678E-2</v>
          </cell>
          <cell r="BD2039">
            <v>-1.2178619756427585E-2</v>
          </cell>
          <cell r="BE2039">
            <v>-1.9476158495634714E-2</v>
          </cell>
          <cell r="BF2039">
            <v>0.68528396606445308</v>
          </cell>
          <cell r="BG2039">
            <v>0.22195199966430665</v>
          </cell>
        </row>
        <row r="2040">
          <cell r="D2040" t="str">
            <v>电影与娱乐</v>
          </cell>
          <cell r="M2040">
            <v>181.02920946239999</v>
          </cell>
          <cell r="N2040">
            <v>99.040551084179242</v>
          </cell>
          <cell r="O2040" t="str">
            <v>可选消费</v>
          </cell>
          <cell r="P2040" t="str">
            <v>媒体Ⅱ</v>
          </cell>
          <cell r="Q2040" t="str">
            <v>媒体Ⅲ</v>
          </cell>
          <cell r="BC2040">
            <v>-2.3431594860166327E-2</v>
          </cell>
          <cell r="BD2040">
            <v>-0.1357859531772575</v>
          </cell>
          <cell r="BE2040">
            <v>-0.40323325635103924</v>
          </cell>
          <cell r="BF2040">
            <v>0.29728799819946289</v>
          </cell>
          <cell r="BG2040">
            <v>0.43062000274658202</v>
          </cell>
        </row>
        <row r="2041">
          <cell r="D2041" t="str">
            <v>电力</v>
          </cell>
          <cell r="M2041">
            <v>61.240679753599998</v>
          </cell>
          <cell r="N2041">
            <v>33.504050915450001</v>
          </cell>
          <cell r="O2041" t="str">
            <v>公用事业</v>
          </cell>
          <cell r="P2041" t="str">
            <v>公用事业Ⅱ</v>
          </cell>
          <cell r="Q2041" t="str">
            <v>电力Ⅲ</v>
          </cell>
          <cell r="BC2041">
            <v>1.4985014985015021E-2</v>
          </cell>
          <cell r="BD2041">
            <v>-8.878923766816145E-2</v>
          </cell>
          <cell r="BE2041">
            <v>0.12888888888888891</v>
          </cell>
          <cell r="BF2041">
            <v>0.61705200195312504</v>
          </cell>
          <cell r="BG2041">
            <v>0.18973199844360353</v>
          </cell>
        </row>
        <row r="2042">
          <cell r="D2042" t="str">
            <v>百货商店</v>
          </cell>
          <cell r="M2042">
            <v>56.137062463999996</v>
          </cell>
          <cell r="N2042">
            <v>30.710875952046912</v>
          </cell>
          <cell r="O2042" t="str">
            <v>可选消费</v>
          </cell>
          <cell r="P2042" t="str">
            <v>零售业</v>
          </cell>
          <cell r="Q2042" t="str">
            <v>多元化零售</v>
          </cell>
          <cell r="BC2042">
            <v>5.8723404255319106E-2</v>
          </cell>
          <cell r="BD2042">
            <v>-3.3035367275553881E-2</v>
          </cell>
          <cell r="BE2042">
            <v>0.41283361726291878</v>
          </cell>
          <cell r="BF2042">
            <v>0.52400398254394531</v>
          </cell>
          <cell r="BG2042">
            <v>5.7564001083374026E-2</v>
          </cell>
        </row>
        <row r="2043">
          <cell r="D2043" t="str">
            <v>基础化工</v>
          </cell>
          <cell r="M2043">
            <v>52.945412000000005</v>
          </cell>
          <cell r="N2043">
            <v>28.96021825553111</v>
          </cell>
          <cell r="O2043" t="str">
            <v>材料</v>
          </cell>
          <cell r="P2043" t="str">
            <v>材料Ⅱ</v>
          </cell>
          <cell r="Q2043" t="str">
            <v>化工</v>
          </cell>
          <cell r="BC2043">
            <v>0.14873140857392836</v>
          </cell>
          <cell r="BD2043">
            <v>0.1527655838454785</v>
          </cell>
          <cell r="BE2043">
            <v>5.2319530324102456E-2</v>
          </cell>
          <cell r="BF2043">
            <v>0.77650802612304692</v>
          </cell>
          <cell r="BG2043">
            <v>0</v>
          </cell>
        </row>
        <row r="2044">
          <cell r="D2044" t="str">
            <v>电力</v>
          </cell>
          <cell r="M2044">
            <v>72.793516319999981</v>
          </cell>
          <cell r="N2044">
            <v>39.816347541881164</v>
          </cell>
          <cell r="O2044" t="str">
            <v>公用事业</v>
          </cell>
          <cell r="P2044" t="str">
            <v>公用事业Ⅱ</v>
          </cell>
          <cell r="Q2044" t="str">
            <v>电力Ⅲ</v>
          </cell>
          <cell r="BC2044">
            <v>-1.9801980198019382E-3</v>
          </cell>
          <cell r="BD2044">
            <v>-7.1823204419889444E-2</v>
          </cell>
          <cell r="BE2044">
            <v>-0.31307211393943379</v>
          </cell>
          <cell r="BF2044">
            <v>0.31649999618530272</v>
          </cell>
          <cell r="BG2044">
            <v>0.15404399871826172</v>
          </cell>
        </row>
        <row r="2045">
          <cell r="D2045" t="str">
            <v>建材</v>
          </cell>
          <cell r="M2045">
            <v>64.828950000000006</v>
          </cell>
          <cell r="N2045">
            <v>35.456566098571308</v>
          </cell>
          <cell r="O2045" t="str">
            <v>材料</v>
          </cell>
          <cell r="P2045" t="str">
            <v>材料Ⅱ</v>
          </cell>
          <cell r="Q2045" t="str">
            <v>建材Ⅲ</v>
          </cell>
          <cell r="BC2045">
            <v>7.6169749727965294E-2</v>
          </cell>
          <cell r="BD2045">
            <v>-1.0101010101009886E-3</v>
          </cell>
          <cell r="BE2045">
            <v>0.20376427682418177</v>
          </cell>
          <cell r="BF2045">
            <v>0.58492801666259764</v>
          </cell>
          <cell r="BG2045">
            <v>0.15580800056457519</v>
          </cell>
        </row>
        <row r="2046">
          <cell r="D2046" t="str">
            <v>机动车零配件与设备</v>
          </cell>
          <cell r="M2046">
            <v>51.331500000000005</v>
          </cell>
          <cell r="N2046">
            <v>28.074407873685189</v>
          </cell>
          <cell r="O2046" t="str">
            <v>可选消费</v>
          </cell>
          <cell r="P2046" t="str">
            <v>汽车与汽车零部件</v>
          </cell>
          <cell r="Q2046" t="str">
            <v>汽车零配件</v>
          </cell>
          <cell r="BC2046">
            <v>1.6666666666666705E-2</v>
          </cell>
          <cell r="BD2046">
            <v>1.328903654485061E-2</v>
          </cell>
          <cell r="BE2046">
            <v>0.36782878588878321</v>
          </cell>
          <cell r="BF2046">
            <v>0.60299999237060542</v>
          </cell>
          <cell r="BG2046">
            <v>0.13672800064086915</v>
          </cell>
        </row>
        <row r="2047">
          <cell r="D2047" t="str">
            <v>食品加工与肉类</v>
          </cell>
          <cell r="M2047">
            <v>299.38754999999998</v>
          </cell>
          <cell r="N2047">
            <v>163.70886450121031</v>
          </cell>
          <cell r="O2047" t="str">
            <v>日常消费</v>
          </cell>
          <cell r="P2047" t="str">
            <v>食品、饮料与烟草</v>
          </cell>
          <cell r="Q2047" t="str">
            <v>食品</v>
          </cell>
          <cell r="BC2047">
            <v>0.108141447368421</v>
          </cell>
          <cell r="BD2047">
            <v>0.14583333333333331</v>
          </cell>
          <cell r="BE2047">
            <v>0.5391205025699598</v>
          </cell>
          <cell r="BF2047">
            <v>0.67674003601074217</v>
          </cell>
          <cell r="BG2047">
            <v>0.1398960018157959</v>
          </cell>
        </row>
        <row r="2048">
          <cell r="D2048" t="str">
            <v>石油天然气设备与服务</v>
          </cell>
          <cell r="M2048">
            <v>31.664659455000002</v>
          </cell>
          <cell r="N2048">
            <v>17.314506095281168</v>
          </cell>
          <cell r="O2048" t="str">
            <v>能源</v>
          </cell>
          <cell r="P2048" t="str">
            <v>能源Ⅱ</v>
          </cell>
          <cell r="Q2048" t="str">
            <v>能源设备与服务</v>
          </cell>
          <cell r="BC2048">
            <v>6.1919504643963364E-3</v>
          </cell>
          <cell r="BD2048">
            <v>5.7483731019522706E-2</v>
          </cell>
          <cell r="BE2048">
            <v>-0.32922114426230625</v>
          </cell>
          <cell r="BF2048">
            <v>0.14336400032043456</v>
          </cell>
          <cell r="BG2048">
            <v>0.15943200111389161</v>
          </cell>
        </row>
        <row r="2049">
          <cell r="D2049" t="str">
            <v>电子设备和仪器</v>
          </cell>
          <cell r="M2049">
            <v>64.082480000000004</v>
          </cell>
          <cell r="N2049">
            <v>35.040473293887032</v>
          </cell>
          <cell r="O2049" t="str">
            <v>信息技术</v>
          </cell>
          <cell r="P2049" t="str">
            <v>技术硬件与设备</v>
          </cell>
          <cell r="Q2049" t="str">
            <v>电子设备、仪器和元件</v>
          </cell>
          <cell r="BC2049">
            <v>-4.0745052386495867E-2</v>
          </cell>
          <cell r="BD2049">
            <v>-7.6703677294489167E-2</v>
          </cell>
          <cell r="BE2049">
            <v>0</v>
          </cell>
          <cell r="BF2049">
            <v>0</v>
          </cell>
          <cell r="BG2049">
            <v>0</v>
          </cell>
        </row>
        <row r="2050">
          <cell r="D2050" t="str">
            <v>食品加工与肉类</v>
          </cell>
          <cell r="M2050">
            <v>60.160119161999994</v>
          </cell>
          <cell r="N2050">
            <v>32.892857502811111</v>
          </cell>
          <cell r="O2050" t="str">
            <v>日常消费</v>
          </cell>
          <cell r="P2050" t="str">
            <v>食品、饮料与烟草</v>
          </cell>
          <cell r="Q2050" t="str">
            <v>食品</v>
          </cell>
          <cell r="BC2050">
            <v>1.1673151750972744E-2</v>
          </cell>
          <cell r="BD2050">
            <v>-0.11060433295324969</v>
          </cell>
          <cell r="BE2050">
            <v>-3.4653465346534684E-2</v>
          </cell>
          <cell r="BF2050">
            <v>0.611171989440918</v>
          </cell>
          <cell r="BG2050">
            <v>1.9115999937057496E-2</v>
          </cell>
        </row>
        <row r="2051">
          <cell r="D2051" t="str">
            <v>基础化工</v>
          </cell>
          <cell r="M2051">
            <v>66.47999999999999</v>
          </cell>
          <cell r="N2051">
            <v>36.345601497864578</v>
          </cell>
          <cell r="O2051" t="str">
            <v>材料</v>
          </cell>
          <cell r="P2051" t="str">
            <v>材料Ⅱ</v>
          </cell>
          <cell r="Q2051" t="str">
            <v>化工</v>
          </cell>
          <cell r="BC2051">
            <v>0.11244979919678719</v>
          </cell>
          <cell r="BD2051">
            <v>1.4461315979753849E-3</v>
          </cell>
          <cell r="BE2051">
            <v>0.71836228287841175</v>
          </cell>
          <cell r="BF2051">
            <v>0.72782402038574223</v>
          </cell>
          <cell r="BG2051">
            <v>0.26553600311279296</v>
          </cell>
        </row>
        <row r="2052">
          <cell r="D2052" t="str">
            <v>家用器具与特殊消费品</v>
          </cell>
          <cell r="M2052">
            <v>37.884</v>
          </cell>
          <cell r="N2052">
            <v>20.710864464645063</v>
          </cell>
          <cell r="O2052" t="str">
            <v>可选消费</v>
          </cell>
          <cell r="P2052" t="str">
            <v>耐用消费品与服装</v>
          </cell>
          <cell r="Q2052" t="str">
            <v>家庭耐用消费品</v>
          </cell>
          <cell r="BC2052">
            <v>0</v>
          </cell>
          <cell r="BD2052">
            <v>3.3613445378151224E-2</v>
          </cell>
          <cell r="BE2052">
            <v>0.59444627171903885</v>
          </cell>
          <cell r="BF2052">
            <v>0</v>
          </cell>
          <cell r="BG2052">
            <v>0</v>
          </cell>
        </row>
        <row r="2053">
          <cell r="D2053" t="str">
            <v>电子元件</v>
          </cell>
          <cell r="M2053">
            <v>32.25497</v>
          </cell>
          <cell r="N2053">
            <v>17.633428430089587</v>
          </cell>
          <cell r="O2053" t="str">
            <v>信息技术</v>
          </cell>
          <cell r="P2053" t="str">
            <v>技术硬件与设备</v>
          </cell>
          <cell r="Q2053" t="str">
            <v>电子设备、仪器和元件</v>
          </cell>
          <cell r="BC2053">
            <v>1.2669287898645659E-2</v>
          </cell>
          <cell r="BD2053">
            <v>-8.0158730158730138E-2</v>
          </cell>
          <cell r="BE2053">
            <v>-0.12564103939007223</v>
          </cell>
          <cell r="BF2053">
            <v>0.45853199005126954</v>
          </cell>
          <cell r="BG2053">
            <v>0</v>
          </cell>
        </row>
        <row r="2054">
          <cell r="D2054" t="str">
            <v>金属非金属</v>
          </cell>
          <cell r="M2054">
            <v>58.309857391499996</v>
          </cell>
          <cell r="N2054">
            <v>31.873390898875922</v>
          </cell>
          <cell r="O2054" t="str">
            <v>材料</v>
          </cell>
          <cell r="P2054" t="str">
            <v>材料Ⅱ</v>
          </cell>
          <cell r="Q2054" t="str">
            <v>金属、非金属与采矿</v>
          </cell>
          <cell r="BC2054">
            <v>7.3573573573573511E-2</v>
          </cell>
          <cell r="BD2054">
            <v>8.7176887987835724E-2</v>
          </cell>
          <cell r="BE2054">
            <v>0.14767255216693406</v>
          </cell>
          <cell r="BF2054">
            <v>0.73456802368164065</v>
          </cell>
          <cell r="BG2054">
            <v>0.2401919937133789</v>
          </cell>
        </row>
        <row r="2055">
          <cell r="D2055" t="str">
            <v>信息科技咨询与其它服务</v>
          </cell>
          <cell r="M2055">
            <v>67.430000000000007</v>
          </cell>
          <cell r="N2055">
            <v>36.852870142776894</v>
          </cell>
          <cell r="O2055" t="str">
            <v>信息技术</v>
          </cell>
          <cell r="P2055" t="str">
            <v>软件与服务</v>
          </cell>
          <cell r="Q2055" t="str">
            <v>信息技术服务</v>
          </cell>
          <cell r="BC2055">
            <v>6.3061642755793901E-2</v>
          </cell>
          <cell r="BD2055">
            <v>2.570733191359921E-2</v>
          </cell>
          <cell r="BE2055">
            <v>0.18655277271132956</v>
          </cell>
          <cell r="BF2055">
            <v>0</v>
          </cell>
          <cell r="BG2055">
            <v>0</v>
          </cell>
        </row>
        <row r="2056">
          <cell r="D2056" t="str">
            <v>水务</v>
          </cell>
          <cell r="M2056">
            <v>48.748714179800004</v>
          </cell>
          <cell r="N2056">
            <v>26.638657485204487</v>
          </cell>
          <cell r="O2056" t="str">
            <v>公用事业</v>
          </cell>
          <cell r="P2056" t="str">
            <v>公用事业Ⅱ</v>
          </cell>
          <cell r="Q2056" t="str">
            <v>水务Ⅲ</v>
          </cell>
          <cell r="BC2056">
            <v>-1.0035842293906723E-2</v>
          </cell>
          <cell r="BD2056">
            <v>-0.13849033063006866</v>
          </cell>
          <cell r="BE2056">
            <v>-0.12240841985683422</v>
          </cell>
          <cell r="BF2056">
            <v>0.53868000030517582</v>
          </cell>
          <cell r="BG2056">
            <v>0.10458000183105469</v>
          </cell>
        </row>
        <row r="2057">
          <cell r="D2057" t="str">
            <v>医疗保健技术</v>
          </cell>
          <cell r="M2057">
            <v>116.16058509380001</v>
          </cell>
          <cell r="N2057">
            <v>63.471547948076974</v>
          </cell>
          <cell r="O2057" t="str">
            <v>医疗保健</v>
          </cell>
          <cell r="P2057" t="str">
            <v>医疗保健设备与服务</v>
          </cell>
          <cell r="Q2057" t="str">
            <v>医疗保健技术Ⅲ</v>
          </cell>
          <cell r="BC2057">
            <v>0.10382978723404261</v>
          </cell>
          <cell r="BD2057">
            <v>2.6107594936708865E-2</v>
          </cell>
          <cell r="BE2057">
            <v>-0.3673170731707317</v>
          </cell>
          <cell r="BF2057">
            <v>1.0173600006103516</v>
          </cell>
          <cell r="BG2057">
            <v>0.43438800811767581</v>
          </cell>
        </row>
        <row r="2058">
          <cell r="D2058" t="str">
            <v>房地产开发</v>
          </cell>
          <cell r="M2058">
            <v>138.03553550699999</v>
          </cell>
          <cell r="N2058">
            <v>75.407017403940742</v>
          </cell>
          <cell r="O2058" t="str">
            <v>金融</v>
          </cell>
          <cell r="P2058" t="str">
            <v>房地产</v>
          </cell>
          <cell r="Q2058" t="str">
            <v>房地产管理与开发</v>
          </cell>
          <cell r="BC2058">
            <v>0</v>
          </cell>
          <cell r="BD2058">
            <v>-7.8302450687387948E-2</v>
          </cell>
          <cell r="BE2058">
            <v>3.2819825853985282E-2</v>
          </cell>
          <cell r="BF2058">
            <v>0.49231201171875</v>
          </cell>
          <cell r="BG2058">
            <v>0.12825599670410157</v>
          </cell>
        </row>
        <row r="2059">
          <cell r="D2059" t="str">
            <v>电力</v>
          </cell>
          <cell r="M2059">
            <v>36.697060196400002</v>
          </cell>
          <cell r="N2059">
            <v>20.045130106228161</v>
          </cell>
          <cell r="O2059" t="str">
            <v>公用事业</v>
          </cell>
          <cell r="P2059" t="str">
            <v>公用事业Ⅱ</v>
          </cell>
          <cell r="Q2059" t="str">
            <v>电力Ⅲ</v>
          </cell>
          <cell r="BC2059">
            <v>6.2222222222222479E-3</v>
          </cell>
          <cell r="BD2059">
            <v>4.3317972350230473E-2</v>
          </cell>
          <cell r="BE2059">
            <v>3.7944331091439652E-2</v>
          </cell>
          <cell r="BF2059">
            <v>0.32050800323486328</v>
          </cell>
          <cell r="BG2059">
            <v>5.1455998420715333E-2</v>
          </cell>
        </row>
        <row r="2060">
          <cell r="D2060" t="str">
            <v>其他多元金融服务</v>
          </cell>
          <cell r="M2060">
            <v>40.847730739199996</v>
          </cell>
          <cell r="N2060">
            <v>22.309749866322399</v>
          </cell>
          <cell r="O2060" t="str">
            <v>金融</v>
          </cell>
          <cell r="P2060" t="str">
            <v>多元金融</v>
          </cell>
          <cell r="Q2060" t="str">
            <v>多元金融服务</v>
          </cell>
          <cell r="BC2060">
            <v>3.9242219215155624E-2</v>
          </cell>
          <cell r="BD2060">
            <v>4.3478260869565133E-2</v>
          </cell>
          <cell r="BE2060">
            <v>-0.33621712244060242</v>
          </cell>
          <cell r="BF2060">
            <v>-1.1627999544143676E-2</v>
          </cell>
          <cell r="BG2060">
            <v>8.6436004638671876E-2</v>
          </cell>
        </row>
        <row r="2061">
          <cell r="D2061" t="str">
            <v>航天航空与国防</v>
          </cell>
          <cell r="M2061">
            <v>82.250567000000004</v>
          </cell>
          <cell r="N2061">
            <v>44.908073177978522</v>
          </cell>
          <cell r="O2061" t="str">
            <v>工业</v>
          </cell>
          <cell r="P2061" t="str">
            <v>资本货物</v>
          </cell>
          <cell r="Q2061" t="str">
            <v>航空航天与国防Ⅲ</v>
          </cell>
          <cell r="BC2061">
            <v>8.0594405594405574E-2</v>
          </cell>
          <cell r="BD2061">
            <v>6.8452895419187573E-2</v>
          </cell>
          <cell r="BE2061">
            <v>0</v>
          </cell>
          <cell r="BF2061">
            <v>0</v>
          </cell>
          <cell r="BG2061">
            <v>0</v>
          </cell>
        </row>
        <row r="2062">
          <cell r="D2062" t="str">
            <v>金属与玻璃容器</v>
          </cell>
          <cell r="M2062">
            <v>79.916663469999989</v>
          </cell>
          <cell r="N2062">
            <v>43.632802370578517</v>
          </cell>
          <cell r="O2062" t="str">
            <v>材料</v>
          </cell>
          <cell r="P2062" t="str">
            <v>材料Ⅱ</v>
          </cell>
          <cell r="Q2062" t="str">
            <v>容器与包装</v>
          </cell>
          <cell r="BC2062">
            <v>1.6967126193001076E-2</v>
          </cell>
          <cell r="BD2062">
            <v>-7.3429951690821241E-2</v>
          </cell>
          <cell r="BE2062">
            <v>0</v>
          </cell>
          <cell r="BF2062">
            <v>0</v>
          </cell>
          <cell r="BG2062">
            <v>0</v>
          </cell>
        </row>
        <row r="2063">
          <cell r="D2063" t="str">
            <v>通信设备</v>
          </cell>
          <cell r="M2063">
            <v>105.6296053824</v>
          </cell>
          <cell r="N2063">
            <v>57.670874339830085</v>
          </cell>
          <cell r="O2063" t="str">
            <v>信息技术</v>
          </cell>
          <cell r="P2063" t="str">
            <v>技术硬件与设备</v>
          </cell>
          <cell r="Q2063" t="str">
            <v>通信设备Ⅲ</v>
          </cell>
          <cell r="BC2063">
            <v>3.0637254901960783E-2</v>
          </cell>
          <cell r="BD2063">
            <v>2.1871202916160352E-2</v>
          </cell>
          <cell r="BE2063">
            <v>-0.34710059395458409</v>
          </cell>
          <cell r="BF2063">
            <v>0.21837600708007812</v>
          </cell>
          <cell r="BG2063">
            <v>0.14259599685668944</v>
          </cell>
        </row>
        <row r="2064">
          <cell r="D2064" t="str">
            <v>信息科技咨询与其它服务</v>
          </cell>
          <cell r="M2064">
            <v>50.307516</v>
          </cell>
          <cell r="N2064">
            <v>27.464268821108146</v>
          </cell>
          <cell r="O2064" t="str">
            <v>信息技术</v>
          </cell>
          <cell r="P2064" t="str">
            <v>软件与服务</v>
          </cell>
          <cell r="Q2064" t="str">
            <v>信息技术服务</v>
          </cell>
          <cell r="BC2064">
            <v>2.6608910891089091E-2</v>
          </cell>
          <cell r="BD2064">
            <v>-8.9462129527991166E-2</v>
          </cell>
          <cell r="BE2064">
            <v>-0.27917215032085724</v>
          </cell>
          <cell r="BF2064">
            <v>0.46644001007080077</v>
          </cell>
          <cell r="BG2064">
            <v>0.2783639907836914</v>
          </cell>
        </row>
        <row r="2065">
          <cell r="D2065" t="str">
            <v>海港与服务</v>
          </cell>
          <cell r="M2065">
            <v>256.20882400000005</v>
          </cell>
          <cell r="N2065">
            <v>139.8632808835365</v>
          </cell>
          <cell r="O2065" t="str">
            <v>工业</v>
          </cell>
          <cell r="P2065" t="str">
            <v>运输</v>
          </cell>
          <cell r="Q2065" t="str">
            <v>交通基础设施</v>
          </cell>
          <cell r="BC2065">
            <v>0.11463414634146359</v>
          </cell>
          <cell r="BD2065">
            <v>8.2938388625592552E-2</v>
          </cell>
          <cell r="BE2065">
            <v>-0.32319161588631751</v>
          </cell>
          <cell r="BF2065">
            <v>0.3956639862060547</v>
          </cell>
          <cell r="BG2065">
            <v>8.775600433349609E-2</v>
          </cell>
        </row>
        <row r="2066">
          <cell r="D2066" t="str">
            <v>电力</v>
          </cell>
          <cell r="M2066">
            <v>234.58136199999998</v>
          </cell>
          <cell r="N2066">
            <v>128.04036668616212</v>
          </cell>
          <cell r="O2066" t="str">
            <v>公用事业</v>
          </cell>
          <cell r="P2066" t="str">
            <v>公用事业Ⅱ</v>
          </cell>
          <cell r="Q2066" t="str">
            <v>电力Ⅲ</v>
          </cell>
          <cell r="BC2066">
            <v>9.8389982110911843E-3</v>
          </cell>
          <cell r="BD2066">
            <v>-8.5089141004862298E-2</v>
          </cell>
          <cell r="BE2066">
            <v>-9.0204932421560871E-2</v>
          </cell>
          <cell r="BF2066">
            <v>0</v>
          </cell>
          <cell r="BG2066">
            <v>0</v>
          </cell>
        </row>
        <row r="2067">
          <cell r="D2067" t="str">
            <v>建材</v>
          </cell>
          <cell r="M2067">
            <v>24.563999999999997</v>
          </cell>
          <cell r="N2067">
            <v>13.407352567199073</v>
          </cell>
          <cell r="O2067" t="str">
            <v>材料</v>
          </cell>
          <cell r="P2067" t="str">
            <v>材料Ⅱ</v>
          </cell>
          <cell r="Q2067" t="str">
            <v>建材Ⅲ</v>
          </cell>
          <cell r="BC2067">
            <v>0</v>
          </cell>
          <cell r="BD2067">
            <v>0</v>
          </cell>
          <cell r="BE2067">
            <v>0.1459227467811158</v>
          </cell>
          <cell r="BF2067">
            <v>0.48184799194335937</v>
          </cell>
          <cell r="BG2067">
            <v>0.10611599922180176</v>
          </cell>
        </row>
        <row r="2068">
          <cell r="D2068" t="str">
            <v>化纤</v>
          </cell>
          <cell r="M2068">
            <v>347.25600000000003</v>
          </cell>
          <cell r="N2068">
            <v>189.50301643119968</v>
          </cell>
          <cell r="O2068" t="str">
            <v>材料</v>
          </cell>
          <cell r="P2068" t="str">
            <v>材料Ⅱ</v>
          </cell>
          <cell r="Q2068" t="str">
            <v>化工</v>
          </cell>
          <cell r="BC2068">
            <v>-3.1914893617021226E-2</v>
          </cell>
          <cell r="BD2068">
            <v>5.8960434445306423E-2</v>
          </cell>
          <cell r="BE2068">
            <v>0.45109541431649935</v>
          </cell>
          <cell r="BF2068">
            <v>0.70629600524902347</v>
          </cell>
          <cell r="BG2068">
            <v>5.3387999534606934E-2</v>
          </cell>
        </row>
        <row r="2069">
          <cell r="D2069" t="str">
            <v>电子设备和仪器</v>
          </cell>
          <cell r="M2069">
            <v>144.13954409999999</v>
          </cell>
          <cell r="N2069">
            <v>78.647856554857498</v>
          </cell>
          <cell r="O2069" t="str">
            <v>信息技术</v>
          </cell>
          <cell r="P2069" t="str">
            <v>技术硬件与设备</v>
          </cell>
          <cell r="Q2069" t="str">
            <v>电子设备、仪器和元件</v>
          </cell>
          <cell r="BC2069">
            <v>2.4346793349168654E-2</v>
          </cell>
          <cell r="BD2069">
            <v>-5.8406113537117915E-2</v>
          </cell>
          <cell r="BE2069">
            <v>0.2289473119800014</v>
          </cell>
          <cell r="BF2069">
            <v>0.68707199096679683</v>
          </cell>
          <cell r="BG2069">
            <v>0.29790000915527343</v>
          </cell>
        </row>
        <row r="2070">
          <cell r="D2070" t="str">
            <v>建筑产品</v>
          </cell>
          <cell r="M2070">
            <v>61.366950000000003</v>
          </cell>
          <cell r="N2070">
            <v>33.479643637628151</v>
          </cell>
          <cell r="O2070" t="str">
            <v>工业</v>
          </cell>
          <cell r="P2070" t="str">
            <v>资本货物</v>
          </cell>
          <cell r="Q2070" t="str">
            <v>建筑产品Ⅲ</v>
          </cell>
          <cell r="BC2070">
            <v>1.6817593790426893E-2</v>
          </cell>
          <cell r="BD2070">
            <v>-1.2562814070351714E-2</v>
          </cell>
          <cell r="BE2070">
            <v>0.28334366278617196</v>
          </cell>
          <cell r="BF2070">
            <v>0.23991600036621094</v>
          </cell>
          <cell r="BG2070">
            <v>3.0671999454498292E-2</v>
          </cell>
        </row>
        <row r="2071">
          <cell r="D2071" t="str">
            <v>金属非金属</v>
          </cell>
          <cell r="M2071">
            <v>100.58586815810001</v>
          </cell>
          <cell r="N2071">
            <v>54.874687529342602</v>
          </cell>
          <cell r="O2071" t="str">
            <v>材料</v>
          </cell>
          <cell r="P2071" t="str">
            <v>材料Ⅱ</v>
          </cell>
          <cell r="Q2071" t="str">
            <v>金属、非金属与采矿</v>
          </cell>
          <cell r="BC2071">
            <v>1.2790697674418745E-2</v>
          </cell>
          <cell r="BD2071">
            <v>-5.3260869565217223E-2</v>
          </cell>
          <cell r="BE2071">
            <v>-0.22920353982300881</v>
          </cell>
          <cell r="BF2071">
            <v>0.5319480133056641</v>
          </cell>
          <cell r="BG2071">
            <v>0.24708000183105469</v>
          </cell>
        </row>
        <row r="2072">
          <cell r="D2072" t="str">
            <v>建材</v>
          </cell>
          <cell r="M2072">
            <v>60.289232441100005</v>
          </cell>
          <cell r="N2072">
            <v>32.884850228743765</v>
          </cell>
          <cell r="O2072" t="str">
            <v>材料</v>
          </cell>
          <cell r="P2072" t="str">
            <v>材料Ⅱ</v>
          </cell>
          <cell r="Q2072" t="str">
            <v>建材Ⅲ</v>
          </cell>
          <cell r="BC2072">
            <v>8.0174927113702596E-2</v>
          </cell>
          <cell r="BD2072">
            <v>0.13302752293577982</v>
          </cell>
          <cell r="BE2072">
            <v>-0.16675534630054509</v>
          </cell>
          <cell r="BF2072">
            <v>0.18970800399780274</v>
          </cell>
          <cell r="BG2072">
            <v>0.31676399230957031</v>
          </cell>
        </row>
        <row r="2073">
          <cell r="D2073" t="str">
            <v>贸易公司与工业品经销商</v>
          </cell>
          <cell r="M2073">
            <v>29.881483257600003</v>
          </cell>
          <cell r="N2073">
            <v>16.297386023022703</v>
          </cell>
          <cell r="O2073" t="str">
            <v>工业</v>
          </cell>
          <cell r="P2073" t="str">
            <v>资本货物</v>
          </cell>
          <cell r="Q2073" t="str">
            <v>贸易公司与工业品经销商Ⅲ</v>
          </cell>
          <cell r="BC2073">
            <v>2.5796661608497803E-2</v>
          </cell>
          <cell r="BD2073">
            <v>3.8402457757296463E-2</v>
          </cell>
          <cell r="BE2073">
            <v>0.29346364014385151</v>
          </cell>
          <cell r="BF2073">
            <v>0.53222400665283198</v>
          </cell>
          <cell r="BG2073">
            <v>0.16280399322509764</v>
          </cell>
        </row>
        <row r="2074">
          <cell r="D2074" t="str">
            <v>食品加工与肉类</v>
          </cell>
          <cell r="M2074">
            <v>33.669764258000001</v>
          </cell>
          <cell r="N2074">
            <v>18.363398663390743</v>
          </cell>
          <cell r="O2074" t="str">
            <v>日常消费</v>
          </cell>
          <cell r="P2074" t="str">
            <v>食品、饮料与烟草</v>
          </cell>
          <cell r="Q2074" t="str">
            <v>食品</v>
          </cell>
          <cell r="BC2074">
            <v>9.5182138660399596E-2</v>
          </cell>
          <cell r="BD2074">
            <v>0.13106796116504854</v>
          </cell>
          <cell r="BE2074">
            <v>-0.27818589613479566</v>
          </cell>
          <cell r="BF2074">
            <v>0.57362400054931639</v>
          </cell>
          <cell r="BG2074">
            <v>8.480400085449219E-2</v>
          </cell>
        </row>
        <row r="2075">
          <cell r="D2075" t="str">
            <v>特种化工</v>
          </cell>
          <cell r="M2075">
            <v>32.369597339999999</v>
          </cell>
          <cell r="N2075">
            <v>17.653971208187766</v>
          </cell>
          <cell r="O2075" t="str">
            <v>材料</v>
          </cell>
          <cell r="P2075" t="str">
            <v>材料Ⅱ</v>
          </cell>
          <cell r="Q2075" t="str">
            <v>化工</v>
          </cell>
          <cell r="BC2075">
            <v>1.1804384485666152E-2</v>
          </cell>
          <cell r="BD2075">
            <v>-8.2644628099173261E-3</v>
          </cell>
          <cell r="BE2075">
            <v>-0.17104658985077054</v>
          </cell>
          <cell r="BF2075">
            <v>0.27483600616455078</v>
          </cell>
          <cell r="BG2075">
            <v>6.007199764251709E-2</v>
          </cell>
        </row>
        <row r="2076">
          <cell r="D2076" t="str">
            <v>办公服务与用品</v>
          </cell>
          <cell r="M2076">
            <v>66.164559645799997</v>
          </cell>
          <cell r="N2076">
            <v>36.084354258677152</v>
          </cell>
          <cell r="O2076" t="str">
            <v>工业</v>
          </cell>
          <cell r="P2076" t="str">
            <v>商业和专业服务</v>
          </cell>
          <cell r="Q2076" t="str">
            <v>商业服务与用品</v>
          </cell>
          <cell r="BC2076">
            <v>0</v>
          </cell>
          <cell r="BD2076">
            <v>6.0479041916167764E-2</v>
          </cell>
          <cell r="BE2076">
            <v>7.7427147644317726E-2</v>
          </cell>
          <cell r="BF2076">
            <v>0.43264801025390626</v>
          </cell>
          <cell r="BG2076">
            <v>0.24631200790405272</v>
          </cell>
        </row>
        <row r="2077">
          <cell r="D2077" t="str">
            <v>特种化工</v>
          </cell>
          <cell r="M2077">
            <v>60.634326399999992</v>
          </cell>
          <cell r="N2077">
            <v>33.066625765111105</v>
          </cell>
          <cell r="O2077" t="str">
            <v>材料</v>
          </cell>
          <cell r="P2077" t="str">
            <v>材料Ⅱ</v>
          </cell>
          <cell r="Q2077" t="str">
            <v>化工</v>
          </cell>
          <cell r="BC2077">
            <v>5.7784911717496126E-2</v>
          </cell>
          <cell r="BD2077">
            <v>9.9066044029352984E-2</v>
          </cell>
          <cell r="BE2077">
            <v>4.2391509320377281E-2</v>
          </cell>
          <cell r="BF2077">
            <v>0.38624401092529298</v>
          </cell>
          <cell r="BG2077">
            <v>0</v>
          </cell>
        </row>
        <row r="2078">
          <cell r="D2078" t="str">
            <v>纸包装</v>
          </cell>
          <cell r="M2078">
            <v>38.927999999999997</v>
          </cell>
          <cell r="N2078">
            <v>21.215984855978704</v>
          </cell>
          <cell r="O2078" t="str">
            <v>材料</v>
          </cell>
          <cell r="P2078" t="str">
            <v>材料Ⅱ</v>
          </cell>
          <cell r="Q2078" t="str">
            <v>容器与包装</v>
          </cell>
          <cell r="BC2078">
            <v>4.5417010734929578E-3</v>
          </cell>
          <cell r="BD2078">
            <v>3.9199504848359346E-3</v>
          </cell>
          <cell r="BE2078">
            <v>0</v>
          </cell>
          <cell r="BF2078">
            <v>0</v>
          </cell>
          <cell r="BG2078">
            <v>0</v>
          </cell>
        </row>
        <row r="2079">
          <cell r="D2079" t="str">
            <v>家用器具与特殊消费品</v>
          </cell>
          <cell r="M2079">
            <v>75.822120000000012</v>
          </cell>
          <cell r="N2079">
            <v>41.318975968833996</v>
          </cell>
          <cell r="O2079" t="str">
            <v>可选消费</v>
          </cell>
          <cell r="P2079" t="str">
            <v>耐用消费品与服装</v>
          </cell>
          <cell r="Q2079" t="str">
            <v>家庭耐用消费品</v>
          </cell>
          <cell r="BC2079">
            <v>5.7306590257879729E-2</v>
          </cell>
          <cell r="BD2079">
            <v>5.9479553903346218E-3</v>
          </cell>
          <cell r="BE2079">
            <v>1.8695138626007348</v>
          </cell>
          <cell r="BF2079">
            <v>0.955968017578125</v>
          </cell>
          <cell r="BG2079">
            <v>0.28652399063110351</v>
          </cell>
        </row>
        <row r="2080">
          <cell r="D2080" t="str">
            <v>房地产开发</v>
          </cell>
          <cell r="M2080">
            <v>34.522528339000004</v>
          </cell>
          <cell r="N2080">
            <v>18.802168644250003</v>
          </cell>
          <cell r="O2080" t="str">
            <v>金融</v>
          </cell>
          <cell r="P2080" t="str">
            <v>房地产</v>
          </cell>
          <cell r="Q2080" t="str">
            <v>房地产管理与开发</v>
          </cell>
          <cell r="BC2080">
            <v>0.14738897022938036</v>
          </cell>
          <cell r="BD2080">
            <v>0.146829268292683</v>
          </cell>
          <cell r="BE2080">
            <v>0.46206467661691569</v>
          </cell>
          <cell r="BF2080">
            <v>0.55472400665283206</v>
          </cell>
          <cell r="BG2080">
            <v>0.20074800491333009</v>
          </cell>
        </row>
        <row r="2081">
          <cell r="D2081" t="str">
            <v>建材</v>
          </cell>
          <cell r="M2081">
            <v>40.469011999999999</v>
          </cell>
          <cell r="N2081">
            <v>22.040480529190884</v>
          </cell>
          <cell r="O2081" t="str">
            <v>材料</v>
          </cell>
          <cell r="P2081" t="str">
            <v>材料Ⅱ</v>
          </cell>
          <cell r="Q2081" t="str">
            <v>建材Ⅲ</v>
          </cell>
          <cell r="BC2081">
            <v>-1.3233190271816917E-2</v>
          </cell>
          <cell r="BD2081">
            <v>-4.3305665824612408E-3</v>
          </cell>
          <cell r="BE2081">
            <v>0</v>
          </cell>
          <cell r="BF2081">
            <v>0</v>
          </cell>
          <cell r="BG2081">
            <v>0</v>
          </cell>
        </row>
        <row r="2082">
          <cell r="D2082" t="str">
            <v>大卖场与超市</v>
          </cell>
          <cell r="M2082">
            <v>41.363411159999998</v>
          </cell>
          <cell r="N2082">
            <v>22.5191799394618</v>
          </cell>
          <cell r="O2082" t="str">
            <v>日常消费</v>
          </cell>
          <cell r="P2082" t="str">
            <v>食品与主要用品零售Ⅱ</v>
          </cell>
          <cell r="Q2082" t="str">
            <v>食品与主要用品零售Ⅲ</v>
          </cell>
          <cell r="BC2082">
            <v>1.00300902708124E-2</v>
          </cell>
          <cell r="BD2082">
            <v>8.0080080080080149E-3</v>
          </cell>
          <cell r="BE2082">
            <v>-0.12192785927964259</v>
          </cell>
          <cell r="BF2082">
            <v>0.15886799812316896</v>
          </cell>
          <cell r="BG2082">
            <v>0</v>
          </cell>
        </row>
        <row r="2083">
          <cell r="D2083" t="str">
            <v>半导体产品</v>
          </cell>
          <cell r="M2083">
            <v>43.097599999999993</v>
          </cell>
          <cell r="N2083">
            <v>23.455973997940969</v>
          </cell>
          <cell r="O2083" t="str">
            <v>信息技术</v>
          </cell>
          <cell r="P2083" t="str">
            <v>半导体与半导体生产设备</v>
          </cell>
          <cell r="Q2083" t="str">
            <v>半导体产品与半导体设备</v>
          </cell>
          <cell r="BC2083">
            <v>3.0640668523676865E-2</v>
          </cell>
          <cell r="BD2083">
            <v>-5.2670080468178539E-2</v>
          </cell>
          <cell r="BE2083">
            <v>2.7845854305222264E-2</v>
          </cell>
          <cell r="BF2083">
            <v>0.40445999145507811</v>
          </cell>
          <cell r="BG2083">
            <v>0</v>
          </cell>
        </row>
        <row r="2084">
          <cell r="D2084" t="str">
            <v>金属非金属</v>
          </cell>
          <cell r="M2084">
            <v>32.524799999999999</v>
          </cell>
          <cell r="N2084">
            <v>17.6971937510388</v>
          </cell>
          <cell r="O2084" t="str">
            <v>材料</v>
          </cell>
          <cell r="P2084" t="str">
            <v>材料Ⅱ</v>
          </cell>
          <cell r="Q2084" t="str">
            <v>金属、非金属与采矿</v>
          </cell>
          <cell r="BC2084">
            <v>2.2539229671897469E-2</v>
          </cell>
          <cell r="BD2084">
            <v>-1.6060398078242794E-2</v>
          </cell>
          <cell r="BE2084">
            <v>0</v>
          </cell>
          <cell r="BF2084">
            <v>0</v>
          </cell>
          <cell r="BG2084">
            <v>0</v>
          </cell>
        </row>
        <row r="2085">
          <cell r="D2085" t="str">
            <v>房地产开发</v>
          </cell>
          <cell r="M2085">
            <v>62.627676962400002</v>
          </cell>
          <cell r="N2085">
            <v>34.074155855155425</v>
          </cell>
          <cell r="O2085" t="str">
            <v>金融</v>
          </cell>
          <cell r="P2085" t="str">
            <v>房地产</v>
          </cell>
          <cell r="Q2085" t="str">
            <v>房地产管理与开发</v>
          </cell>
          <cell r="BC2085">
            <v>4.2175360710321949E-2</v>
          </cell>
          <cell r="BD2085">
            <v>3.9867109634551631E-2</v>
          </cell>
          <cell r="BE2085">
            <v>-0.11655199114830783</v>
          </cell>
          <cell r="BF2085">
            <v>0.47755199432373047</v>
          </cell>
          <cell r="BG2085">
            <v>0.29073600769042968</v>
          </cell>
        </row>
        <row r="2086">
          <cell r="D2086" t="str">
            <v>电气部件与设备</v>
          </cell>
          <cell r="M2086">
            <v>57.904935608200006</v>
          </cell>
          <cell r="N2086">
            <v>31.504491036001529</v>
          </cell>
          <cell r="O2086" t="str">
            <v>工业</v>
          </cell>
          <cell r="P2086" t="str">
            <v>资本货物</v>
          </cell>
          <cell r="Q2086" t="str">
            <v>电气设备</v>
          </cell>
          <cell r="BC2086">
            <v>-1.2088650100738731E-2</v>
          </cell>
          <cell r="BD2086">
            <v>-5.5840821566110345E-2</v>
          </cell>
          <cell r="BE2086">
            <v>0.11955554264891546</v>
          </cell>
          <cell r="BF2086">
            <v>0.40773601531982423</v>
          </cell>
          <cell r="BG2086">
            <v>8.7804002761840819E-2</v>
          </cell>
        </row>
        <row r="2087">
          <cell r="D2087" t="str">
            <v>化纤</v>
          </cell>
          <cell r="M2087">
            <v>91.237935960600012</v>
          </cell>
          <cell r="N2087">
            <v>49.637723356722063</v>
          </cell>
          <cell r="O2087" t="str">
            <v>材料</v>
          </cell>
          <cell r="P2087" t="str">
            <v>材料Ⅱ</v>
          </cell>
          <cell r="Q2087" t="str">
            <v>化工</v>
          </cell>
          <cell r="BC2087">
            <v>2.8996865203761834E-2</v>
          </cell>
          <cell r="BD2087">
            <v>4.2063492063492157E-2</v>
          </cell>
          <cell r="BE2087">
            <v>0.30257936507936517</v>
          </cell>
          <cell r="BF2087">
            <v>0.64647598266601558</v>
          </cell>
          <cell r="BG2087">
            <v>0.19954799652099608</v>
          </cell>
        </row>
        <row r="2088">
          <cell r="D2088" t="str">
            <v>电气部件与设备</v>
          </cell>
          <cell r="M2088">
            <v>69.431323875200007</v>
          </cell>
          <cell r="N2088">
            <v>37.76408785359655</v>
          </cell>
          <cell r="O2088" t="str">
            <v>工业</v>
          </cell>
          <cell r="P2088" t="str">
            <v>资本货物</v>
          </cell>
          <cell r="Q2088" t="str">
            <v>电气设备</v>
          </cell>
          <cell r="BC2088">
            <v>0</v>
          </cell>
          <cell r="BD2088">
            <v>0</v>
          </cell>
          <cell r="BE2088">
            <v>-0.23952095808383225</v>
          </cell>
          <cell r="BF2088">
            <v>0.18307199478149414</v>
          </cell>
          <cell r="BG2088">
            <v>6.1872000694274905E-2</v>
          </cell>
        </row>
        <row r="2089">
          <cell r="D2089" t="str">
            <v>工业机械</v>
          </cell>
          <cell r="M2089">
            <v>46.8435988779</v>
          </cell>
          <cell r="N2089">
            <v>25.477865869943919</v>
          </cell>
          <cell r="O2089" t="str">
            <v>工业</v>
          </cell>
          <cell r="P2089" t="str">
            <v>资本货物</v>
          </cell>
          <cell r="Q2089" t="str">
            <v>机械</v>
          </cell>
          <cell r="BC2089">
            <v>-1.7939814814814947E-2</v>
          </cell>
          <cell r="BD2089">
            <v>-4.7164514317798986E-2</v>
          </cell>
          <cell r="BE2089">
            <v>-0.36446162357934486</v>
          </cell>
          <cell r="BF2089">
            <v>-6.0275998115539547E-2</v>
          </cell>
          <cell r="BG2089">
            <v>0</v>
          </cell>
        </row>
        <row r="2090">
          <cell r="D2090" t="str">
            <v>半导体产品</v>
          </cell>
          <cell r="M2090">
            <v>33.261702671999998</v>
          </cell>
          <cell r="N2090">
            <v>18.089508382765487</v>
          </cell>
          <cell r="O2090" t="str">
            <v>信息技术</v>
          </cell>
          <cell r="P2090" t="str">
            <v>半导体与半导体生产设备</v>
          </cell>
          <cell r="Q2090" t="str">
            <v>半导体产品与半导体设备</v>
          </cell>
          <cell r="BC2090">
            <v>5.9390048154092968E-2</v>
          </cell>
          <cell r="BD2090">
            <v>2.4844720496894294E-2</v>
          </cell>
          <cell r="BE2090">
            <v>-3.2258057469148539E-2</v>
          </cell>
          <cell r="BF2090">
            <v>9.4715995788574217E-2</v>
          </cell>
          <cell r="BG2090">
            <v>0</v>
          </cell>
        </row>
        <row r="2091">
          <cell r="D2091" t="str">
            <v>特种化工</v>
          </cell>
          <cell r="M2091">
            <v>83.939870958000014</v>
          </cell>
          <cell r="N2091">
            <v>45.647417925857333</v>
          </cell>
          <cell r="O2091" t="str">
            <v>材料</v>
          </cell>
          <cell r="P2091" t="str">
            <v>材料Ⅱ</v>
          </cell>
          <cell r="Q2091" t="str">
            <v>化工</v>
          </cell>
          <cell r="BC2091">
            <v>0.46550218340611371</v>
          </cell>
          <cell r="BD2091">
            <v>0.46550218340611371</v>
          </cell>
          <cell r="BE2091">
            <v>1.9967023212463464</v>
          </cell>
          <cell r="BF2091">
            <v>0.88993202209472655</v>
          </cell>
          <cell r="BG2091">
            <v>0.22197599411010743</v>
          </cell>
        </row>
        <row r="2092">
          <cell r="D2092" t="str">
            <v>环境与设施服务</v>
          </cell>
          <cell r="M2092">
            <v>98.268960000000007</v>
          </cell>
          <cell r="N2092">
            <v>53.439231132795506</v>
          </cell>
          <cell r="O2092" t="str">
            <v>工业</v>
          </cell>
          <cell r="P2092" t="str">
            <v>商业和专业服务</v>
          </cell>
          <cell r="Q2092" t="str">
            <v>商业服务与用品</v>
          </cell>
          <cell r="BC2092">
            <v>7.3622881355932229E-2</v>
          </cell>
          <cell r="BD2092">
            <v>-5.3835381982262238E-2</v>
          </cell>
          <cell r="BE2092">
            <v>8.3906318796724833E-2</v>
          </cell>
          <cell r="BF2092">
            <v>0</v>
          </cell>
          <cell r="BG2092">
            <v>0</v>
          </cell>
        </row>
        <row r="2093">
          <cell r="D2093" t="str">
            <v>金属与玻璃容器</v>
          </cell>
          <cell r="M2093">
            <v>38.90314</v>
          </cell>
          <cell r="N2093">
            <v>21.15449083194444</v>
          </cell>
          <cell r="O2093" t="str">
            <v>材料</v>
          </cell>
          <cell r="P2093" t="str">
            <v>材料Ⅱ</v>
          </cell>
          <cell r="Q2093" t="str">
            <v>容器与包装</v>
          </cell>
          <cell r="BC2093">
            <v>7.4526928675400145E-2</v>
          </cell>
          <cell r="BD2093">
            <v>6.8194217130387348E-3</v>
          </cell>
          <cell r="BE2093">
            <v>0</v>
          </cell>
          <cell r="BF2093">
            <v>0</v>
          </cell>
          <cell r="BG2093">
            <v>0</v>
          </cell>
        </row>
        <row r="2094">
          <cell r="D2094" t="str">
            <v>基础化工</v>
          </cell>
          <cell r="M2094">
            <v>31.584119520800005</v>
          </cell>
          <cell r="N2094">
            <v>17.174060757788276</v>
          </cell>
          <cell r="O2094" t="str">
            <v>材料</v>
          </cell>
          <cell r="P2094" t="str">
            <v>材料Ⅱ</v>
          </cell>
          <cell r="Q2094" t="str">
            <v>化工</v>
          </cell>
          <cell r="BC2094">
            <v>3.10442144873001E-2</v>
          </cell>
          <cell r="BD2094">
            <v>-7.4324324324324245E-2</v>
          </cell>
          <cell r="BE2094">
            <v>-0.26095751854349286</v>
          </cell>
          <cell r="BF2094">
            <v>0.23903999328613282</v>
          </cell>
          <cell r="BG2094">
            <v>0.12522000312805176</v>
          </cell>
        </row>
        <row r="2095">
          <cell r="D2095" t="str">
            <v>电影与娱乐</v>
          </cell>
          <cell r="M2095">
            <v>144.55732725280001</v>
          </cell>
          <cell r="N2095">
            <v>78.599565043494977</v>
          </cell>
          <cell r="O2095" t="str">
            <v>可选消费</v>
          </cell>
          <cell r="P2095" t="str">
            <v>媒体Ⅱ</v>
          </cell>
          <cell r="Q2095" t="str">
            <v>媒体Ⅲ</v>
          </cell>
          <cell r="BC2095">
            <v>2.8436018957345998E-2</v>
          </cell>
          <cell r="BD2095">
            <v>-0.1151885830784914</v>
          </cell>
          <cell r="BE2095">
            <v>-1.5314804310833782E-2</v>
          </cell>
          <cell r="BF2095">
            <v>1.0487039947509766</v>
          </cell>
          <cell r="BG2095">
            <v>0.39277198791503909</v>
          </cell>
        </row>
        <row r="2096">
          <cell r="D2096" t="str">
            <v>食品加工与肉类</v>
          </cell>
          <cell r="M2096">
            <v>63.377026830000005</v>
          </cell>
          <cell r="N2096">
            <v>34.459686783059574</v>
          </cell>
          <cell r="O2096" t="str">
            <v>日常消费</v>
          </cell>
          <cell r="P2096" t="str">
            <v>食品、饮料与烟草</v>
          </cell>
          <cell r="Q2096" t="str">
            <v>食品</v>
          </cell>
          <cell r="BC2096">
            <v>1.5801354401805936E-2</v>
          </cell>
          <cell r="BD2096">
            <v>-4.1193181818181823E-2</v>
          </cell>
          <cell r="BE2096">
            <v>-1.0836615814943681E-2</v>
          </cell>
          <cell r="BF2096">
            <v>0.60605998992919918</v>
          </cell>
          <cell r="BG2096">
            <v>0.18633600234985351</v>
          </cell>
        </row>
        <row r="2097">
          <cell r="D2097" t="str">
            <v>应用软件</v>
          </cell>
          <cell r="M2097">
            <v>84.187349999999995</v>
          </cell>
          <cell r="N2097">
            <v>45.765125184865184</v>
          </cell>
          <cell r="O2097" t="str">
            <v>信息技术</v>
          </cell>
          <cell r="P2097" t="str">
            <v>软件与服务</v>
          </cell>
          <cell r="Q2097" t="str">
            <v>软件</v>
          </cell>
          <cell r="BC2097">
            <v>0.30445969125214412</v>
          </cell>
          <cell r="BD2097">
            <v>0.22109826589595369</v>
          </cell>
          <cell r="BE2097">
            <v>-0.34549858148897755</v>
          </cell>
          <cell r="BF2097">
            <v>1.1342639923095703</v>
          </cell>
          <cell r="BG2097">
            <v>0</v>
          </cell>
        </row>
        <row r="2098">
          <cell r="D2098" t="str">
            <v>中药</v>
          </cell>
          <cell r="M2098">
            <v>45.215999999999994</v>
          </cell>
          <cell r="N2098">
            <v>24.573207569124694</v>
          </cell>
          <cell r="O2098" t="str">
            <v>医疗保健</v>
          </cell>
          <cell r="P2098" t="str">
            <v>制药、生物科技与生命科学</v>
          </cell>
          <cell r="Q2098" t="str">
            <v>制药</v>
          </cell>
          <cell r="BC2098">
            <v>1.2903225806451568E-2</v>
          </cell>
          <cell r="BD2098">
            <v>-1.2578616352201324E-2</v>
          </cell>
          <cell r="BE2098">
            <v>-4.458169270267414E-2</v>
          </cell>
          <cell r="BF2098">
            <v>2.5392000675201417E-2</v>
          </cell>
          <cell r="BG2098">
            <v>4.4567999839782713E-2</v>
          </cell>
        </row>
        <row r="2099">
          <cell r="D2099" t="str">
            <v>航天航空与国防</v>
          </cell>
          <cell r="M2099">
            <v>418.9559005305</v>
          </cell>
          <cell r="N2099">
            <v>227.64487313647527</v>
          </cell>
          <cell r="O2099" t="str">
            <v>工业</v>
          </cell>
          <cell r="P2099" t="str">
            <v>资本货物</v>
          </cell>
          <cell r="Q2099" t="str">
            <v>航空航天与国防Ⅲ</v>
          </cell>
          <cell r="BC2099">
            <v>7.1687840290381041E-2</v>
          </cell>
          <cell r="BD2099">
            <v>3.0840849578120524E-2</v>
          </cell>
          <cell r="BE2099">
            <v>4.1887702960604789E-2</v>
          </cell>
          <cell r="BF2099">
            <v>0.46338001251220701</v>
          </cell>
          <cell r="BG2099">
            <v>0.26085599899291995</v>
          </cell>
        </row>
        <row r="2100">
          <cell r="D2100" t="str">
            <v>机动车零配件与设备</v>
          </cell>
          <cell r="M2100">
            <v>70.216712999999999</v>
          </cell>
          <cell r="N2100">
            <v>38.147925508471609</v>
          </cell>
          <cell r="O2100" t="str">
            <v>可选消费</v>
          </cell>
          <cell r="P2100" t="str">
            <v>汽车与汽车零部件</v>
          </cell>
          <cell r="Q2100" t="str">
            <v>汽车零配件</v>
          </cell>
          <cell r="BC2100">
            <v>-6.4606741573033824E-2</v>
          </cell>
          <cell r="BD2100">
            <v>-0.127946127946128</v>
          </cell>
          <cell r="BE2100">
            <v>0.5306311423595893</v>
          </cell>
          <cell r="BF2100">
            <v>0.62499599456787114</v>
          </cell>
          <cell r="BG2100">
            <v>0.19231199264526366</v>
          </cell>
        </row>
        <row r="2101">
          <cell r="D2101" t="str">
            <v>酒店、度假村与豪华游轮</v>
          </cell>
          <cell r="M2101">
            <v>44.674379302200002</v>
          </cell>
          <cell r="N2101">
            <v>24.270861491012038</v>
          </cell>
          <cell r="O2101" t="str">
            <v>可选消费</v>
          </cell>
          <cell r="P2101" t="str">
            <v>消费者服务Ⅱ</v>
          </cell>
          <cell r="Q2101" t="str">
            <v>酒店、餐馆与休闲Ⅲ</v>
          </cell>
          <cell r="BC2101">
            <v>0</v>
          </cell>
          <cell r="BD2101">
            <v>0</v>
          </cell>
          <cell r="BE2101">
            <v>0.6024423337856174</v>
          </cell>
          <cell r="BF2101">
            <v>0.62529598236083983</v>
          </cell>
          <cell r="BG2101">
            <v>0.17355600357055664</v>
          </cell>
        </row>
        <row r="2102">
          <cell r="D2102" t="str">
            <v>农产品</v>
          </cell>
          <cell r="M2102">
            <v>67.584000000000003</v>
          </cell>
          <cell r="N2102">
            <v>36.714175421998611</v>
          </cell>
          <cell r="O2102" t="str">
            <v>日常消费</v>
          </cell>
          <cell r="P2102" t="str">
            <v>食品、饮料与烟草</v>
          </cell>
          <cell r="Q2102" t="str">
            <v>食品</v>
          </cell>
          <cell r="BC2102">
            <v>0</v>
          </cell>
          <cell r="BD2102">
            <v>0</v>
          </cell>
          <cell r="BE2102">
            <v>0.63014758510168367</v>
          </cell>
          <cell r="BF2102">
            <v>0.73885200500488279</v>
          </cell>
          <cell r="BG2102">
            <v>0</v>
          </cell>
        </row>
        <row r="2103">
          <cell r="D2103" t="str">
            <v>公路运输</v>
          </cell>
          <cell r="M2103">
            <v>35.712000000000003</v>
          </cell>
          <cell r="N2103">
            <v>19.399058047187221</v>
          </cell>
          <cell r="O2103" t="str">
            <v>工业</v>
          </cell>
          <cell r="P2103" t="str">
            <v>运输</v>
          </cell>
          <cell r="Q2103" t="str">
            <v>公路与铁路运输</v>
          </cell>
          <cell r="BC2103">
            <v>4.6781568765388741E-2</v>
          </cell>
          <cell r="BD2103">
            <v>-7.3382254836557321E-3</v>
          </cell>
          <cell r="BE2103">
            <v>0</v>
          </cell>
          <cell r="BF2103">
            <v>0</v>
          </cell>
          <cell r="BG2103">
            <v>0</v>
          </cell>
        </row>
        <row r="2104">
          <cell r="D2104" t="str">
            <v>工业机械</v>
          </cell>
          <cell r="M2104">
            <v>48.128</v>
          </cell>
          <cell r="N2104">
            <v>26.137746953959748</v>
          </cell>
          <cell r="O2104" t="str">
            <v>工业</v>
          </cell>
          <cell r="P2104" t="str">
            <v>资本货物</v>
          </cell>
          <cell r="Q2104" t="str">
            <v>机械</v>
          </cell>
          <cell r="BC2104">
            <v>3.4743722050223531E-2</v>
          </cell>
          <cell r="BD2104">
            <v>0.18378591105863826</v>
          </cell>
          <cell r="BE2104">
            <v>0.37515813473395732</v>
          </cell>
          <cell r="BF2104">
            <v>0</v>
          </cell>
          <cell r="BG2104">
            <v>0</v>
          </cell>
        </row>
        <row r="2105">
          <cell r="D2105" t="str">
            <v>石油天然气设备与服务</v>
          </cell>
          <cell r="M2105">
            <v>42.939944316000002</v>
          </cell>
          <cell r="N2105">
            <v>23.319812474954006</v>
          </cell>
          <cell r="O2105" t="str">
            <v>能源</v>
          </cell>
          <cell r="P2105" t="str">
            <v>能源Ⅱ</v>
          </cell>
          <cell r="Q2105" t="str">
            <v>能源设备与服务</v>
          </cell>
          <cell r="BC2105">
            <v>0.43594080338266394</v>
          </cell>
          <cell r="BD2105">
            <v>0.72236970046563853</v>
          </cell>
          <cell r="BE2105">
            <v>2.4679386662844878</v>
          </cell>
          <cell r="BF2105">
            <v>0.81267601013183599</v>
          </cell>
          <cell r="BG2105">
            <v>0.33394798278808596</v>
          </cell>
        </row>
        <row r="2106">
          <cell r="D2106" t="str">
            <v>消费电子产品</v>
          </cell>
          <cell r="M2106">
            <v>74.819757308199996</v>
          </cell>
          <cell r="N2106">
            <v>40.629810401909722</v>
          </cell>
          <cell r="O2106" t="str">
            <v>可选消费</v>
          </cell>
          <cell r="P2106" t="str">
            <v>耐用消费品与服装</v>
          </cell>
          <cell r="Q2106" t="str">
            <v>家庭耐用消费品</v>
          </cell>
          <cell r="BC2106">
            <v>0</v>
          </cell>
          <cell r="BD2106">
            <v>0</v>
          </cell>
          <cell r="BE2106">
            <v>-0.14565587734241914</v>
          </cell>
          <cell r="BF2106">
            <v>2.7420001029968263E-2</v>
          </cell>
          <cell r="BG2106">
            <v>0.2243400001525879</v>
          </cell>
        </row>
        <row r="2107">
          <cell r="D2107" t="str">
            <v>技术产品经销商</v>
          </cell>
          <cell r="M2107">
            <v>115.71131344240001</v>
          </cell>
          <cell r="N2107">
            <v>62.819451662978473</v>
          </cell>
          <cell r="O2107" t="str">
            <v>信息技术</v>
          </cell>
          <cell r="P2107" t="str">
            <v>技术硬件与设备</v>
          </cell>
          <cell r="Q2107" t="str">
            <v>电子设备、仪器和元件</v>
          </cell>
          <cell r="BC2107">
            <v>0</v>
          </cell>
          <cell r="BD2107">
            <v>0</v>
          </cell>
          <cell r="BE2107">
            <v>-0.22511097019657572</v>
          </cell>
          <cell r="BF2107">
            <v>0.41389198303222657</v>
          </cell>
          <cell r="BG2107">
            <v>0.15914400100708007</v>
          </cell>
        </row>
        <row r="2108">
          <cell r="D2108" t="str">
            <v>食品加工与肉类</v>
          </cell>
          <cell r="M2108">
            <v>80.102766806399998</v>
          </cell>
          <cell r="N2108">
            <v>43.48443422748889</v>
          </cell>
          <cell r="O2108" t="str">
            <v>日常消费</v>
          </cell>
          <cell r="P2108" t="str">
            <v>食品、饮料与烟草</v>
          </cell>
          <cell r="Q2108" t="str">
            <v>食品</v>
          </cell>
          <cell r="BC2108">
            <v>0.17866666666666664</v>
          </cell>
          <cell r="BD2108">
            <v>0.27807228915662646</v>
          </cell>
          <cell r="BE2108">
            <v>1.0462962962962961</v>
          </cell>
          <cell r="BF2108">
            <v>0.77224800109863279</v>
          </cell>
          <cell r="BG2108">
            <v>0.26282400131225586</v>
          </cell>
        </row>
        <row r="2109">
          <cell r="D2109" t="str">
            <v>出版</v>
          </cell>
          <cell r="M2109">
            <v>94.248884069999988</v>
          </cell>
          <cell r="N2109">
            <v>51.15115442897222</v>
          </cell>
          <cell r="O2109" t="str">
            <v>可选消费</v>
          </cell>
          <cell r="P2109" t="str">
            <v>媒体Ⅱ</v>
          </cell>
          <cell r="Q2109" t="str">
            <v>媒体Ⅲ</v>
          </cell>
          <cell r="BC2109">
            <v>3.9170506912442379E-2</v>
          </cell>
          <cell r="BD2109">
            <v>-7.7007700770077318E-3</v>
          </cell>
          <cell r="BE2109">
            <v>-0.34873679947246206</v>
          </cell>
          <cell r="BF2109">
            <v>8.939999580383301E-2</v>
          </cell>
          <cell r="BG2109">
            <v>0.12923999786376952</v>
          </cell>
        </row>
        <row r="2110">
          <cell r="D2110" t="str">
            <v>基础化工</v>
          </cell>
          <cell r="M2110">
            <v>29.54484205</v>
          </cell>
          <cell r="N2110">
            <v>16.033951829835651</v>
          </cell>
          <cell r="O2110" t="str">
            <v>材料</v>
          </cell>
          <cell r="P2110" t="str">
            <v>材料Ⅱ</v>
          </cell>
          <cell r="Q2110" t="str">
            <v>化工</v>
          </cell>
          <cell r="BC2110">
            <v>6.1810154525386565E-3</v>
          </cell>
          <cell r="BD2110">
            <v>6.1975768872320515E-2</v>
          </cell>
          <cell r="BE2110">
            <v>0.2700116677360006</v>
          </cell>
          <cell r="BF2110">
            <v>0.57085201263427732</v>
          </cell>
          <cell r="BG2110">
            <v>0.18225599288940431</v>
          </cell>
        </row>
        <row r="2111">
          <cell r="D2111" t="str">
            <v>应用软件</v>
          </cell>
          <cell r="M2111">
            <v>235.34403550300001</v>
          </cell>
          <cell r="N2111">
            <v>127.71772007668845</v>
          </cell>
          <cell r="O2111" t="str">
            <v>信息技术</v>
          </cell>
          <cell r="P2111" t="str">
            <v>软件与服务</v>
          </cell>
          <cell r="Q2111" t="str">
            <v>软件</v>
          </cell>
          <cell r="BC2111">
            <v>1.6639828234031255E-2</v>
          </cell>
          <cell r="BD2111">
            <v>-7.4291300097751686E-2</v>
          </cell>
          <cell r="BE2111">
            <v>-0.30484198751662989</v>
          </cell>
          <cell r="BF2111">
            <v>0.22860000610351563</v>
          </cell>
          <cell r="BG2111">
            <v>0.14325599670410155</v>
          </cell>
        </row>
        <row r="2112">
          <cell r="D2112" t="str">
            <v>消费电子产品</v>
          </cell>
          <cell r="M2112">
            <v>52.241081247999993</v>
          </cell>
          <cell r="N2112">
            <v>28.349977407150394</v>
          </cell>
          <cell r="O2112" t="str">
            <v>可选消费</v>
          </cell>
          <cell r="P2112" t="str">
            <v>耐用消费品与服装</v>
          </cell>
          <cell r="Q2112" t="str">
            <v>家庭耐用消费品</v>
          </cell>
          <cell r="BC2112">
            <v>3.3022861981371616E-2</v>
          </cell>
          <cell r="BD2112">
            <v>-5.2427184466019475E-2</v>
          </cell>
          <cell r="BE2112">
            <v>-0.2450495049504951</v>
          </cell>
          <cell r="BF2112">
            <v>0.41916000366210937</v>
          </cell>
          <cell r="BG2112">
            <v>6.3204002380371091E-2</v>
          </cell>
        </row>
        <row r="2113">
          <cell r="D2113" t="str">
            <v>钢铁</v>
          </cell>
          <cell r="M2113">
            <v>106.45907404</v>
          </cell>
          <cell r="N2113">
            <v>57.771096648122231</v>
          </cell>
          <cell r="O2113" t="str">
            <v>材料</v>
          </cell>
          <cell r="P2113" t="str">
            <v>材料Ⅱ</v>
          </cell>
          <cell r="Q2113" t="str">
            <v>金属、非金属与采矿</v>
          </cell>
          <cell r="BC2113">
            <v>0</v>
          </cell>
          <cell r="BD2113">
            <v>0</v>
          </cell>
          <cell r="BE2113">
            <v>-0.20145190562613421</v>
          </cell>
          <cell r="BF2113">
            <v>0.64431602478027339</v>
          </cell>
          <cell r="BG2113">
            <v>0.11854800224304199</v>
          </cell>
        </row>
        <row r="2114">
          <cell r="D2114" t="str">
            <v>互联网软件与服务</v>
          </cell>
          <cell r="M2114">
            <v>52.770320967000004</v>
          </cell>
          <cell r="N2114">
            <v>28.629199492151525</v>
          </cell>
          <cell r="O2114" t="str">
            <v>信息技术</v>
          </cell>
          <cell r="P2114" t="str">
            <v>软件与服务</v>
          </cell>
          <cell r="Q2114" t="str">
            <v>互联网软件与服务Ⅲ</v>
          </cell>
          <cell r="BC2114">
            <v>1.2631578947368402E-2</v>
          </cell>
          <cell r="BD2114">
            <v>-3.9920159680638702E-2</v>
          </cell>
          <cell r="BE2114">
            <v>-0.29341435334023686</v>
          </cell>
          <cell r="BF2114">
            <v>0.50379600524902346</v>
          </cell>
          <cell r="BG2114">
            <v>0.40212001800537112</v>
          </cell>
        </row>
        <row r="2115">
          <cell r="D2115" t="str">
            <v>电子元件</v>
          </cell>
          <cell r="M2115">
            <v>40.232807999999999</v>
          </cell>
          <cell r="N2115">
            <v>21.826951289900002</v>
          </cell>
          <cell r="O2115" t="str">
            <v>信息技术</v>
          </cell>
          <cell r="P2115" t="str">
            <v>技术硬件与设备</v>
          </cell>
          <cell r="Q2115" t="str">
            <v>电子设备、仪器和元件</v>
          </cell>
          <cell r="BC2115">
            <v>-4.0133779264214083E-2</v>
          </cell>
          <cell r="BD2115">
            <v>9.6466093600764066E-2</v>
          </cell>
          <cell r="BE2115">
            <v>-8.3711371398035847E-2</v>
          </cell>
          <cell r="BF2115">
            <v>0.35023200988769532</v>
          </cell>
          <cell r="BG2115">
            <v>0</v>
          </cell>
        </row>
        <row r="2116">
          <cell r="D2116" t="str">
            <v>调查和咨询服务</v>
          </cell>
          <cell r="M2116">
            <v>35.650920999999997</v>
          </cell>
          <cell r="N2116">
            <v>19.338845722435412</v>
          </cell>
          <cell r="O2116" t="str">
            <v>工业</v>
          </cell>
          <cell r="P2116" t="str">
            <v>商业和专业服务</v>
          </cell>
          <cell r="Q2116" t="str">
            <v>专业服务</v>
          </cell>
          <cell r="BC2116">
            <v>-1.3788348845225857E-2</v>
          </cell>
          <cell r="BD2116">
            <v>3.6218761318362915E-2</v>
          </cell>
          <cell r="BE2116">
            <v>-0.21935938237693786</v>
          </cell>
          <cell r="BF2116">
            <v>0</v>
          </cell>
          <cell r="BG2116">
            <v>0</v>
          </cell>
        </row>
        <row r="2117">
          <cell r="D2117" t="str">
            <v>基础化工</v>
          </cell>
          <cell r="M2117">
            <v>109.640779146</v>
          </cell>
          <cell r="N2117">
            <v>59.468302478799998</v>
          </cell>
          <cell r="O2117" t="str">
            <v>材料</v>
          </cell>
          <cell r="P2117" t="str">
            <v>材料Ⅱ</v>
          </cell>
          <cell r="Q2117" t="str">
            <v>化工</v>
          </cell>
          <cell r="BC2117">
            <v>2.9224904701397655E-2</v>
          </cell>
          <cell r="BD2117">
            <v>-3.3412887828162423E-2</v>
          </cell>
          <cell r="BE2117">
            <v>-0.27158273381294962</v>
          </cell>
          <cell r="BF2117">
            <v>0.87184799194335938</v>
          </cell>
          <cell r="BG2117">
            <v>0.2449679946899414</v>
          </cell>
        </row>
        <row r="2118">
          <cell r="D2118" t="str">
            <v>工业机械</v>
          </cell>
          <cell r="M2118">
            <v>34.44</v>
          </cell>
          <cell r="N2118">
            <v>18.67591077547463</v>
          </cell>
          <cell r="O2118" t="str">
            <v>工业</v>
          </cell>
          <cell r="P2118" t="str">
            <v>资本货物</v>
          </cell>
          <cell r="Q2118" t="str">
            <v>机械</v>
          </cell>
          <cell r="BC2118">
            <v>-5.5440055440055492E-3</v>
          </cell>
          <cell r="BD2118">
            <v>-7.8059749437841303E-2</v>
          </cell>
          <cell r="BE2118">
            <v>5.13295218345938E-2</v>
          </cell>
          <cell r="BF2118">
            <v>0</v>
          </cell>
          <cell r="BG2118">
            <v>0</v>
          </cell>
        </row>
        <row r="2119">
          <cell r="D2119" t="str">
            <v>工业机械</v>
          </cell>
          <cell r="M2119">
            <v>45.85</v>
          </cell>
          <cell r="N2119">
            <v>24.85878384738</v>
          </cell>
          <cell r="O2119" t="str">
            <v>工业</v>
          </cell>
          <cell r="P2119" t="str">
            <v>资本货物</v>
          </cell>
          <cell r="Q2119" t="str">
            <v>机械</v>
          </cell>
          <cell r="BC2119">
            <v>2.7796458193230261E-2</v>
          </cell>
          <cell r="BD2119">
            <v>-4.3196994991652762E-2</v>
          </cell>
          <cell r="BE2119">
            <v>0</v>
          </cell>
          <cell r="BF2119">
            <v>0</v>
          </cell>
          <cell r="BG2119">
            <v>0</v>
          </cell>
        </row>
        <row r="2120">
          <cell r="D2120" t="str">
            <v>工业机械</v>
          </cell>
          <cell r="M2120">
            <v>57.501337344</v>
          </cell>
          <cell r="N2120">
            <v>31.174846269377696</v>
          </cell>
          <cell r="O2120" t="str">
            <v>工业</v>
          </cell>
          <cell r="P2120" t="str">
            <v>资本货物</v>
          </cell>
          <cell r="Q2120" t="str">
            <v>机械</v>
          </cell>
          <cell r="BC2120">
            <v>6.2261753494282E-2</v>
          </cell>
          <cell r="BD2120">
            <v>-4.7619047619048716E-3</v>
          </cell>
          <cell r="BE2120">
            <v>0.19258202567760338</v>
          </cell>
          <cell r="BF2120">
            <v>0.26476800918579102</v>
          </cell>
          <cell r="BG2120">
            <v>0.21172800064086914</v>
          </cell>
        </row>
        <row r="2121">
          <cell r="D2121" t="str">
            <v>建筑与工程</v>
          </cell>
          <cell r="M2121">
            <v>129.24160000000001</v>
          </cell>
          <cell r="N2121">
            <v>70.027557790361115</v>
          </cell>
          <cell r="O2121" t="str">
            <v>工业</v>
          </cell>
          <cell r="P2121" t="str">
            <v>资本货物</v>
          </cell>
          <cell r="Q2121" t="str">
            <v>建筑与工程Ⅲ</v>
          </cell>
          <cell r="BC2121">
            <v>-3.250270855904628E-3</v>
          </cell>
          <cell r="BD2121">
            <v>-7.8986885574131555E-2</v>
          </cell>
          <cell r="BE2121">
            <v>0</v>
          </cell>
          <cell r="BF2121">
            <v>0</v>
          </cell>
          <cell r="BG2121">
            <v>0</v>
          </cell>
        </row>
        <row r="2122">
          <cell r="D2122" t="str">
            <v>西药</v>
          </cell>
          <cell r="M2122">
            <v>230.5241523</v>
          </cell>
          <cell r="N2122">
            <v>124.90393738977933</v>
          </cell>
          <cell r="O2122" t="str">
            <v>医疗保健</v>
          </cell>
          <cell r="P2122" t="str">
            <v>制药、生物科技与生命科学</v>
          </cell>
          <cell r="Q2122" t="str">
            <v>制药</v>
          </cell>
          <cell r="BC2122">
            <v>3.8763493621197388E-2</v>
          </cell>
          <cell r="BD2122">
            <v>0.21806674338319926</v>
          </cell>
          <cell r="BE2122">
            <v>0.21939043936400912</v>
          </cell>
          <cell r="BF2122">
            <v>0.34841999053955081</v>
          </cell>
          <cell r="BG2122">
            <v>0.10847999572753907</v>
          </cell>
        </row>
        <row r="2123">
          <cell r="D2123" t="str">
            <v>电脑与电子产品零售</v>
          </cell>
          <cell r="M2123">
            <v>82.495314269999994</v>
          </cell>
          <cell r="N2123">
            <v>44.697812732212029</v>
          </cell>
          <cell r="O2123" t="str">
            <v>可选消费</v>
          </cell>
          <cell r="P2123" t="str">
            <v>零售业</v>
          </cell>
          <cell r="Q2123" t="str">
            <v>专营零售</v>
          </cell>
          <cell r="BC2123">
            <v>1.3808139534883685E-2</v>
          </cell>
          <cell r="BD2123">
            <v>-2.9227557411273482E-2</v>
          </cell>
          <cell r="BE2123">
            <v>-0.16815742397137748</v>
          </cell>
          <cell r="BF2123">
            <v>4.7280001640319827E-2</v>
          </cell>
          <cell r="BG2123">
            <v>0.10765199661254883</v>
          </cell>
        </row>
        <row r="2124">
          <cell r="D2124" t="str">
            <v>建材</v>
          </cell>
          <cell r="M2124">
            <v>25.8554392068</v>
          </cell>
          <cell r="N2124">
            <v>14.008309088100491</v>
          </cell>
          <cell r="O2124" t="str">
            <v>材料</v>
          </cell>
          <cell r="P2124" t="str">
            <v>材料Ⅱ</v>
          </cell>
          <cell r="Q2124" t="str">
            <v>建材Ⅲ</v>
          </cell>
          <cell r="BC2124">
            <v>7.2398190045248932E-3</v>
          </cell>
          <cell r="BD2124">
            <v>-8.0165289256198258E-2</v>
          </cell>
          <cell r="BE2124">
            <v>-2.8547714248024405E-3</v>
          </cell>
          <cell r="BF2124">
            <v>0.31993200302124025</v>
          </cell>
          <cell r="BG2124">
            <v>3.748800039291382E-2</v>
          </cell>
        </row>
        <row r="2125">
          <cell r="D2125" t="str">
            <v>家用电器</v>
          </cell>
          <cell r="M2125">
            <v>28.259250000000002</v>
          </cell>
          <cell r="N2125">
            <v>15.31040254445815</v>
          </cell>
          <cell r="O2125" t="str">
            <v>可选消费</v>
          </cell>
          <cell r="P2125" t="str">
            <v>耐用消费品与服装</v>
          </cell>
          <cell r="Q2125" t="str">
            <v>家庭耐用消费品</v>
          </cell>
          <cell r="BC2125">
            <v>2.1565140062250025E-2</v>
          </cell>
          <cell r="BD2125">
            <v>-3.6485636401761272E-2</v>
          </cell>
          <cell r="BE2125">
            <v>0</v>
          </cell>
          <cell r="BF2125">
            <v>0</v>
          </cell>
          <cell r="BG2125">
            <v>0</v>
          </cell>
        </row>
        <row r="2126">
          <cell r="D2126" t="str">
            <v>基础化工</v>
          </cell>
          <cell r="M2126">
            <v>76.036152611999995</v>
          </cell>
          <cell r="N2126">
            <v>41.192151755557802</v>
          </cell>
          <cell r="O2126" t="str">
            <v>材料</v>
          </cell>
          <cell r="P2126" t="str">
            <v>材料Ⅱ</v>
          </cell>
          <cell r="Q2126" t="str">
            <v>化工</v>
          </cell>
          <cell r="BC2126">
            <v>2.9647435897435834E-2</v>
          </cell>
          <cell r="BD2126">
            <v>0.12080244221543827</v>
          </cell>
          <cell r="BE2126">
            <v>0.73223754254454376</v>
          </cell>
          <cell r="BF2126">
            <v>0.79443603515625005</v>
          </cell>
          <cell r="BG2126">
            <v>0</v>
          </cell>
        </row>
        <row r="2127">
          <cell r="D2127" t="str">
            <v>基础化工</v>
          </cell>
          <cell r="M2127">
            <v>35.248000000000005</v>
          </cell>
          <cell r="N2127">
            <v>19.092188650480647</v>
          </cell>
          <cell r="O2127" t="str">
            <v>材料</v>
          </cell>
          <cell r="P2127" t="str">
            <v>材料Ⅱ</v>
          </cell>
          <cell r="Q2127" t="str">
            <v>化工</v>
          </cell>
          <cell r="BC2127">
            <v>9.7111553784860707E-2</v>
          </cell>
          <cell r="BD2127">
            <v>3.9641340254837176E-2</v>
          </cell>
          <cell r="BE2127">
            <v>0.17180848051516798</v>
          </cell>
          <cell r="BF2127">
            <v>0.31963199615478516</v>
          </cell>
          <cell r="BG2127">
            <v>0</v>
          </cell>
        </row>
        <row r="2128">
          <cell r="D2128" t="str">
            <v>机动车零配件与设备</v>
          </cell>
          <cell r="M2128">
            <v>100.63105453279998</v>
          </cell>
          <cell r="N2128">
            <v>54.501946913888787</v>
          </cell>
          <cell r="O2128" t="str">
            <v>可选消费</v>
          </cell>
          <cell r="P2128" t="str">
            <v>汽车与汽车零部件</v>
          </cell>
          <cell r="Q2128" t="str">
            <v>汽车零配件</v>
          </cell>
          <cell r="BC2128">
            <v>1.3502779984114371E-2</v>
          </cell>
          <cell r="BD2128">
            <v>-7.8700361010830319E-2</v>
          </cell>
          <cell r="BE2128">
            <v>0.16709988243323476</v>
          </cell>
          <cell r="BF2128">
            <v>0.31261199951171875</v>
          </cell>
          <cell r="BG2128">
            <v>0.3005039978027344</v>
          </cell>
        </row>
        <row r="2129">
          <cell r="D2129" t="str">
            <v>铁路运输</v>
          </cell>
          <cell r="M2129">
            <v>75.378602799499987</v>
          </cell>
          <cell r="N2129">
            <v>40.81568693682307</v>
          </cell>
          <cell r="O2129" t="str">
            <v>工业</v>
          </cell>
          <cell r="P2129" t="str">
            <v>运输</v>
          </cell>
          <cell r="Q2129" t="str">
            <v>公路与铁路运输</v>
          </cell>
          <cell r="BC2129">
            <v>0.10729312762973348</v>
          </cell>
          <cell r="BD2129">
            <v>2.1345407503234042E-2</v>
          </cell>
          <cell r="BE2129">
            <v>0.25261388962661641</v>
          </cell>
          <cell r="BF2129">
            <v>0.50939998626708982</v>
          </cell>
          <cell r="BG2129">
            <v>0.12989999771118163</v>
          </cell>
        </row>
        <row r="2130">
          <cell r="D2130" t="str">
            <v>电子设备和仪器</v>
          </cell>
          <cell r="M2130">
            <v>112.57015738930001</v>
          </cell>
          <cell r="N2130">
            <v>60.945994871424446</v>
          </cell>
          <cell r="O2130" t="str">
            <v>信息技术</v>
          </cell>
          <cell r="P2130" t="str">
            <v>技术硬件与设备</v>
          </cell>
          <cell r="Q2130" t="str">
            <v>电子设备、仪器和元件</v>
          </cell>
          <cell r="BC2130">
            <v>0.25805471124620066</v>
          </cell>
          <cell r="BD2130">
            <v>7.786458333333339E-2</v>
          </cell>
          <cell r="BE2130">
            <v>0.67097315413780945</v>
          </cell>
          <cell r="BF2130">
            <v>0.91433998107910153</v>
          </cell>
          <cell r="BG2130">
            <v>0</v>
          </cell>
        </row>
        <row r="2131">
          <cell r="D2131" t="str">
            <v>工业机械</v>
          </cell>
          <cell r="M2131">
            <v>89.022000000000006</v>
          </cell>
          <cell r="N2131">
            <v>48.189698112274307</v>
          </cell>
          <cell r="O2131" t="str">
            <v>工业</v>
          </cell>
          <cell r="P2131" t="str">
            <v>资本货物</v>
          </cell>
          <cell r="Q2131" t="str">
            <v>机械</v>
          </cell>
          <cell r="BC2131">
            <v>-1.4428412874583687E-2</v>
          </cell>
          <cell r="BD2131">
            <v>-2.5246981339187558E-2</v>
          </cell>
          <cell r="BE2131">
            <v>-0.20690190586612633</v>
          </cell>
          <cell r="BF2131">
            <v>0.29162399291992186</v>
          </cell>
          <cell r="BG2131">
            <v>0</v>
          </cell>
        </row>
        <row r="2132">
          <cell r="D2132" t="str">
            <v>应用软件</v>
          </cell>
          <cell r="M2132">
            <v>99.956643267600001</v>
          </cell>
          <cell r="N2132">
            <v>54.106849494758066</v>
          </cell>
          <cell r="O2132" t="str">
            <v>信息技术</v>
          </cell>
          <cell r="P2132" t="str">
            <v>软件与服务</v>
          </cell>
          <cell r="Q2132" t="str">
            <v>软件</v>
          </cell>
          <cell r="BC2132">
            <v>0.10881294964028784</v>
          </cell>
          <cell r="BD2132">
            <v>7.4041811846690023E-2</v>
          </cell>
          <cell r="BE2132">
            <v>2.7715887556090415E-2</v>
          </cell>
          <cell r="BF2132">
            <v>0.51745201110839845</v>
          </cell>
          <cell r="BG2132">
            <v>0</v>
          </cell>
        </row>
        <row r="2133">
          <cell r="D2133" t="str">
            <v>西药</v>
          </cell>
          <cell r="M2133">
            <v>116.64</v>
          </cell>
          <cell r="N2133">
            <v>63.119788124646909</v>
          </cell>
          <cell r="O2133" t="str">
            <v>医疗保健</v>
          </cell>
          <cell r="P2133" t="str">
            <v>制药、生物科技与生命科学</v>
          </cell>
          <cell r="Q2133" t="str">
            <v>制药</v>
          </cell>
          <cell r="BC2133">
            <v>7.1428571428571508E-2</v>
          </cell>
          <cell r="BD2133">
            <v>0.20535714285714279</v>
          </cell>
          <cell r="BE2133">
            <v>0.20063542418063848</v>
          </cell>
          <cell r="BF2133">
            <v>0.64720802307128911</v>
          </cell>
          <cell r="BG2133">
            <v>0</v>
          </cell>
        </row>
        <row r="2134">
          <cell r="D2134" t="str">
            <v>消费电子产品</v>
          </cell>
          <cell r="M2134">
            <v>136.28898557950001</v>
          </cell>
          <cell r="N2134">
            <v>73.751882857802741</v>
          </cell>
          <cell r="O2134" t="str">
            <v>可选消费</v>
          </cell>
          <cell r="P2134" t="str">
            <v>耐用消费品与服装</v>
          </cell>
          <cell r="Q2134" t="str">
            <v>家庭耐用消费品</v>
          </cell>
          <cell r="BC2134">
            <v>8.5539714867617023E-2</v>
          </cell>
          <cell r="BD2134">
            <v>6.5573770491803157E-2</v>
          </cell>
          <cell r="BE2134">
            <v>-2.975629788934922E-2</v>
          </cell>
          <cell r="BF2134">
            <v>0.31965599060058592</v>
          </cell>
          <cell r="BG2134">
            <v>0.31950000762939451</v>
          </cell>
        </row>
        <row r="2135">
          <cell r="D2135" t="str">
            <v>家用器具与特殊消费品</v>
          </cell>
          <cell r="M2135">
            <v>69.233550703999995</v>
          </cell>
          <cell r="N2135">
            <v>37.458705669022194</v>
          </cell>
          <cell r="O2135" t="str">
            <v>可选消费</v>
          </cell>
          <cell r="P2135" t="str">
            <v>耐用消费品与服装</v>
          </cell>
          <cell r="Q2135" t="str">
            <v>家庭耐用消费品</v>
          </cell>
          <cell r="BC2135">
            <v>-7.0843373493975847E-2</v>
          </cell>
          <cell r="BD2135">
            <v>-7.0843373493975847E-2</v>
          </cell>
          <cell r="BE2135">
            <v>0.51685890740487872</v>
          </cell>
          <cell r="BF2135">
            <v>0.77526000976562504</v>
          </cell>
          <cell r="BG2135">
            <v>0</v>
          </cell>
        </row>
        <row r="2136">
          <cell r="D2136" t="str">
            <v>白酒与葡萄酒</v>
          </cell>
          <cell r="M2136">
            <v>56.562840000000001</v>
          </cell>
          <cell r="N2136">
            <v>30.600387299749997</v>
          </cell>
          <cell r="O2136" t="str">
            <v>日常消费</v>
          </cell>
          <cell r="P2136" t="str">
            <v>食品、饮料与烟草</v>
          </cell>
          <cell r="Q2136" t="str">
            <v>饮料</v>
          </cell>
          <cell r="BC2136">
            <v>-1.8662519440124436E-2</v>
          </cell>
          <cell r="BD2136">
            <v>-0.12361111111111119</v>
          </cell>
          <cell r="BE2136">
            <v>0.12779267202859695</v>
          </cell>
          <cell r="BF2136">
            <v>0.46644001007080077</v>
          </cell>
          <cell r="BG2136">
            <v>0.13504799842834472</v>
          </cell>
        </row>
        <row r="2137">
          <cell r="D2137" t="str">
            <v>通信设备</v>
          </cell>
          <cell r="M2137">
            <v>35.302799999999998</v>
          </cell>
          <cell r="N2137">
            <v>19.090444124157038</v>
          </cell>
          <cell r="O2137" t="str">
            <v>信息技术</v>
          </cell>
          <cell r="P2137" t="str">
            <v>技术硬件与设备</v>
          </cell>
          <cell r="Q2137" t="str">
            <v>通信设备Ⅲ</v>
          </cell>
          <cell r="BC2137">
            <v>2.5280898876404452E-2</v>
          </cell>
          <cell r="BD2137">
            <v>-2.4064171122994617E-2</v>
          </cell>
          <cell r="BE2137">
            <v>0.32727272727272727</v>
          </cell>
          <cell r="BF2137">
            <v>0.49018798828124999</v>
          </cell>
          <cell r="BG2137">
            <v>0.23570400238037109</v>
          </cell>
        </row>
        <row r="2138">
          <cell r="D2138" t="str">
            <v>食品加工与肉类</v>
          </cell>
          <cell r="M2138">
            <v>38.962123200000001</v>
          </cell>
          <cell r="N2138">
            <v>21.064568451372921</v>
          </cell>
          <cell r="O2138" t="str">
            <v>日常消费</v>
          </cell>
          <cell r="P2138" t="str">
            <v>食品、饮料与烟草</v>
          </cell>
          <cell r="Q2138" t="str">
            <v>食品</v>
          </cell>
          <cell r="BC2138">
            <v>0</v>
          </cell>
          <cell r="BD2138">
            <v>-3.636363636363632E-2</v>
          </cell>
          <cell r="BE2138">
            <v>-0.51937345424567194</v>
          </cell>
          <cell r="BF2138">
            <v>0.51517200469970703</v>
          </cell>
          <cell r="BG2138">
            <v>0.1781879997253418</v>
          </cell>
        </row>
        <row r="2139">
          <cell r="D2139" t="str">
            <v>特种化工</v>
          </cell>
          <cell r="M2139">
            <v>36.523081400000002</v>
          </cell>
          <cell r="N2139">
            <v>19.744482446806295</v>
          </cell>
          <cell r="O2139" t="str">
            <v>材料</v>
          </cell>
          <cell r="P2139" t="str">
            <v>材料Ⅱ</v>
          </cell>
          <cell r="Q2139" t="str">
            <v>化工</v>
          </cell>
          <cell r="BC2139">
            <v>9.0202177293934691E-2</v>
          </cell>
          <cell r="BD2139">
            <v>3.7749814951887478E-2</v>
          </cell>
          <cell r="BE2139">
            <v>8.6821705426356532E-2</v>
          </cell>
          <cell r="BF2139">
            <v>0.49753200531005859</v>
          </cell>
          <cell r="BG2139">
            <v>0</v>
          </cell>
        </row>
        <row r="2140">
          <cell r="D2140" t="str">
            <v>半导体设备</v>
          </cell>
          <cell r="M2140">
            <v>23.48</v>
          </cell>
          <cell r="N2140">
            <v>12.692562888672841</v>
          </cell>
          <cell r="O2140" t="str">
            <v>信息技术</v>
          </cell>
          <cell r="P2140" t="str">
            <v>半导体与半导体生产设备</v>
          </cell>
          <cell r="Q2140" t="str">
            <v>半导体产品与半导体设备</v>
          </cell>
          <cell r="BC2140">
            <v>5.3859964093357235E-2</v>
          </cell>
          <cell r="BD2140">
            <v>2.8021015761821391E-2</v>
          </cell>
          <cell r="BE2140">
            <v>-8.2095387021110161E-2</v>
          </cell>
          <cell r="BF2140">
            <v>0.12378000259399415</v>
          </cell>
          <cell r="BG2140">
            <v>-0.14143199920654298</v>
          </cell>
        </row>
        <row r="2141">
          <cell r="D2141" t="str">
            <v>生物科技</v>
          </cell>
          <cell r="M2141">
            <v>139.97206649999998</v>
          </cell>
          <cell r="N2141">
            <v>75.660002735917644</v>
          </cell>
          <cell r="O2141" t="str">
            <v>医疗保健</v>
          </cell>
          <cell r="P2141" t="str">
            <v>制药、生物科技与生命科学</v>
          </cell>
          <cell r="Q2141" t="str">
            <v>生物科技Ⅲ</v>
          </cell>
          <cell r="BC2141">
            <v>0</v>
          </cell>
          <cell r="BD2141">
            <v>0</v>
          </cell>
          <cell r="BE2141">
            <v>0.66869762330042071</v>
          </cell>
          <cell r="BF2141">
            <v>0.70311599731445318</v>
          </cell>
          <cell r="BG2141">
            <v>0</v>
          </cell>
        </row>
        <row r="2142">
          <cell r="D2142" t="str">
            <v>消费品经销商</v>
          </cell>
          <cell r="M2142">
            <v>32.258949762</v>
          </cell>
          <cell r="N2142">
            <v>17.436539952796295</v>
          </cell>
          <cell r="O2142" t="str">
            <v>可选消费</v>
          </cell>
          <cell r="P2142" t="str">
            <v>零售业</v>
          </cell>
          <cell r="Q2142" t="str">
            <v>消费品经销商Ⅲ</v>
          </cell>
          <cell r="BC2142">
            <v>2.0458265139116201E-2</v>
          </cell>
          <cell r="BD2142">
            <v>-8.978102189781012E-2</v>
          </cell>
          <cell r="BE2142">
            <v>0.20833333333333337</v>
          </cell>
          <cell r="BF2142">
            <v>0.49123199462890627</v>
          </cell>
          <cell r="BG2142">
            <v>0.15463199615478515</v>
          </cell>
        </row>
        <row r="2143">
          <cell r="D2143" t="str">
            <v>工业机械</v>
          </cell>
          <cell r="M2143">
            <v>32.224662000000002</v>
          </cell>
          <cell r="N2143">
            <v>17.415482414026854</v>
          </cell>
          <cell r="O2143" t="str">
            <v>工业</v>
          </cell>
          <cell r="P2143" t="str">
            <v>资本货物</v>
          </cell>
          <cell r="Q2143" t="str">
            <v>机械</v>
          </cell>
          <cell r="BC2143">
            <v>0</v>
          </cell>
          <cell r="BD2143">
            <v>-7.4192080109239833E-2</v>
          </cell>
          <cell r="BE2143">
            <v>0.14269662921348308</v>
          </cell>
          <cell r="BF2143">
            <v>0.6020040130615234</v>
          </cell>
          <cell r="BG2143">
            <v>0.26966400146484376</v>
          </cell>
        </row>
        <row r="2144">
          <cell r="D2144" t="str">
            <v>工业机械</v>
          </cell>
          <cell r="M2144">
            <v>44.730411855</v>
          </cell>
          <cell r="N2144">
            <v>24.173912026826393</v>
          </cell>
          <cell r="O2144" t="str">
            <v>工业</v>
          </cell>
          <cell r="P2144" t="str">
            <v>资本货物</v>
          </cell>
          <cell r="Q2144" t="str">
            <v>机械</v>
          </cell>
          <cell r="BC2144">
            <v>0</v>
          </cell>
          <cell r="BD2144">
            <v>0</v>
          </cell>
          <cell r="BE2144">
            <v>0.62313287561845432</v>
          </cell>
          <cell r="BF2144">
            <v>0.69882003784179691</v>
          </cell>
          <cell r="BG2144">
            <v>0.26221200942993161</v>
          </cell>
        </row>
        <row r="2145">
          <cell r="D2145" t="str">
            <v>基础化工</v>
          </cell>
          <cell r="M2145">
            <v>58.412538883199993</v>
          </cell>
          <cell r="N2145">
            <v>31.560080462918251</v>
          </cell>
          <cell r="O2145" t="str">
            <v>材料</v>
          </cell>
          <cell r="P2145" t="str">
            <v>材料Ⅱ</v>
          </cell>
          <cell r="Q2145" t="str">
            <v>化工</v>
          </cell>
          <cell r="BC2145">
            <v>0</v>
          </cell>
          <cell r="BD2145">
            <v>0</v>
          </cell>
          <cell r="BE2145">
            <v>0.13570088541156058</v>
          </cell>
          <cell r="BF2145">
            <v>0.59796001434326174</v>
          </cell>
          <cell r="BG2145">
            <v>0.17163600921630859</v>
          </cell>
        </row>
        <row r="2146">
          <cell r="D2146" t="str">
            <v>电子设备和仪器</v>
          </cell>
          <cell r="M2146">
            <v>173.27666218079997</v>
          </cell>
          <cell r="N2146">
            <v>93.599197700581556</v>
          </cell>
          <cell r="O2146" t="str">
            <v>信息技术</v>
          </cell>
          <cell r="P2146" t="str">
            <v>技术硬件与设备</v>
          </cell>
          <cell r="Q2146" t="str">
            <v>电子设备、仪器和元件</v>
          </cell>
          <cell r="BC2146">
            <v>3.1897402170338665E-2</v>
          </cell>
          <cell r="BD2146">
            <v>-0.10978723404255322</v>
          </cell>
          <cell r="BE2146">
            <v>-0.34878907668447334</v>
          </cell>
          <cell r="BF2146">
            <v>0.52354801177978516</v>
          </cell>
          <cell r="BG2146">
            <v>0.34217998504638669</v>
          </cell>
        </row>
        <row r="2147">
          <cell r="D2147" t="str">
            <v>中药</v>
          </cell>
          <cell r="M2147">
            <v>38.588956560000007</v>
          </cell>
          <cell r="N2147">
            <v>20.840477302479172</v>
          </cell>
          <cell r="O2147" t="str">
            <v>医疗保健</v>
          </cell>
          <cell r="P2147" t="str">
            <v>制药、生物科技与生命科学</v>
          </cell>
          <cell r="Q2147" t="str">
            <v>制药</v>
          </cell>
          <cell r="BC2147">
            <v>-2.6711185308848102E-2</v>
          </cell>
          <cell r="BD2147">
            <v>-4.2692939244663351E-2</v>
          </cell>
          <cell r="BE2147">
            <v>-0.27466269036017094</v>
          </cell>
          <cell r="BF2147">
            <v>-5.7276000976562498E-2</v>
          </cell>
          <cell r="BG2147">
            <v>0</v>
          </cell>
        </row>
        <row r="2148">
          <cell r="D2148" t="str">
            <v>公路运输</v>
          </cell>
          <cell r="M2148">
            <v>27.9816</v>
          </cell>
          <cell r="N2148">
            <v>15.108534932769286</v>
          </cell>
          <cell r="O2148" t="str">
            <v>工业</v>
          </cell>
          <cell r="P2148" t="str">
            <v>运输</v>
          </cell>
          <cell r="Q2148" t="str">
            <v>公路与铁路运输</v>
          </cell>
          <cell r="BC2148">
            <v>7.4871794871794919E-2</v>
          </cell>
          <cell r="BD2148">
            <v>3.3021192705766471E-2</v>
          </cell>
          <cell r="BE2148">
            <v>0.11332147073362055</v>
          </cell>
          <cell r="BF2148">
            <v>0.38125198364257812</v>
          </cell>
          <cell r="BG2148">
            <v>0</v>
          </cell>
        </row>
        <row r="2149">
          <cell r="D2149" t="str">
            <v>信息科技咨询与其它服务</v>
          </cell>
          <cell r="M2149">
            <v>64.877494654000003</v>
          </cell>
          <cell r="N2149">
            <v>35.029065830153243</v>
          </cell>
          <cell r="O2149" t="str">
            <v>信息技术</v>
          </cell>
          <cell r="P2149" t="str">
            <v>软件与服务</v>
          </cell>
          <cell r="Q2149" t="str">
            <v>信息技术服务</v>
          </cell>
          <cell r="BC2149">
            <v>0.19668425018839497</v>
          </cell>
          <cell r="BD2149">
            <v>0.15323166303558469</v>
          </cell>
          <cell r="BE2149">
            <v>-8.9449541284403689E-2</v>
          </cell>
          <cell r="BF2149">
            <v>0.4001279830932617</v>
          </cell>
          <cell r="BG2149">
            <v>0.12718799591064453</v>
          </cell>
        </row>
        <row r="2150">
          <cell r="D2150" t="str">
            <v>电脑硬件</v>
          </cell>
          <cell r="M2150">
            <v>210.14999999999998</v>
          </cell>
          <cell r="N2150">
            <v>113.46121950023257</v>
          </cell>
          <cell r="O2150" t="str">
            <v>信息技术</v>
          </cell>
          <cell r="P2150" t="str">
            <v>技术硬件与设备</v>
          </cell>
          <cell r="Q2150" t="str">
            <v>电脑与外围设备</v>
          </cell>
          <cell r="BC2150">
            <v>0.11190476190476185</v>
          </cell>
          <cell r="BD2150">
            <v>7.4551311550851346E-2</v>
          </cell>
          <cell r="BE2150">
            <v>-0.10864938072227887</v>
          </cell>
          <cell r="BF2150">
            <v>0</v>
          </cell>
          <cell r="BG2150">
            <v>0</v>
          </cell>
        </row>
        <row r="2151">
          <cell r="D2151" t="str">
            <v>林木产品</v>
          </cell>
          <cell r="M2151">
            <v>44.196083999999999</v>
          </cell>
          <cell r="N2151">
            <v>23.860623047530094</v>
          </cell>
          <cell r="O2151" t="str">
            <v>材料</v>
          </cell>
          <cell r="P2151" t="str">
            <v>材料Ⅱ</v>
          </cell>
          <cell r="Q2151" t="str">
            <v>纸与林木产品</v>
          </cell>
          <cell r="BC2151">
            <v>3.6199095022624465E-2</v>
          </cell>
          <cell r="BD2151">
            <v>-5.6318681318681334E-2</v>
          </cell>
          <cell r="BE2151">
            <v>-2.6912181303116078E-2</v>
          </cell>
          <cell r="BF2151">
            <v>0.21376800537109375</v>
          </cell>
          <cell r="BG2151">
            <v>0.18423599243164063</v>
          </cell>
        </row>
        <row r="2152">
          <cell r="D2152" t="str">
            <v>房地产开发</v>
          </cell>
          <cell r="M2152">
            <v>34.237582236000002</v>
          </cell>
          <cell r="N2152">
            <v>18.48363876516667</v>
          </cell>
          <cell r="O2152" t="str">
            <v>金融</v>
          </cell>
          <cell r="P2152" t="str">
            <v>房地产</v>
          </cell>
          <cell r="Q2152" t="str">
            <v>房地产管理与开发</v>
          </cell>
          <cell r="BC2152">
            <v>0</v>
          </cell>
          <cell r="BD2152">
            <v>0.14648729446935718</v>
          </cell>
          <cell r="BE2152">
            <v>2.6143790849672646E-3</v>
          </cell>
          <cell r="BF2152">
            <v>0.13012800216674805</v>
          </cell>
          <cell r="BG2152">
            <v>0.20162399291992186</v>
          </cell>
        </row>
        <row r="2153">
          <cell r="D2153" t="str">
            <v>工业机械</v>
          </cell>
          <cell r="M2153">
            <v>43.208507419699998</v>
          </cell>
          <cell r="N2153">
            <v>23.324285924826992</v>
          </cell>
          <cell r="O2153" t="str">
            <v>工业</v>
          </cell>
          <cell r="P2153" t="str">
            <v>资本货物</v>
          </cell>
          <cell r="Q2153" t="str">
            <v>机械</v>
          </cell>
          <cell r="BC2153">
            <v>2.1792966815254961E-2</v>
          </cell>
          <cell r="BD2153">
            <v>-9.7550306211723559E-2</v>
          </cell>
          <cell r="BE2153">
            <v>0.15251403224258978</v>
          </cell>
          <cell r="BF2153">
            <v>0.46861198425292971</v>
          </cell>
          <cell r="BG2153">
            <v>0</v>
          </cell>
        </row>
        <row r="2154">
          <cell r="D2154" t="str">
            <v>酒店、度假村与豪华游轮</v>
          </cell>
          <cell r="M2154">
            <v>50.630319999999998</v>
          </cell>
          <cell r="N2154">
            <v>27.326327983883473</v>
          </cell>
          <cell r="O2154" t="str">
            <v>可选消费</v>
          </cell>
          <cell r="P2154" t="str">
            <v>消费者服务Ⅱ</v>
          </cell>
          <cell r="Q2154" t="str">
            <v>酒店、餐馆与休闲Ⅲ</v>
          </cell>
          <cell r="BC2154">
            <v>5.1417587698222023E-2</v>
          </cell>
          <cell r="BD2154">
            <v>-2.9281277728482706E-2</v>
          </cell>
          <cell r="BE2154">
            <v>0.17951516828186107</v>
          </cell>
          <cell r="BF2154">
            <v>0.20013599395751952</v>
          </cell>
          <cell r="BG2154">
            <v>3.5243999958038327E-2</v>
          </cell>
        </row>
        <row r="2155">
          <cell r="D2155" t="str">
            <v>房地产开发</v>
          </cell>
          <cell r="M2155">
            <v>31.882752000000004</v>
          </cell>
          <cell r="N2155">
            <v>17.20766331114622</v>
          </cell>
          <cell r="O2155" t="str">
            <v>金融</v>
          </cell>
          <cell r="P2155" t="str">
            <v>房地产</v>
          </cell>
          <cell r="Q2155" t="str">
            <v>房地产管理与开发</v>
          </cell>
          <cell r="BC2155">
            <v>2.3255813953488393E-2</v>
          </cell>
          <cell r="BD2155">
            <v>-7.0521861777150668E-3</v>
          </cell>
          <cell r="BE2155">
            <v>-0.13598985703537134</v>
          </cell>
          <cell r="BF2155">
            <v>0.31652399063110354</v>
          </cell>
          <cell r="BG2155">
            <v>0.1170359992980957</v>
          </cell>
        </row>
        <row r="2156">
          <cell r="D2156" t="str">
            <v>电子元件</v>
          </cell>
          <cell r="M2156">
            <v>44.585039999999992</v>
          </cell>
          <cell r="N2156">
            <v>24.059416951469949</v>
          </cell>
          <cell r="O2156" t="str">
            <v>信息技术</v>
          </cell>
          <cell r="P2156" t="str">
            <v>技术硬件与设备</v>
          </cell>
          <cell r="Q2156" t="str">
            <v>电子设备、仪器和元件</v>
          </cell>
          <cell r="BC2156">
            <v>7.4705111402359026E-2</v>
          </cell>
          <cell r="BD2156">
            <v>-1.2180267965897153E-3</v>
          </cell>
          <cell r="BE2156">
            <v>0.45184473419328797</v>
          </cell>
          <cell r="BF2156">
            <v>0.54380401611328122</v>
          </cell>
          <cell r="BG2156">
            <v>0.28378799438476565</v>
          </cell>
        </row>
        <row r="2157">
          <cell r="D2157" t="str">
            <v>出版</v>
          </cell>
          <cell r="M2157">
            <v>113.5972043588</v>
          </cell>
          <cell r="N2157">
            <v>61.29597042239461</v>
          </cell>
          <cell r="O2157" t="str">
            <v>可选消费</v>
          </cell>
          <cell r="P2157" t="str">
            <v>媒体Ⅱ</v>
          </cell>
          <cell r="Q2157" t="str">
            <v>媒体Ⅲ</v>
          </cell>
          <cell r="BC2157">
            <v>4.4221105527638326E-2</v>
          </cell>
          <cell r="BD2157">
            <v>-3.8350910834131493E-3</v>
          </cell>
          <cell r="BE2157">
            <v>-0.29000559810012122</v>
          </cell>
          <cell r="BF2157">
            <v>-0.11398799896240235</v>
          </cell>
          <cell r="BG2157">
            <v>6.928800106048584E-2</v>
          </cell>
        </row>
        <row r="2158">
          <cell r="D2158" t="str">
            <v>通信设备</v>
          </cell>
          <cell r="M2158">
            <v>107.93628796599999</v>
          </cell>
          <cell r="N2158">
            <v>58.237275122427768</v>
          </cell>
          <cell r="O2158" t="str">
            <v>信息技术</v>
          </cell>
          <cell r="P2158" t="str">
            <v>技术硬件与设备</v>
          </cell>
          <cell r="Q2158" t="str">
            <v>通信设备Ⅲ</v>
          </cell>
          <cell r="BC2158">
            <v>0</v>
          </cell>
          <cell r="BD2158">
            <v>0</v>
          </cell>
          <cell r="BE2158">
            <v>0.54487588660447006</v>
          </cell>
          <cell r="BF2158">
            <v>0.79054801940917974</v>
          </cell>
          <cell r="BG2158">
            <v>0.45271198272705077</v>
          </cell>
        </row>
        <row r="2159">
          <cell r="D2159" t="str">
            <v>电气部件与设备</v>
          </cell>
          <cell r="M2159">
            <v>56.533763999999998</v>
          </cell>
          <cell r="N2159">
            <v>30.494829454542643</v>
          </cell>
          <cell r="O2159" t="str">
            <v>工业</v>
          </cell>
          <cell r="P2159" t="str">
            <v>资本货物</v>
          </cell>
          <cell r="Q2159" t="str">
            <v>电气设备</v>
          </cell>
          <cell r="BC2159">
            <v>0.25520195838433285</v>
          </cell>
          <cell r="BD2159">
            <v>0.14623695976154996</v>
          </cell>
          <cell r="BE2159">
            <v>0</v>
          </cell>
          <cell r="BF2159">
            <v>0</v>
          </cell>
          <cell r="BG2159">
            <v>0</v>
          </cell>
        </row>
        <row r="2160">
          <cell r="D2160" t="str">
            <v>房地产开发</v>
          </cell>
          <cell r="M2160">
            <v>28.83</v>
          </cell>
          <cell r="N2160">
            <v>15.547880558763332</v>
          </cell>
          <cell r="O2160" t="str">
            <v>金融</v>
          </cell>
          <cell r="P2160" t="str">
            <v>房地产</v>
          </cell>
          <cell r="Q2160" t="str">
            <v>房地产管理与开发</v>
          </cell>
          <cell r="BC2160">
            <v>4.4565217391304368E-2</v>
          </cell>
          <cell r="BD2160">
            <v>5.2301255230124402E-3</v>
          </cell>
          <cell r="BE2160">
            <v>9.6640090949150909E-2</v>
          </cell>
          <cell r="BF2160">
            <v>0.47444400787353513</v>
          </cell>
          <cell r="BG2160">
            <v>0.20296800613403321</v>
          </cell>
        </row>
        <row r="2161">
          <cell r="D2161" t="str">
            <v>环境与设施服务</v>
          </cell>
          <cell r="M2161">
            <v>44.644294032299996</v>
          </cell>
          <cell r="N2161">
            <v>24.074313901617163</v>
          </cell>
          <cell r="O2161" t="str">
            <v>工业</v>
          </cell>
          <cell r="P2161" t="str">
            <v>商业和专业服务</v>
          </cell>
          <cell r="Q2161" t="str">
            <v>商业服务与用品</v>
          </cell>
          <cell r="BC2161">
            <v>7.9459674215335424E-3</v>
          </cell>
          <cell r="BD2161">
            <v>-3.9401103230882629E-4</v>
          </cell>
          <cell r="BE2161">
            <v>0.57182648850212636</v>
          </cell>
          <cell r="BF2161">
            <v>0.83674797058105466</v>
          </cell>
          <cell r="BG2161">
            <v>0</v>
          </cell>
        </row>
        <row r="2162">
          <cell r="D2162" t="str">
            <v>纸制品</v>
          </cell>
          <cell r="M2162">
            <v>70.857811839999997</v>
          </cell>
          <cell r="N2162">
            <v>38.206842047599032</v>
          </cell>
          <cell r="O2162" t="str">
            <v>材料</v>
          </cell>
          <cell r="P2162" t="str">
            <v>材料Ⅱ</v>
          </cell>
          <cell r="Q2162" t="str">
            <v>纸与林木产品</v>
          </cell>
          <cell r="BC2162">
            <v>1.458465440710212E-2</v>
          </cell>
          <cell r="BD2162">
            <v>-0.1106170094496942</v>
          </cell>
          <cell r="BE2162">
            <v>9.1405184174624815E-2</v>
          </cell>
          <cell r="BF2162">
            <v>0.37873199462890628</v>
          </cell>
          <cell r="BG2162">
            <v>0.19018800735473632</v>
          </cell>
        </row>
        <row r="2163">
          <cell r="D2163" t="str">
            <v>电子设备和仪器</v>
          </cell>
          <cell r="M2163">
            <v>168.24282012159998</v>
          </cell>
          <cell r="N2163">
            <v>90.704417320302227</v>
          </cell>
          <cell r="O2163" t="str">
            <v>信息技术</v>
          </cell>
          <cell r="P2163" t="str">
            <v>技术硬件与设备</v>
          </cell>
          <cell r="Q2163" t="str">
            <v>电子设备、仪器和元件</v>
          </cell>
          <cell r="BC2163">
            <v>-1.3068478829064298E-2</v>
          </cell>
          <cell r="BD2163">
            <v>0.19418089816571779</v>
          </cell>
          <cell r="BE2163">
            <v>0.2221550996426952</v>
          </cell>
          <cell r="BF2163">
            <v>0.50558399200439452</v>
          </cell>
          <cell r="BG2163">
            <v>0.19913999557495118</v>
          </cell>
        </row>
        <row r="2164">
          <cell r="D2164" t="str">
            <v>环境与设施服务</v>
          </cell>
          <cell r="M2164">
            <v>39.956837129999997</v>
          </cell>
          <cell r="N2164">
            <v>21.541811440356792</v>
          </cell>
          <cell r="O2164" t="str">
            <v>工业</v>
          </cell>
          <cell r="P2164" t="str">
            <v>商业和专业服务</v>
          </cell>
          <cell r="Q2164" t="str">
            <v>商业服务与用品</v>
          </cell>
          <cell r="BC2164">
            <v>-6.9069069069069053E-2</v>
          </cell>
          <cell r="BD2164">
            <v>-8.2266910420475195E-3</v>
          </cell>
          <cell r="BE2164">
            <v>8.717434869739471E-2</v>
          </cell>
          <cell r="BF2164">
            <v>0.22378799438476563</v>
          </cell>
          <cell r="BG2164">
            <v>5.6160001754760741E-2</v>
          </cell>
        </row>
        <row r="2165">
          <cell r="D2165" t="str">
            <v>基础化工</v>
          </cell>
          <cell r="M2165">
            <v>68.14425</v>
          </cell>
          <cell r="N2165">
            <v>36.736397811794333</v>
          </cell>
          <cell r="O2165" t="str">
            <v>材料</v>
          </cell>
          <cell r="P2165" t="str">
            <v>材料Ⅱ</v>
          </cell>
          <cell r="Q2165" t="str">
            <v>化工</v>
          </cell>
          <cell r="BC2165">
            <v>7.6230899830220744E-2</v>
          </cell>
          <cell r="BD2165">
            <v>-4.7912285971763259E-2</v>
          </cell>
          <cell r="BE2165">
            <v>0.62872924641638239</v>
          </cell>
          <cell r="BF2165">
            <v>0</v>
          </cell>
          <cell r="BG2165">
            <v>0</v>
          </cell>
        </row>
        <row r="2166">
          <cell r="D2166" t="str">
            <v>电力</v>
          </cell>
          <cell r="M2166">
            <v>40.531186079999998</v>
          </cell>
          <cell r="N2166">
            <v>21.849613185474539</v>
          </cell>
          <cell r="O2166" t="str">
            <v>公用事业</v>
          </cell>
          <cell r="P2166" t="str">
            <v>公用事业Ⅱ</v>
          </cell>
          <cell r="Q2166" t="str">
            <v>电力Ⅲ</v>
          </cell>
          <cell r="BC2166">
            <v>2.1712907117008625E-2</v>
          </cell>
          <cell r="BD2166">
            <v>-9.2175777063236805E-2</v>
          </cell>
          <cell r="BE2166">
            <v>-5.381327860874701E-2</v>
          </cell>
          <cell r="BF2166">
            <v>0.35062801361083984</v>
          </cell>
          <cell r="BG2166">
            <v>-3.8987998962402341E-2</v>
          </cell>
        </row>
        <row r="2167">
          <cell r="D2167" t="str">
            <v>化纤</v>
          </cell>
          <cell r="M2167">
            <v>61.484565542399999</v>
          </cell>
          <cell r="N2167">
            <v>33.140590495253697</v>
          </cell>
          <cell r="O2167" t="str">
            <v>材料</v>
          </cell>
          <cell r="P2167" t="str">
            <v>材料Ⅱ</v>
          </cell>
          <cell r="Q2167" t="str">
            <v>化工</v>
          </cell>
          <cell r="BC2167">
            <v>3.0012004801920768E-2</v>
          </cell>
          <cell r="BD2167">
            <v>4.5066991473812323E-2</v>
          </cell>
          <cell r="BE2167">
            <v>0.32612055641421955</v>
          </cell>
          <cell r="BF2167">
            <v>0.64361999511718748</v>
          </cell>
          <cell r="BG2167">
            <v>9.043199539184571E-2</v>
          </cell>
        </row>
        <row r="2168">
          <cell r="D2168" t="str">
            <v>应用软件</v>
          </cell>
          <cell r="M2168">
            <v>63.33</v>
          </cell>
          <cell r="N2168">
            <v>34.134183571055551</v>
          </cell>
          <cell r="O2168" t="str">
            <v>信息技术</v>
          </cell>
          <cell r="P2168" t="str">
            <v>软件与服务</v>
          </cell>
          <cell r="Q2168" t="str">
            <v>软件</v>
          </cell>
          <cell r="BC2168">
            <v>3.0091086532205619E-2</v>
          </cell>
          <cell r="BD2168">
            <v>6.5982157885877829E-2</v>
          </cell>
          <cell r="BE2168">
            <v>0</v>
          </cell>
          <cell r="BF2168">
            <v>0</v>
          </cell>
          <cell r="BG2168">
            <v>0</v>
          </cell>
        </row>
        <row r="2169">
          <cell r="D2169" t="str">
            <v>建材</v>
          </cell>
          <cell r="M2169">
            <v>57.418420667300005</v>
          </cell>
          <cell r="N2169">
            <v>30.947774503120371</v>
          </cell>
          <cell r="O2169" t="str">
            <v>材料</v>
          </cell>
          <cell r="P2169" t="str">
            <v>材料Ⅱ</v>
          </cell>
          <cell r="Q2169" t="str">
            <v>建材Ⅲ</v>
          </cell>
          <cell r="BC2169">
            <v>-5.3848672964790876E-3</v>
          </cell>
          <cell r="BD2169">
            <v>3.8202189854551767E-2</v>
          </cell>
          <cell r="BE2169">
            <v>1.1206585224991525</v>
          </cell>
          <cell r="BF2169">
            <v>0.7783560180664062</v>
          </cell>
          <cell r="BG2169">
            <v>0.25243200302124025</v>
          </cell>
        </row>
        <row r="2170">
          <cell r="D2170" t="str">
            <v>西药</v>
          </cell>
          <cell r="M2170">
            <v>191.2512337775</v>
          </cell>
          <cell r="N2170">
            <v>103.08102539229361</v>
          </cell>
          <cell r="O2170" t="str">
            <v>医疗保健</v>
          </cell>
          <cell r="P2170" t="str">
            <v>制药、生物科技与生命科学</v>
          </cell>
          <cell r="Q2170" t="str">
            <v>制药</v>
          </cell>
          <cell r="BC2170">
            <v>-3.0514939605848723E-2</v>
          </cell>
          <cell r="BD2170">
            <v>8.8508208422555329E-2</v>
          </cell>
          <cell r="BE2170">
            <v>0.56076618421033242</v>
          </cell>
          <cell r="BF2170">
            <v>0.42159599304199219</v>
          </cell>
          <cell r="BG2170">
            <v>0.19912799835205078</v>
          </cell>
        </row>
        <row r="2171">
          <cell r="D2171" t="str">
            <v>通信设备</v>
          </cell>
          <cell r="M2171">
            <v>30.506552075999998</v>
          </cell>
          <cell r="N2171">
            <v>16.436236701126269</v>
          </cell>
          <cell r="O2171" t="str">
            <v>信息技术</v>
          </cell>
          <cell r="P2171" t="str">
            <v>技术硬件与设备</v>
          </cell>
          <cell r="Q2171" t="str">
            <v>通信设备Ⅲ</v>
          </cell>
          <cell r="BC2171">
            <v>6.6258351893095632E-2</v>
          </cell>
          <cell r="BD2171">
            <v>5.2493438320208854E-3</v>
          </cell>
          <cell r="BE2171">
            <v>0.31678331740106569</v>
          </cell>
          <cell r="BF2171">
            <v>0.6369720077514649</v>
          </cell>
          <cell r="BG2171">
            <v>0</v>
          </cell>
        </row>
        <row r="2172">
          <cell r="D2172" t="str">
            <v>纺织品</v>
          </cell>
          <cell r="M2172">
            <v>45.171340499999999</v>
          </cell>
          <cell r="N2172">
            <v>24.333410671524071</v>
          </cell>
          <cell r="O2172" t="str">
            <v>可选消费</v>
          </cell>
          <cell r="P2172" t="str">
            <v>耐用消费品与服装</v>
          </cell>
          <cell r="Q2172" t="str">
            <v>纺织品、服装与奢侈品</v>
          </cell>
          <cell r="BC2172">
            <v>1.8203883495145675E-2</v>
          </cell>
          <cell r="BD2172">
            <v>7.0153061224489888E-2</v>
          </cell>
          <cell r="BE2172">
            <v>0.21947674418604662</v>
          </cell>
          <cell r="BF2172">
            <v>0.55562400817871094</v>
          </cell>
          <cell r="BG2172">
            <v>0.18134399414062499</v>
          </cell>
        </row>
        <row r="2173">
          <cell r="D2173" t="str">
            <v>房地产开发</v>
          </cell>
          <cell r="M2173">
            <v>154.66455212490001</v>
          </cell>
          <cell r="N2173">
            <v>83.31394930352532</v>
          </cell>
          <cell r="O2173" t="str">
            <v>金融</v>
          </cell>
          <cell r="P2173" t="str">
            <v>房地产</v>
          </cell>
          <cell r="Q2173" t="str">
            <v>房地产管理与开发</v>
          </cell>
          <cell r="BC2173">
            <v>0</v>
          </cell>
          <cell r="BD2173">
            <v>0</v>
          </cell>
          <cell r="BE2173">
            <v>0.78850405305821658</v>
          </cell>
          <cell r="BF2173">
            <v>0.71979598999023442</v>
          </cell>
          <cell r="BG2173">
            <v>0.47575199127197265</v>
          </cell>
        </row>
        <row r="2174">
          <cell r="D2174" t="str">
            <v>西药</v>
          </cell>
          <cell r="M2174">
            <v>63.174667050000004</v>
          </cell>
          <cell r="N2174">
            <v>34.025096173197781</v>
          </cell>
          <cell r="O2174" t="str">
            <v>医疗保健</v>
          </cell>
          <cell r="P2174" t="str">
            <v>制药、生物科技与生命科学</v>
          </cell>
          <cell r="Q2174" t="str">
            <v>制药</v>
          </cell>
          <cell r="BC2174">
            <v>4.846686449060339E-2</v>
          </cell>
          <cell r="BD2174">
            <v>-2.6629935720844895E-2</v>
          </cell>
          <cell r="BE2174">
            <v>-0.43587014369345395</v>
          </cell>
          <cell r="BF2174">
            <v>-4.6919999122619627E-2</v>
          </cell>
          <cell r="BG2174">
            <v>8.0159997940063482E-2</v>
          </cell>
        </row>
        <row r="2175">
          <cell r="D2175" t="str">
            <v>房地产开发</v>
          </cell>
          <cell r="M2175">
            <v>79.807080915</v>
          </cell>
          <cell r="N2175">
            <v>42.976778657900638</v>
          </cell>
          <cell r="O2175" t="str">
            <v>金融</v>
          </cell>
          <cell r="P2175" t="str">
            <v>房地产</v>
          </cell>
          <cell r="Q2175" t="str">
            <v>房地产管理与开发</v>
          </cell>
          <cell r="BC2175">
            <v>2.3853211009174292E-2</v>
          </cell>
          <cell r="BD2175">
            <v>3.5971223021583568E-3</v>
          </cell>
          <cell r="BE2175">
            <v>0.17236547543419015</v>
          </cell>
          <cell r="BF2175">
            <v>0.66481201171875004</v>
          </cell>
          <cell r="BG2175">
            <v>0.29384399414062501</v>
          </cell>
        </row>
        <row r="2176">
          <cell r="D2176" t="str">
            <v>金属非金属</v>
          </cell>
          <cell r="M2176">
            <v>170.38041599970001</v>
          </cell>
          <cell r="N2176">
            <v>91.748374707217295</v>
          </cell>
          <cell r="O2176" t="str">
            <v>材料</v>
          </cell>
          <cell r="P2176" t="str">
            <v>材料Ⅱ</v>
          </cell>
          <cell r="Q2176" t="str">
            <v>金属、非金属与采矿</v>
          </cell>
          <cell r="BC2176">
            <v>4.07429598562013E-2</v>
          </cell>
          <cell r="BD2176">
            <v>-5.1546391752577232E-3</v>
          </cell>
          <cell r="BE2176">
            <v>-0.46487985212569316</v>
          </cell>
          <cell r="BF2176">
            <v>3.2363998889923098E-2</v>
          </cell>
          <cell r="BG2176">
            <v>0.1959239959716797</v>
          </cell>
        </row>
        <row r="2177">
          <cell r="D2177" t="str">
            <v>工业机械</v>
          </cell>
          <cell r="M2177">
            <v>196.14131426560002</v>
          </cell>
          <cell r="N2177">
            <v>105.61402087660709</v>
          </cell>
          <cell r="O2177" t="str">
            <v>工业</v>
          </cell>
          <cell r="P2177" t="str">
            <v>资本货物</v>
          </cell>
          <cell r="Q2177" t="str">
            <v>机械</v>
          </cell>
          <cell r="BC2177">
            <v>6.1840120663650099E-2</v>
          </cell>
          <cell r="BD2177">
            <v>-7.9738562091503304E-2</v>
          </cell>
          <cell r="BE2177">
            <v>-0.11944965603502189</v>
          </cell>
          <cell r="BF2177">
            <v>1.3785240173339843</v>
          </cell>
          <cell r="BG2177">
            <v>0.46422000885009768</v>
          </cell>
        </row>
        <row r="2178">
          <cell r="D2178" t="str">
            <v>基础化工</v>
          </cell>
          <cell r="M2178">
            <v>40.389459725999998</v>
          </cell>
          <cell r="N2178">
            <v>21.744511460977776</v>
          </cell>
          <cell r="O2178" t="str">
            <v>材料</v>
          </cell>
          <cell r="P2178" t="str">
            <v>材料Ⅱ</v>
          </cell>
          <cell r="Q2178" t="str">
            <v>化工</v>
          </cell>
          <cell r="BC2178">
            <v>-2.5943396226415099E-2</v>
          </cell>
          <cell r="BD2178">
            <v>-7.1910112359550499E-2</v>
          </cell>
          <cell r="BE2178">
            <v>8.2096069868995744E-2</v>
          </cell>
          <cell r="BF2178">
            <v>0.51729598999023441</v>
          </cell>
          <cell r="BG2178">
            <v>0.13804800033569337</v>
          </cell>
        </row>
        <row r="2179">
          <cell r="D2179" t="str">
            <v>金属非金属</v>
          </cell>
          <cell r="M2179">
            <v>49.492999999999995</v>
          </cell>
          <cell r="N2179">
            <v>26.64549366724583</v>
          </cell>
          <cell r="O2179" t="str">
            <v>材料</v>
          </cell>
          <cell r="P2179" t="str">
            <v>材料Ⅱ</v>
          </cell>
          <cell r="Q2179" t="str">
            <v>金属、非金属与采矿</v>
          </cell>
          <cell r="BC2179">
            <v>5.7418465778594399E-2</v>
          </cell>
          <cell r="BD2179">
            <v>-7.3641851106639913E-2</v>
          </cell>
          <cell r="BE2179">
            <v>4.0631137917143734E-2</v>
          </cell>
          <cell r="BF2179">
            <v>0.30074399948120117</v>
          </cell>
          <cell r="BG2179">
            <v>6.1199998855590819E-2</v>
          </cell>
        </row>
        <row r="2180">
          <cell r="D2180" t="str">
            <v>钢铁</v>
          </cell>
          <cell r="M2180">
            <v>182.20159999999998</v>
          </cell>
          <cell r="N2180">
            <v>98.074049252841661</v>
          </cell>
          <cell r="O2180" t="str">
            <v>材料</v>
          </cell>
          <cell r="P2180" t="str">
            <v>材料Ⅱ</v>
          </cell>
          <cell r="Q2180" t="str">
            <v>金属、非金属与采矿</v>
          </cell>
          <cell r="BC2180">
            <v>0.14145383104125733</v>
          </cell>
          <cell r="BD2180">
            <v>0.10037878787878775</v>
          </cell>
          <cell r="BE2180">
            <v>-7.7645713177477108E-2</v>
          </cell>
          <cell r="BF2180">
            <v>0.37204799652099607</v>
          </cell>
          <cell r="BG2180">
            <v>1.6260000467300414E-2</v>
          </cell>
        </row>
        <row r="2181">
          <cell r="D2181" t="str">
            <v>服装、服饰与奢侈品</v>
          </cell>
          <cell r="M2181">
            <v>48.295357199999998</v>
          </cell>
          <cell r="N2181">
            <v>25.9951258196675</v>
          </cell>
          <cell r="O2181" t="str">
            <v>可选消费</v>
          </cell>
          <cell r="P2181" t="str">
            <v>耐用消费品与服装</v>
          </cell>
          <cell r="Q2181" t="str">
            <v>纺织品、服装与奢侈品</v>
          </cell>
          <cell r="BC2181">
            <v>-3.0626780626780609E-2</v>
          </cell>
          <cell r="BD2181">
            <v>-2.7162258756254522E-2</v>
          </cell>
          <cell r="BE2181">
            <v>0.51495593228614744</v>
          </cell>
          <cell r="BF2181">
            <v>0.64443603515625003</v>
          </cell>
          <cell r="BG2181">
            <v>0</v>
          </cell>
        </row>
        <row r="2182">
          <cell r="D2182" t="str">
            <v>电脑与电子产品零售</v>
          </cell>
          <cell r="M2182">
            <v>37.196758686000003</v>
          </cell>
          <cell r="N2182">
            <v>20.016931686069199</v>
          </cell>
          <cell r="O2182" t="str">
            <v>可选消费</v>
          </cell>
          <cell r="P2182" t="str">
            <v>零售业</v>
          </cell>
          <cell r="Q2182" t="str">
            <v>专营零售</v>
          </cell>
          <cell r="BC2182">
            <v>-1.2072434607645855E-2</v>
          </cell>
          <cell r="BD2182">
            <v>-0.15490533562822717</v>
          </cell>
          <cell r="BE2182">
            <v>0.12466400813222805</v>
          </cell>
          <cell r="BF2182">
            <v>0.70406402587890626</v>
          </cell>
          <cell r="BG2182">
            <v>0.24907199859619142</v>
          </cell>
        </row>
        <row r="2183">
          <cell r="D2183" t="str">
            <v>通信设备</v>
          </cell>
          <cell r="M2183">
            <v>39.022673560000001</v>
          </cell>
          <cell r="N2183">
            <v>20.999111470058335</v>
          </cell>
          <cell r="O2183" t="str">
            <v>信息技术</v>
          </cell>
          <cell r="P2183" t="str">
            <v>技术硬件与设备</v>
          </cell>
          <cell r="Q2183" t="str">
            <v>通信设备Ⅲ</v>
          </cell>
          <cell r="BC2183">
            <v>0.16961651917404122</v>
          </cell>
          <cell r="BD2183">
            <v>0.10138888888888882</v>
          </cell>
          <cell r="BE2183">
            <v>5.6628914057295116E-2</v>
          </cell>
          <cell r="BF2183">
            <v>0.58628398895263667</v>
          </cell>
          <cell r="BG2183">
            <v>0.27350400924682616</v>
          </cell>
        </row>
        <row r="2184">
          <cell r="D2184" t="str">
            <v>房地产开发</v>
          </cell>
          <cell r="M2184">
            <v>177.36154127999998</v>
          </cell>
          <cell r="N2184">
            <v>95.43905427988021</v>
          </cell>
          <cell r="O2184" t="str">
            <v>金融</v>
          </cell>
          <cell r="P2184" t="str">
            <v>房地产</v>
          </cell>
          <cell r="Q2184" t="str">
            <v>房地产管理与开发</v>
          </cell>
          <cell r="BC2184">
            <v>-1.2207031250001041E-3</v>
          </cell>
          <cell r="BD2184">
            <v>-3.1257399952640312E-2</v>
          </cell>
          <cell r="BE2184">
            <v>2.1133940902346278</v>
          </cell>
          <cell r="BF2184">
            <v>1.6419599914550782</v>
          </cell>
          <cell r="BG2184">
            <v>0.68715599060058596</v>
          </cell>
        </row>
        <row r="2185">
          <cell r="D2185" t="str">
            <v>工业机械</v>
          </cell>
          <cell r="M2185">
            <v>28.464423580800002</v>
          </cell>
          <cell r="N2185">
            <v>15.314943402830579</v>
          </cell>
          <cell r="O2185" t="str">
            <v>工业</v>
          </cell>
          <cell r="P2185" t="str">
            <v>资本货物</v>
          </cell>
          <cell r="Q2185" t="str">
            <v>机械</v>
          </cell>
          <cell r="BC2185">
            <v>4.3478260869565341E-2</v>
          </cell>
          <cell r="BD2185">
            <v>2.6941362916006423E-2</v>
          </cell>
          <cell r="BE2185">
            <v>4.1242635243706458E-2</v>
          </cell>
          <cell r="BF2185">
            <v>0.29896799087524412</v>
          </cell>
          <cell r="BG2185">
            <v>0.12759599685668946</v>
          </cell>
        </row>
        <row r="2186">
          <cell r="D2186" t="str">
            <v>金属非金属</v>
          </cell>
          <cell r="M2186">
            <v>135.38660385310001</v>
          </cell>
          <cell r="N2186">
            <v>72.809217863789414</v>
          </cell>
          <cell r="O2186" t="str">
            <v>材料</v>
          </cell>
          <cell r="P2186" t="str">
            <v>材料Ⅱ</v>
          </cell>
          <cell r="Q2186" t="str">
            <v>金属、非金属与采矿</v>
          </cell>
          <cell r="BC2186">
            <v>0.16354016354016365</v>
          </cell>
          <cell r="BD2186">
            <v>0.11732101616628189</v>
          </cell>
          <cell r="BE2186">
            <v>-0.16994857527282856</v>
          </cell>
          <cell r="BF2186">
            <v>0.41691600799560546</v>
          </cell>
          <cell r="BG2186">
            <v>0.19639200210571289</v>
          </cell>
        </row>
        <row r="2187">
          <cell r="D2187" t="str">
            <v>纺织品</v>
          </cell>
          <cell r="M2187">
            <v>29.799991999999996</v>
          </cell>
          <cell r="N2187">
            <v>16.02543874987753</v>
          </cell>
          <cell r="O2187" t="str">
            <v>可选消费</v>
          </cell>
          <cell r="P2187" t="str">
            <v>耐用消费品与服装</v>
          </cell>
          <cell r="Q2187" t="str">
            <v>纺织品、服装与奢侈品</v>
          </cell>
          <cell r="BC2187">
            <v>5.6353902507737448E-4</v>
          </cell>
          <cell r="BD2187">
            <v>-2.578875171467777E-2</v>
          </cell>
          <cell r="BE2187">
            <v>0.88882978723404238</v>
          </cell>
          <cell r="BF2187">
            <v>0.70110000610351564</v>
          </cell>
          <cell r="BG2187">
            <v>0.36914398193359377</v>
          </cell>
        </row>
        <row r="2188">
          <cell r="D2188" t="str">
            <v>消费电子产品</v>
          </cell>
          <cell r="M2188">
            <v>176.1359761224</v>
          </cell>
          <cell r="N2188">
            <v>94.719061317368045</v>
          </cell>
          <cell r="O2188" t="str">
            <v>可选消费</v>
          </cell>
          <cell r="P2188" t="str">
            <v>耐用消费品与服装</v>
          </cell>
          <cell r="Q2188" t="str">
            <v>家庭耐用消费品</v>
          </cell>
          <cell r="BC2188">
            <v>0.13440514469453374</v>
          </cell>
          <cell r="BD2188">
            <v>0.13659793814432997</v>
          </cell>
          <cell r="BE2188">
            <v>7.1539399517847629E-2</v>
          </cell>
          <cell r="BF2188">
            <v>0.4695600128173828</v>
          </cell>
          <cell r="BG2188">
            <v>0.23993999481201173</v>
          </cell>
        </row>
        <row r="2189">
          <cell r="D2189" t="str">
            <v>应用软件</v>
          </cell>
          <cell r="M2189">
            <v>96.104583000000005</v>
          </cell>
          <cell r="N2189">
            <v>51.671627257063236</v>
          </cell>
          <cell r="O2189" t="str">
            <v>信息技术</v>
          </cell>
          <cell r="P2189" t="str">
            <v>软件与服务</v>
          </cell>
          <cell r="Q2189" t="str">
            <v>软件</v>
          </cell>
          <cell r="BC2189">
            <v>9.7279999999999978E-2</v>
          </cell>
          <cell r="BD2189">
            <v>7.1562499999999973E-2</v>
          </cell>
          <cell r="BE2189">
            <v>0</v>
          </cell>
          <cell r="BF2189">
            <v>0</v>
          </cell>
          <cell r="BG2189">
            <v>0</v>
          </cell>
        </row>
        <row r="2190">
          <cell r="D2190" t="str">
            <v>生物科技</v>
          </cell>
          <cell r="M2190">
            <v>252.8</v>
          </cell>
          <cell r="N2190">
            <v>135.91646802071187</v>
          </cell>
          <cell r="O2190" t="str">
            <v>医疗保健</v>
          </cell>
          <cell r="P2190" t="str">
            <v>制药、生物科技与生命科学</v>
          </cell>
          <cell r="Q2190" t="str">
            <v>生物科技Ⅲ</v>
          </cell>
          <cell r="BC2190">
            <v>4.1529334212261092E-2</v>
          </cell>
          <cell r="BD2190">
            <v>0.15244347191830779</v>
          </cell>
          <cell r="BE2190">
            <v>9.1919799854094139E-2</v>
          </cell>
          <cell r="BF2190">
            <v>0.19191600799560546</v>
          </cell>
          <cell r="BG2190">
            <v>0.18009599685668945</v>
          </cell>
        </row>
        <row r="2191">
          <cell r="D2191" t="str">
            <v>金属非金属</v>
          </cell>
          <cell r="M2191">
            <v>70.160393847999998</v>
          </cell>
          <cell r="N2191">
            <v>37.714054126499455</v>
          </cell>
          <cell r="O2191" t="str">
            <v>材料</v>
          </cell>
          <cell r="P2191" t="str">
            <v>材料Ⅱ</v>
          </cell>
          <cell r="Q2191" t="str">
            <v>金属、非金属与采矿</v>
          </cell>
          <cell r="BC2191">
            <v>0.12765957446808501</v>
          </cell>
          <cell r="BD2191">
            <v>5.6829511465603222E-2</v>
          </cell>
          <cell r="BE2191">
            <v>-0.30809399477806793</v>
          </cell>
          <cell r="BF2191">
            <v>0.20013599395751952</v>
          </cell>
          <cell r="BG2191">
            <v>2.8980000019073485E-2</v>
          </cell>
        </row>
        <row r="2192">
          <cell r="D2192" t="str">
            <v>半导体产品</v>
          </cell>
          <cell r="M2192">
            <v>228.99087795559998</v>
          </cell>
          <cell r="N2192">
            <v>123.08190882564033</v>
          </cell>
          <cell r="O2192" t="str">
            <v>信息技术</v>
          </cell>
          <cell r="P2192" t="str">
            <v>半导体与半导体生产设备</v>
          </cell>
          <cell r="Q2192" t="str">
            <v>半导体产品与半导体设备</v>
          </cell>
          <cell r="BC2192">
            <v>1.4051522248243678E-2</v>
          </cell>
          <cell r="BD2192">
            <v>-3.2402234636871419E-2</v>
          </cell>
          <cell r="BE2192">
            <v>-0.42344793901860828</v>
          </cell>
          <cell r="BF2192">
            <v>0.23829599380493163</v>
          </cell>
          <cell r="BG2192">
            <v>0.12539999961853027</v>
          </cell>
        </row>
        <row r="2193">
          <cell r="D2193" t="str">
            <v>公路运输</v>
          </cell>
          <cell r="M2193">
            <v>72.78777397799999</v>
          </cell>
          <cell r="N2193">
            <v>39.118916816664687</v>
          </cell>
          <cell r="O2193" t="str">
            <v>工业</v>
          </cell>
          <cell r="P2193" t="str">
            <v>运输</v>
          </cell>
          <cell r="Q2193" t="str">
            <v>公路与铁路运输</v>
          </cell>
          <cell r="BC2193">
            <v>2.912621359223308E-2</v>
          </cell>
          <cell r="BD2193">
            <v>-8.4101382488479218E-2</v>
          </cell>
          <cell r="BE2193">
            <v>6.5405304350908605E-2</v>
          </cell>
          <cell r="BF2193">
            <v>0.32006401062011719</v>
          </cell>
          <cell r="BG2193">
            <v>0.29821199417114258</v>
          </cell>
        </row>
        <row r="2194">
          <cell r="D2194" t="str">
            <v>化肥与农用化工</v>
          </cell>
          <cell r="M2194">
            <v>31.483498647900003</v>
          </cell>
          <cell r="N2194">
            <v>16.920226597435313</v>
          </cell>
          <cell r="O2194" t="str">
            <v>材料</v>
          </cell>
          <cell r="P2194" t="str">
            <v>材料Ⅱ</v>
          </cell>
          <cell r="Q2194" t="str">
            <v>化工</v>
          </cell>
          <cell r="BC2194">
            <v>7.8125000000000042E-2</v>
          </cell>
          <cell r="BD2194">
            <v>8.3333333333333495E-2</v>
          </cell>
          <cell r="BE2194">
            <v>0.24238227146814417</v>
          </cell>
          <cell r="BF2194">
            <v>0.35855998992919924</v>
          </cell>
          <cell r="BG2194">
            <v>9.7379999160766603E-2</v>
          </cell>
        </row>
        <row r="2195">
          <cell r="D2195" t="str">
            <v>金属与玻璃容器</v>
          </cell>
          <cell r="M2195">
            <v>90.324006841199989</v>
          </cell>
          <cell r="N2195">
            <v>48.541879426888897</v>
          </cell>
          <cell r="O2195" t="str">
            <v>材料</v>
          </cell>
          <cell r="P2195" t="str">
            <v>材料Ⅱ</v>
          </cell>
          <cell r="Q2195" t="str">
            <v>容器与包装</v>
          </cell>
          <cell r="BC2195">
            <v>4.9568600913551003E-2</v>
          </cell>
          <cell r="BD2195">
            <v>9.5725891910985558E-2</v>
          </cell>
          <cell r="BE2195">
            <v>2.8438661710037172</v>
          </cell>
          <cell r="BF2195">
            <v>0.91791603088378904</v>
          </cell>
          <cell r="BG2195">
            <v>0.31556400299072268</v>
          </cell>
        </row>
        <row r="2196">
          <cell r="D2196" t="str">
            <v>房地产开发</v>
          </cell>
          <cell r="M2196">
            <v>51.758477231400001</v>
          </cell>
          <cell r="N2196">
            <v>27.81393103565803</v>
          </cell>
          <cell r="O2196" t="str">
            <v>金融</v>
          </cell>
          <cell r="P2196" t="str">
            <v>房地产</v>
          </cell>
          <cell r="Q2196" t="str">
            <v>房地产管理与开发</v>
          </cell>
          <cell r="BC2196">
            <v>1.7857142857142828E-2</v>
          </cell>
          <cell r="BD2196">
            <v>-1.72413793103448E-2</v>
          </cell>
          <cell r="BE2196">
            <v>-0.51332708967792828</v>
          </cell>
          <cell r="BF2196">
            <v>0.10086000442504883</v>
          </cell>
          <cell r="BG2196">
            <v>3.0480000376701356E-3</v>
          </cell>
        </row>
        <row r="2197">
          <cell r="D2197" t="str">
            <v>机动车零配件与设备</v>
          </cell>
          <cell r="M2197">
            <v>68.141314420800001</v>
          </cell>
          <cell r="N2197">
            <v>36.615582612259189</v>
          </cell>
          <cell r="O2197" t="str">
            <v>可选消费</v>
          </cell>
          <cell r="P2197" t="str">
            <v>汽车与汽车零部件</v>
          </cell>
          <cell r="Q2197" t="str">
            <v>汽车零配件</v>
          </cell>
          <cell r="BC2197">
            <v>0.12366972477064224</v>
          </cell>
          <cell r="BD2197">
            <v>7.7220756376429209E-2</v>
          </cell>
          <cell r="BE2197">
            <v>0.92000889239445971</v>
          </cell>
          <cell r="BF2197">
            <v>0.78835197448730465</v>
          </cell>
          <cell r="BG2197">
            <v>0.24669599533081055</v>
          </cell>
        </row>
        <row r="2198">
          <cell r="D2198" t="str">
            <v>电气部件与设备</v>
          </cell>
          <cell r="M2198">
            <v>36.0672</v>
          </cell>
          <cell r="N2198">
            <v>19.379734620893334</v>
          </cell>
          <cell r="O2198" t="str">
            <v>工业</v>
          </cell>
          <cell r="P2198" t="str">
            <v>资本货物</v>
          </cell>
          <cell r="Q2198" t="str">
            <v>电气设备</v>
          </cell>
          <cell r="BC2198">
            <v>9.6094234345939292E-2</v>
          </cell>
          <cell r="BD2198">
            <v>0.11405166981726532</v>
          </cell>
          <cell r="BE2198">
            <v>4.9134116705030926E-3</v>
          </cell>
          <cell r="BF2198">
            <v>0.20462400436401368</v>
          </cell>
          <cell r="BG2198">
            <v>0</v>
          </cell>
        </row>
        <row r="2199">
          <cell r="D2199" t="str">
            <v>电气部件与设备</v>
          </cell>
          <cell r="M2199">
            <v>52.348587199999997</v>
          </cell>
          <cell r="N2199">
            <v>28.12668390483411</v>
          </cell>
          <cell r="O2199" t="str">
            <v>工业</v>
          </cell>
          <cell r="P2199" t="str">
            <v>资本货物</v>
          </cell>
          <cell r="Q2199" t="str">
            <v>电气设备</v>
          </cell>
          <cell r="BC2199">
            <v>0</v>
          </cell>
          <cell r="BD2199">
            <v>0</v>
          </cell>
          <cell r="BE2199">
            <v>0.28172043010752679</v>
          </cell>
          <cell r="BF2199">
            <v>0.68736000061035152</v>
          </cell>
          <cell r="BG2199">
            <v>0</v>
          </cell>
        </row>
        <row r="2200">
          <cell r="D2200" t="str">
            <v>电气部件与设备</v>
          </cell>
          <cell r="M2200">
            <v>54.385873641999993</v>
          </cell>
          <cell r="N2200">
            <v>29.220945239635</v>
          </cell>
          <cell r="O2200" t="str">
            <v>工业</v>
          </cell>
          <cell r="P2200" t="str">
            <v>资本货物</v>
          </cell>
          <cell r="Q2200" t="str">
            <v>电气设备</v>
          </cell>
          <cell r="BC2200">
            <v>5.1039697542533E-2</v>
          </cell>
          <cell r="BD2200">
            <v>2.7726432532347405E-2</v>
          </cell>
          <cell r="BE2200">
            <v>-0.18114874815905749</v>
          </cell>
          <cell r="BF2200">
            <v>0.34611598968505858</v>
          </cell>
          <cell r="BG2200">
            <v>7.4208002090454098E-2</v>
          </cell>
        </row>
        <row r="2201">
          <cell r="D2201" t="str">
            <v>互联网软件与服务</v>
          </cell>
          <cell r="M2201">
            <v>263.36727662210001</v>
          </cell>
          <cell r="N2201">
            <v>141.42155780073239</v>
          </cell>
          <cell r="O2201" t="str">
            <v>信息技术</v>
          </cell>
          <cell r="P2201" t="str">
            <v>软件与服务</v>
          </cell>
          <cell r="Q2201" t="str">
            <v>互联网软件与服务Ⅲ</v>
          </cell>
          <cell r="BC2201">
            <v>0</v>
          </cell>
          <cell r="BD2201">
            <v>0</v>
          </cell>
          <cell r="BE2201">
            <v>15.947805118167201</v>
          </cell>
          <cell r="BF2201">
            <v>0</v>
          </cell>
          <cell r="BG2201">
            <v>0</v>
          </cell>
        </row>
        <row r="2202">
          <cell r="D2202" t="str">
            <v>中药</v>
          </cell>
          <cell r="M2202">
            <v>63.015073799999996</v>
          </cell>
          <cell r="N2202">
            <v>33.829807650021571</v>
          </cell>
          <cell r="O2202" t="str">
            <v>医疗保健</v>
          </cell>
          <cell r="P2202" t="str">
            <v>制药、生物科技与生命科学</v>
          </cell>
          <cell r="Q2202" t="str">
            <v>制药</v>
          </cell>
          <cell r="BC2202">
            <v>-8.0971659919026613E-4</v>
          </cell>
          <cell r="BD2202">
            <v>-4.9306625577812062E-2</v>
          </cell>
          <cell r="BE2202">
            <v>0.20602735198347452</v>
          </cell>
          <cell r="BF2202">
            <v>0.46060798645019529</v>
          </cell>
          <cell r="BG2202">
            <v>0</v>
          </cell>
        </row>
        <row r="2203">
          <cell r="D2203" t="str">
            <v>工业机械</v>
          </cell>
          <cell r="M2203">
            <v>33.659999999999997</v>
          </cell>
          <cell r="N2203">
            <v>18.067106101157528</v>
          </cell>
          <cell r="O2203" t="str">
            <v>工业</v>
          </cell>
          <cell r="P2203" t="str">
            <v>资本货物</v>
          </cell>
          <cell r="Q2203" t="str">
            <v>机械</v>
          </cell>
          <cell r="BC2203">
            <v>9.1843288375080268E-2</v>
          </cell>
          <cell r="BD2203">
            <v>1.1302795954788893E-2</v>
          </cell>
          <cell r="BE2203">
            <v>0.16093597282183497</v>
          </cell>
          <cell r="BF2203">
            <v>0.3983879852294922</v>
          </cell>
          <cell r="BG2203">
            <v>0.15807600021362306</v>
          </cell>
        </row>
        <row r="2204">
          <cell r="D2204" t="str">
            <v>石油天然气设备与服务</v>
          </cell>
          <cell r="M2204">
            <v>96.512</v>
          </cell>
          <cell r="N2204">
            <v>51.793122337680181</v>
          </cell>
          <cell r="O2204" t="str">
            <v>能源</v>
          </cell>
          <cell r="P2204" t="str">
            <v>能源Ⅱ</v>
          </cell>
          <cell r="Q2204" t="str">
            <v>能源设备与服务</v>
          </cell>
          <cell r="BC2204">
            <v>-1.1795543905635631E-2</v>
          </cell>
          <cell r="BD2204">
            <v>-0.19185423365487675</v>
          </cell>
          <cell r="BE2204">
            <v>0.18132970443442464</v>
          </cell>
          <cell r="BF2204">
            <v>0.75278396606445308</v>
          </cell>
          <cell r="BG2204">
            <v>0</v>
          </cell>
        </row>
        <row r="2205">
          <cell r="D2205" t="str">
            <v>电子元件</v>
          </cell>
          <cell r="M2205">
            <v>161.08594421400002</v>
          </cell>
          <cell r="N2205">
            <v>86.446517053053711</v>
          </cell>
          <cell r="O2205" t="str">
            <v>信息技术</v>
          </cell>
          <cell r="P2205" t="str">
            <v>技术硬件与设备</v>
          </cell>
          <cell r="Q2205" t="str">
            <v>电子设备、仪器和元件</v>
          </cell>
          <cell r="BC2205">
            <v>4.0462427745664902E-3</v>
          </cell>
          <cell r="BD2205">
            <v>6.6298342541436586E-2</v>
          </cell>
          <cell r="BE2205">
            <v>0.39433996710586094</v>
          </cell>
          <cell r="BF2205">
            <v>0.54158401489257812</v>
          </cell>
          <cell r="BG2205">
            <v>0.26625600814819333</v>
          </cell>
        </row>
        <row r="2206">
          <cell r="D2206" t="str">
            <v>建筑机械与重型卡车</v>
          </cell>
          <cell r="M2206">
            <v>42.393173931</v>
          </cell>
          <cell r="N2206">
            <v>22.748532883544442</v>
          </cell>
          <cell r="O2206" t="str">
            <v>工业</v>
          </cell>
          <cell r="P2206" t="str">
            <v>资本货物</v>
          </cell>
          <cell r="Q2206" t="str">
            <v>机械</v>
          </cell>
          <cell r="BC2206">
            <v>1.5702479338842935E-2</v>
          </cell>
          <cell r="BD2206">
            <v>3.5383319292333612E-2</v>
          </cell>
          <cell r="BE2206">
            <v>-0.10487982520029142</v>
          </cell>
          <cell r="BF2206">
            <v>0.49419601440429689</v>
          </cell>
          <cell r="BG2206">
            <v>1.3020000457763671E-2</v>
          </cell>
        </row>
        <row r="2207">
          <cell r="D2207" t="str">
            <v>多元化工</v>
          </cell>
          <cell r="M2207">
            <v>34.393589999999996</v>
          </cell>
          <cell r="N2207">
            <v>18.454388426519845</v>
          </cell>
          <cell r="O2207" t="str">
            <v>材料</v>
          </cell>
          <cell r="P2207" t="str">
            <v>材料Ⅱ</v>
          </cell>
          <cell r="Q2207" t="str">
            <v>化工</v>
          </cell>
          <cell r="BC2207">
            <v>-1.5961138098542708E-2</v>
          </cell>
          <cell r="BD2207">
            <v>7.0188679245282992E-2</v>
          </cell>
          <cell r="BE2207">
            <v>0.53782165771922663</v>
          </cell>
          <cell r="BF2207">
            <v>0.4039799880981445</v>
          </cell>
          <cell r="BG2207">
            <v>0</v>
          </cell>
        </row>
        <row r="2208">
          <cell r="D2208" t="str">
            <v>房地产开发</v>
          </cell>
          <cell r="M2208">
            <v>36.7506850714</v>
          </cell>
          <cell r="N2208">
            <v>19.717827335629568</v>
          </cell>
          <cell r="O2208" t="str">
            <v>金融</v>
          </cell>
          <cell r="P2208" t="str">
            <v>房地产</v>
          </cell>
          <cell r="Q2208" t="str">
            <v>房地产管理与开发</v>
          </cell>
          <cell r="BC2208">
            <v>-5.4585152838428725E-3</v>
          </cell>
          <cell r="BD2208">
            <v>-7.9797979797979882E-2</v>
          </cell>
          <cell r="BE2208">
            <v>2.2954301012834237E-3</v>
          </cell>
          <cell r="BF2208">
            <v>0.42711601257324217</v>
          </cell>
          <cell r="BG2208">
            <v>0.24867599487304687</v>
          </cell>
        </row>
        <row r="2209">
          <cell r="D2209" t="str">
            <v>独立电力生产商与能源贸易商</v>
          </cell>
          <cell r="M2209">
            <v>60.963609789000003</v>
          </cell>
          <cell r="N2209">
            <v>32.70352481309731</v>
          </cell>
          <cell r="O2209" t="str">
            <v>公用事业</v>
          </cell>
          <cell r="P2209" t="str">
            <v>公用事业Ⅱ</v>
          </cell>
          <cell r="Q2209" t="str">
            <v>独立电力生产商与能源贸易商Ⅲ</v>
          </cell>
          <cell r="BC2209">
            <v>0</v>
          </cell>
          <cell r="BD2209">
            <v>0</v>
          </cell>
          <cell r="BE2209">
            <v>0.10264283143217445</v>
          </cell>
          <cell r="BF2209">
            <v>0.38941200256347658</v>
          </cell>
          <cell r="BG2209">
            <v>0</v>
          </cell>
        </row>
        <row r="2210">
          <cell r="D2210" t="str">
            <v>农产品</v>
          </cell>
          <cell r="M2210">
            <v>50.998602592000005</v>
          </cell>
          <cell r="N2210">
            <v>27.357591607513132</v>
          </cell>
          <cell r="O2210" t="str">
            <v>日常消费</v>
          </cell>
          <cell r="P2210" t="str">
            <v>食品、饮料与烟草</v>
          </cell>
          <cell r="Q2210" t="str">
            <v>食品</v>
          </cell>
          <cell r="BC2210">
            <v>7.389162561576354E-2</v>
          </cell>
          <cell r="BD2210">
            <v>-9.6934548467274229E-2</v>
          </cell>
          <cell r="BE2210">
            <v>0.49008885850991113</v>
          </cell>
          <cell r="BF2210">
            <v>0.46641601562500001</v>
          </cell>
          <cell r="BG2210">
            <v>3.2207999229431156E-2</v>
          </cell>
        </row>
        <row r="2211">
          <cell r="D2211" t="str">
            <v>电气部件与设备</v>
          </cell>
          <cell r="M2211">
            <v>43.366751999999998</v>
          </cell>
          <cell r="N2211">
            <v>23.260901474945985</v>
          </cell>
          <cell r="O2211" t="str">
            <v>工业</v>
          </cell>
          <cell r="P2211" t="str">
            <v>资本货物</v>
          </cell>
          <cell r="Q2211" t="str">
            <v>电气设备</v>
          </cell>
          <cell r="BC2211">
            <v>9.5579450418160194E-3</v>
          </cell>
          <cell r="BD2211">
            <v>-6.5265486725663707E-2</v>
          </cell>
          <cell r="BE2211">
            <v>-0.4470813522378414</v>
          </cell>
          <cell r="BF2211">
            <v>-6.2159997224807738E-3</v>
          </cell>
          <cell r="BG2211">
            <v>-3.1103999614715577E-2</v>
          </cell>
        </row>
        <row r="2212">
          <cell r="D2212" t="str">
            <v>金属与玻璃容器</v>
          </cell>
          <cell r="M2212">
            <v>27.880000000000003</v>
          </cell>
          <cell r="N2212">
            <v>14.951303376406251</v>
          </cell>
          <cell r="O2212" t="str">
            <v>材料</v>
          </cell>
          <cell r="P2212" t="str">
            <v>材料Ⅱ</v>
          </cell>
          <cell r="Q2212" t="str">
            <v>容器与包装</v>
          </cell>
          <cell r="BC2212">
            <v>0</v>
          </cell>
          <cell r="BD2212">
            <v>-0.11096938775510207</v>
          </cell>
          <cell r="BE2212">
            <v>-0.23318054054054041</v>
          </cell>
          <cell r="BF2212">
            <v>0</v>
          </cell>
          <cell r="BG2212">
            <v>0</v>
          </cell>
        </row>
        <row r="2213">
          <cell r="D2213" t="str">
            <v>石油天然气设备与服务</v>
          </cell>
          <cell r="M2213">
            <v>52.852928400000003</v>
          </cell>
          <cell r="N2213">
            <v>28.341409651069448</v>
          </cell>
          <cell r="O2213" t="str">
            <v>能源</v>
          </cell>
          <cell r="P2213" t="str">
            <v>能源Ⅱ</v>
          </cell>
          <cell r="Q2213" t="str">
            <v>能源设备与服务</v>
          </cell>
          <cell r="BC2213">
            <v>0.14451382694023185</v>
          </cell>
          <cell r="BD2213">
            <v>-1.8362662586074996E-2</v>
          </cell>
          <cell r="BE2213">
            <v>0.73447327470866575</v>
          </cell>
          <cell r="BF2213">
            <v>0.60853199005126957</v>
          </cell>
          <cell r="BG2213">
            <v>0</v>
          </cell>
        </row>
        <row r="2214">
          <cell r="D2214" t="str">
            <v>电力</v>
          </cell>
          <cell r="M2214">
            <v>32.300680499999999</v>
          </cell>
          <cell r="N2214">
            <v>17.320404097702163</v>
          </cell>
          <cell r="O2214" t="str">
            <v>公用事业</v>
          </cell>
          <cell r="P2214" t="str">
            <v>公用事业Ⅱ</v>
          </cell>
          <cell r="Q2214" t="str">
            <v>电力Ⅲ</v>
          </cell>
          <cell r="BC2214">
            <v>5.1008303677342791E-2</v>
          </cell>
          <cell r="BD2214">
            <v>2.7842227378190282E-2</v>
          </cell>
          <cell r="BE2214">
            <v>-0.2214615151189441</v>
          </cell>
          <cell r="BF2214">
            <v>4.6115999221801755E-2</v>
          </cell>
          <cell r="BG2214">
            <v>2.6052000522613524E-2</v>
          </cell>
        </row>
        <row r="2215">
          <cell r="D2215" t="str">
            <v>休闲用品</v>
          </cell>
          <cell r="M2215">
            <v>65.335368799999998</v>
          </cell>
          <cell r="N2215">
            <v>35.028694183673274</v>
          </cell>
          <cell r="O2215" t="str">
            <v>可选消费</v>
          </cell>
          <cell r="P2215" t="str">
            <v>耐用消费品与服装</v>
          </cell>
          <cell r="Q2215" t="str">
            <v>休闲设备与用品</v>
          </cell>
          <cell r="BC2215">
            <v>-3.0674846625766221E-3</v>
          </cell>
          <cell r="BD2215">
            <v>-7.1760085683684444E-2</v>
          </cell>
          <cell r="BE2215">
            <v>1.1458263702650122</v>
          </cell>
          <cell r="BF2215">
            <v>1.2003479766845704</v>
          </cell>
          <cell r="BG2215">
            <v>0</v>
          </cell>
        </row>
        <row r="2216">
          <cell r="D2216" t="str">
            <v>金属非金属</v>
          </cell>
          <cell r="M2216">
            <v>83.809072927999992</v>
          </cell>
          <cell r="N2216">
            <v>44.93181166107599</v>
          </cell>
          <cell r="O2216" t="str">
            <v>材料</v>
          </cell>
          <cell r="P2216" t="str">
            <v>材料Ⅱ</v>
          </cell>
          <cell r="Q2216" t="str">
            <v>金属、非金属与采矿</v>
          </cell>
          <cell r="BC2216">
            <v>-4.8065650644783138E-2</v>
          </cell>
          <cell r="BD2216">
            <v>-9.6271563717306649E-2</v>
          </cell>
          <cell r="BE2216">
            <v>0.33149908226585023</v>
          </cell>
          <cell r="BF2216">
            <v>0.60498001098632814</v>
          </cell>
          <cell r="BG2216">
            <v>0.25396799087524413</v>
          </cell>
        </row>
        <row r="2217">
          <cell r="D2217" t="str">
            <v>半导体设备</v>
          </cell>
          <cell r="M2217">
            <v>94.037399999999991</v>
          </cell>
          <cell r="N2217">
            <v>50.412469633751847</v>
          </cell>
          <cell r="O2217" t="str">
            <v>信息技术</v>
          </cell>
          <cell r="P2217" t="str">
            <v>半导体与半导体生产设备</v>
          </cell>
          <cell r="Q2217" t="str">
            <v>半导体产品与半导体设备</v>
          </cell>
          <cell r="BC2217">
            <v>8.7576374745417448E-2</v>
          </cell>
          <cell r="BD2217">
            <v>-6.6433566433566502E-2</v>
          </cell>
          <cell r="BE2217">
            <v>-0.10762032085561504</v>
          </cell>
          <cell r="BF2217">
            <v>0.15712800025939941</v>
          </cell>
          <cell r="BG2217">
            <v>0.12378000259399415</v>
          </cell>
        </row>
        <row r="2218">
          <cell r="D2218" t="str">
            <v>工业机械</v>
          </cell>
          <cell r="M2218">
            <v>34.116159541200005</v>
          </cell>
          <cell r="N2218">
            <v>18.28828132955773</v>
          </cell>
          <cell r="O2218" t="str">
            <v>工业</v>
          </cell>
          <cell r="P2218" t="str">
            <v>资本货物</v>
          </cell>
          <cell r="Q2218" t="str">
            <v>机械</v>
          </cell>
          <cell r="BC2218">
            <v>3.1019202363367929E-2</v>
          </cell>
          <cell r="BD2218">
            <v>4.7261815453863522E-2</v>
          </cell>
          <cell r="BE2218">
            <v>3.5492983827070022E-2</v>
          </cell>
          <cell r="BF2218">
            <v>0.53410800933837888</v>
          </cell>
          <cell r="BG2218">
            <v>0</v>
          </cell>
        </row>
        <row r="2219">
          <cell r="D2219" t="str">
            <v>工业机械</v>
          </cell>
          <cell r="M2219">
            <v>31.3248</v>
          </cell>
          <cell r="N2219">
            <v>16.790468707037036</v>
          </cell>
          <cell r="O2219" t="str">
            <v>工业</v>
          </cell>
          <cell r="P2219" t="str">
            <v>资本货物</v>
          </cell>
          <cell r="Q2219" t="str">
            <v>机械</v>
          </cell>
          <cell r="BC2219">
            <v>2.1363173957273558E-2</v>
          </cell>
          <cell r="BD2219">
            <v>-9.8619329388561546E-3</v>
          </cell>
          <cell r="BE2219">
            <v>0.10851555026009817</v>
          </cell>
          <cell r="BF2219">
            <v>0.25424400329589841</v>
          </cell>
          <cell r="BG2219">
            <v>0</v>
          </cell>
        </row>
        <row r="2220">
          <cell r="D2220" t="str">
            <v>信息科技咨询与其它服务</v>
          </cell>
          <cell r="M2220">
            <v>55.176000000000002</v>
          </cell>
          <cell r="N2220">
            <v>29.572034195251234</v>
          </cell>
          <cell r="O2220" t="str">
            <v>信息技术</v>
          </cell>
          <cell r="P2220" t="str">
            <v>软件与服务</v>
          </cell>
          <cell r="Q2220" t="str">
            <v>信息技术服务</v>
          </cell>
          <cell r="BC2220">
            <v>3.8424591738711955E-3</v>
          </cell>
          <cell r="BD2220">
            <v>-4.5662100456621009E-2</v>
          </cell>
          <cell r="BE2220">
            <v>-0.31400945358809035</v>
          </cell>
          <cell r="BF2220">
            <v>0.12032400131225586</v>
          </cell>
          <cell r="BG2220">
            <v>0.19715999603271483</v>
          </cell>
        </row>
        <row r="2221">
          <cell r="D2221" t="str">
            <v>工业机械</v>
          </cell>
          <cell r="M2221">
            <v>63.587451000000009</v>
          </cell>
          <cell r="N2221">
            <v>34.075528867224996</v>
          </cell>
          <cell r="O2221" t="str">
            <v>工业</v>
          </cell>
          <cell r="P2221" t="str">
            <v>资本货物</v>
          </cell>
          <cell r="Q2221" t="str">
            <v>机械</v>
          </cell>
          <cell r="BC2221">
            <v>4.5745105872952441E-2</v>
          </cell>
          <cell r="BD2221">
            <v>2.3260359655981333E-2</v>
          </cell>
          <cell r="BE2221">
            <v>2.6538620711297072</v>
          </cell>
          <cell r="BF2221">
            <v>0</v>
          </cell>
          <cell r="BG2221">
            <v>0</v>
          </cell>
        </row>
        <row r="2222">
          <cell r="D2222" t="str">
            <v>化肥与农用化工</v>
          </cell>
          <cell r="M2222">
            <v>29.688111184</v>
          </cell>
          <cell r="N2222">
            <v>15.908226887100772</v>
          </cell>
          <cell r="O2222" t="str">
            <v>材料</v>
          </cell>
          <cell r="P2222" t="str">
            <v>材料Ⅱ</v>
          </cell>
          <cell r="Q2222" t="str">
            <v>化工</v>
          </cell>
          <cell r="BC2222">
            <v>3.3578174186778623E-2</v>
          </cell>
          <cell r="BD2222">
            <v>5.1227321237993645E-2</v>
          </cell>
          <cell r="BE2222">
            <v>-2.8599605522682536E-2</v>
          </cell>
          <cell r="BF2222">
            <v>0.41467201232910156</v>
          </cell>
          <cell r="BG2222">
            <v>0.120108003616333</v>
          </cell>
        </row>
        <row r="2223">
          <cell r="D2223" t="str">
            <v>房地产开发</v>
          </cell>
          <cell r="M2223">
            <v>53.073599999999999</v>
          </cell>
          <cell r="N2223">
            <v>28.436741535797839</v>
          </cell>
          <cell r="O2223" t="str">
            <v>金融</v>
          </cell>
          <cell r="P2223" t="str">
            <v>房地产</v>
          </cell>
          <cell r="Q2223" t="str">
            <v>房地产管理与开发</v>
          </cell>
          <cell r="BC2223">
            <v>3.2258064516128913E-2</v>
          </cell>
          <cell r="BD2223">
            <v>7.6233183856502212E-2</v>
          </cell>
          <cell r="BE2223">
            <v>-0.1083911606095059</v>
          </cell>
          <cell r="BF2223">
            <v>0.31538400650024412</v>
          </cell>
          <cell r="BG2223">
            <v>7.9883999824523932E-2</v>
          </cell>
        </row>
        <row r="2224">
          <cell r="D2224" t="str">
            <v>电气部件与设备</v>
          </cell>
          <cell r="M2224">
            <v>74.584137939999991</v>
          </cell>
          <cell r="N2224">
            <v>39.958566245436131</v>
          </cell>
          <cell r="O2224" t="str">
            <v>工业</v>
          </cell>
          <cell r="P2224" t="str">
            <v>资本货物</v>
          </cell>
          <cell r="Q2224" t="str">
            <v>电气设备</v>
          </cell>
          <cell r="BC2224">
            <v>4.7562425683708859E-3</v>
          </cell>
          <cell r="BD2224">
            <v>-8.1521739130434784E-2</v>
          </cell>
          <cell r="BE2224">
            <v>0.19922339994302632</v>
          </cell>
          <cell r="BF2224">
            <v>0.42724800109863281</v>
          </cell>
          <cell r="BG2224">
            <v>0.28677600860595703</v>
          </cell>
        </row>
        <row r="2225">
          <cell r="D2225" t="str">
            <v>酒店、度假村与豪华游轮</v>
          </cell>
          <cell r="M2225">
            <v>220.5038708468</v>
          </cell>
          <cell r="N2225">
            <v>118.13451108886422</v>
          </cell>
          <cell r="O2225" t="str">
            <v>可选消费</v>
          </cell>
          <cell r="P2225" t="str">
            <v>消费者服务Ⅱ</v>
          </cell>
          <cell r="Q2225" t="str">
            <v>酒店、餐馆与休闲Ⅲ</v>
          </cell>
          <cell r="BC2225">
            <v>0</v>
          </cell>
          <cell r="BD2225">
            <v>0</v>
          </cell>
          <cell r="BE2225">
            <v>2.7980636237897647</v>
          </cell>
          <cell r="BF2225">
            <v>1.2596640014648437</v>
          </cell>
          <cell r="BG2225">
            <v>0.43471199035644531</v>
          </cell>
        </row>
        <row r="2226">
          <cell r="D2226" t="str">
            <v>电脑存储与外围设备</v>
          </cell>
          <cell r="M2226">
            <v>38.690560000000005</v>
          </cell>
          <cell r="N2226">
            <v>20.726785094820745</v>
          </cell>
          <cell r="O2226" t="str">
            <v>信息技术</v>
          </cell>
          <cell r="P2226" t="str">
            <v>技术硬件与设备</v>
          </cell>
          <cell r="Q2226" t="str">
            <v>电脑与外围设备</v>
          </cell>
          <cell r="BC2226">
            <v>-1.1604095563139927E-2</v>
          </cell>
          <cell r="BD2226">
            <v>-2.0960108181203432E-2</v>
          </cell>
          <cell r="BE2226">
            <v>0.34095719809447506</v>
          </cell>
          <cell r="BF2226">
            <v>0.55345199584960936</v>
          </cell>
          <cell r="BG2226">
            <v>0.25832399368286135</v>
          </cell>
        </row>
        <row r="2227">
          <cell r="D2227" t="str">
            <v>建材</v>
          </cell>
          <cell r="M2227">
            <v>77.831999999999994</v>
          </cell>
          <cell r="N2227">
            <v>41.692453733666667</v>
          </cell>
          <cell r="O2227" t="str">
            <v>材料</v>
          </cell>
          <cell r="P2227" t="str">
            <v>材料Ⅱ</v>
          </cell>
          <cell r="Q2227" t="str">
            <v>建材Ⅲ</v>
          </cell>
          <cell r="BC2227">
            <v>2.4523160762942742E-2</v>
          </cell>
          <cell r="BD2227">
            <v>-8.2926829268292784E-2</v>
          </cell>
          <cell r="BE2227">
            <v>0.38574938574938555</v>
          </cell>
          <cell r="BF2227">
            <v>0.69254402160644535</v>
          </cell>
          <cell r="BG2227">
            <v>0.2290559959411621</v>
          </cell>
        </row>
        <row r="2228">
          <cell r="D2228" t="str">
            <v>啤酒</v>
          </cell>
          <cell r="M2228">
            <v>87.604835718399997</v>
          </cell>
          <cell r="N2228">
            <v>46.924827009566762</v>
          </cell>
          <cell r="O2228" t="str">
            <v>日常消费</v>
          </cell>
          <cell r="P2228" t="str">
            <v>食品、饮料与烟草</v>
          </cell>
          <cell r="Q2228" t="str">
            <v>饮料</v>
          </cell>
          <cell r="BC2228">
            <v>-1.5503875968991916E-3</v>
          </cell>
          <cell r="BD2228">
            <v>-6.1728395061728444E-3</v>
          </cell>
          <cell r="BE2228">
            <v>-0.17556880224416727</v>
          </cell>
          <cell r="BF2228">
            <v>0.15748800277709962</v>
          </cell>
          <cell r="BG2228">
            <v>4.0847997665405276E-2</v>
          </cell>
        </row>
        <row r="2229">
          <cell r="D2229" t="str">
            <v>工业机械</v>
          </cell>
          <cell r="M2229">
            <v>152.72400000000002</v>
          </cell>
          <cell r="N2229">
            <v>81.80474379338888</v>
          </cell>
          <cell r="O2229" t="str">
            <v>工业</v>
          </cell>
          <cell r="P2229" t="str">
            <v>资本货物</v>
          </cell>
          <cell r="Q2229" t="str">
            <v>机械</v>
          </cell>
          <cell r="BC2229">
            <v>0.11389236545682103</v>
          </cell>
          <cell r="BD2229">
            <v>5.8893515764426058E-2</v>
          </cell>
          <cell r="BE2229">
            <v>-0.3360614116656031</v>
          </cell>
          <cell r="BF2229">
            <v>2.5908000469207763E-2</v>
          </cell>
          <cell r="BG2229">
            <v>0</v>
          </cell>
        </row>
        <row r="2230">
          <cell r="D2230" t="str">
            <v>医疗保健用品</v>
          </cell>
          <cell r="M2230">
            <v>44.775393174999998</v>
          </cell>
          <cell r="N2230">
            <v>23.981487733721554</v>
          </cell>
          <cell r="O2230" t="str">
            <v>医疗保健</v>
          </cell>
          <cell r="P2230" t="str">
            <v>医疗保健设备与服务</v>
          </cell>
          <cell r="Q2230" t="str">
            <v>医疗保健设备与用品</v>
          </cell>
          <cell r="BC2230">
            <v>3.0561478322672333E-2</v>
          </cell>
          <cell r="BD2230">
            <v>-2.6845637583892641E-2</v>
          </cell>
          <cell r="BE2230">
            <v>-0.14074496198069023</v>
          </cell>
          <cell r="BF2230">
            <v>0.20720399856567384</v>
          </cell>
          <cell r="BG2230">
            <v>0.19238399505615233</v>
          </cell>
        </row>
        <row r="2231">
          <cell r="D2231" t="str">
            <v>重型电气设备</v>
          </cell>
          <cell r="M2231">
            <v>38.568000000000005</v>
          </cell>
          <cell r="N2231">
            <v>20.653196857754079</v>
          </cell>
          <cell r="O2231" t="str">
            <v>工业</v>
          </cell>
          <cell r="P2231" t="str">
            <v>资本货物</v>
          </cell>
          <cell r="Q2231" t="str">
            <v>电气设备</v>
          </cell>
          <cell r="BC2231">
            <v>-1.3303315595579178E-2</v>
          </cell>
          <cell r="BD2231">
            <v>-0.21571498291849681</v>
          </cell>
          <cell r="BE2231">
            <v>0.14761417295373666</v>
          </cell>
          <cell r="BF2231">
            <v>0</v>
          </cell>
          <cell r="BG2231">
            <v>0</v>
          </cell>
        </row>
        <row r="2232">
          <cell r="D2232" t="str">
            <v>钢铁</v>
          </cell>
          <cell r="M2232">
            <v>96.157682010000002</v>
          </cell>
          <cell r="N2232">
            <v>51.492196830707414</v>
          </cell>
          <cell r="O2232" t="str">
            <v>材料</v>
          </cell>
          <cell r="P2232" t="str">
            <v>材料Ⅱ</v>
          </cell>
          <cell r="Q2232" t="str">
            <v>金属、非金属与采矿</v>
          </cell>
          <cell r="BC2232">
            <v>1.4265335235377728E-3</v>
          </cell>
          <cell r="BD2232">
            <v>-0.14233353695784984</v>
          </cell>
          <cell r="BE2232">
            <v>1.580882352941176</v>
          </cell>
          <cell r="BF2232">
            <v>1.1464440155029296</v>
          </cell>
          <cell r="BG2232">
            <v>0.43872001647949221</v>
          </cell>
        </row>
        <row r="2233">
          <cell r="D2233" t="str">
            <v>电脑硬件</v>
          </cell>
          <cell r="M2233">
            <v>57.469942697</v>
          </cell>
          <cell r="N2233">
            <v>30.770383142048885</v>
          </cell>
          <cell r="O2233" t="str">
            <v>信息技术</v>
          </cell>
          <cell r="P2233" t="str">
            <v>技术硬件与设备</v>
          </cell>
          <cell r="Q2233" t="str">
            <v>电脑与外围设备</v>
          </cell>
          <cell r="BC2233">
            <v>-1.1780104712041866E-2</v>
          </cell>
          <cell r="BD2233">
            <v>-4.5512010113780067E-2</v>
          </cell>
          <cell r="BE2233">
            <v>-0.32949471756604837</v>
          </cell>
          <cell r="BF2233">
            <v>0.28834800720214843</v>
          </cell>
          <cell r="BG2233">
            <v>0.14254799842834473</v>
          </cell>
        </row>
        <row r="2234">
          <cell r="D2234" t="str">
            <v>重型电气设备</v>
          </cell>
          <cell r="M2234">
            <v>60.608000000000004</v>
          </cell>
          <cell r="N2234">
            <v>32.448745324457143</v>
          </cell>
          <cell r="O2234" t="str">
            <v>工业</v>
          </cell>
          <cell r="P2234" t="str">
            <v>资本货物</v>
          </cell>
          <cell r="Q2234" t="str">
            <v>电气设备</v>
          </cell>
          <cell r="BC2234">
            <v>0</v>
          </cell>
          <cell r="BD2234">
            <v>0</v>
          </cell>
          <cell r="BE2234">
            <v>0.75171056859311902</v>
          </cell>
          <cell r="BF2234">
            <v>0.95358001708984375</v>
          </cell>
          <cell r="BG2234">
            <v>0.31417200088500974</v>
          </cell>
        </row>
        <row r="2235">
          <cell r="D2235" t="str">
            <v>工业机械</v>
          </cell>
          <cell r="M2235">
            <v>64.221695999999994</v>
          </cell>
          <cell r="N2235">
            <v>34.380206389420728</v>
          </cell>
          <cell r="O2235" t="str">
            <v>工业</v>
          </cell>
          <cell r="P2235" t="str">
            <v>资本货物</v>
          </cell>
          <cell r="Q2235" t="str">
            <v>机械</v>
          </cell>
          <cell r="BC2235">
            <v>4.9999999999999864E-2</v>
          </cell>
          <cell r="BD2235">
            <v>-4.9274637318659303E-2</v>
          </cell>
          <cell r="BE2235">
            <v>0</v>
          </cell>
          <cell r="BF2235">
            <v>0</v>
          </cell>
          <cell r="BG2235">
            <v>0</v>
          </cell>
        </row>
        <row r="2236">
          <cell r="D2236" t="str">
            <v>食品分销商</v>
          </cell>
          <cell r="M2236">
            <v>217.21140876800001</v>
          </cell>
          <cell r="N2236">
            <v>116.27594489130816</v>
          </cell>
          <cell r="O2236" t="str">
            <v>日常消费</v>
          </cell>
          <cell r="P2236" t="str">
            <v>食品与主要用品零售Ⅱ</v>
          </cell>
          <cell r="Q2236" t="str">
            <v>食品与主要用品零售Ⅲ</v>
          </cell>
          <cell r="BC2236">
            <v>1.0260457774269991E-2</v>
          </cell>
          <cell r="BD2236">
            <v>-0.10426871938418464</v>
          </cell>
          <cell r="BE2236">
            <v>-0.15538521547838385</v>
          </cell>
          <cell r="BF2236">
            <v>0.36638401031494139</v>
          </cell>
          <cell r="BG2236">
            <v>0.13802399635314941</v>
          </cell>
        </row>
        <row r="2237">
          <cell r="D2237" t="str">
            <v>化肥与农用化工</v>
          </cell>
          <cell r="M2237">
            <v>63.948043174499986</v>
          </cell>
          <cell r="N2237">
            <v>34.221572515183333</v>
          </cell>
          <cell r="O2237" t="str">
            <v>材料</v>
          </cell>
          <cell r="P2237" t="str">
            <v>材料Ⅱ</v>
          </cell>
          <cell r="Q2237" t="str">
            <v>化工</v>
          </cell>
          <cell r="BC2237">
            <v>0.16202531645569621</v>
          </cell>
          <cell r="BD2237">
            <v>0.16202531645569621</v>
          </cell>
          <cell r="BE2237">
            <v>0.53511705685618716</v>
          </cell>
          <cell r="BF2237">
            <v>0.58332000732421874</v>
          </cell>
          <cell r="BG2237">
            <v>0.22812000274658203</v>
          </cell>
        </row>
        <row r="2238">
          <cell r="D2238" t="str">
            <v>黄金</v>
          </cell>
          <cell r="M2238">
            <v>360.03731922399999</v>
          </cell>
          <cell r="N2238">
            <v>192.63218566405101</v>
          </cell>
          <cell r="O2238" t="str">
            <v>材料</v>
          </cell>
          <cell r="P2238" t="str">
            <v>材料Ⅱ</v>
          </cell>
          <cell r="Q2238" t="str">
            <v>金属、非金属与采矿</v>
          </cell>
          <cell r="BC2238">
            <v>-7.1900220102714629E-2</v>
          </cell>
          <cell r="BD2238">
            <v>3.8161674189577333E-2</v>
          </cell>
          <cell r="BE2238">
            <v>-8.2712338573447092E-2</v>
          </cell>
          <cell r="BF2238">
            <v>0.29180400848388671</v>
          </cell>
          <cell r="BG2238">
            <v>-2.5007998943328856E-2</v>
          </cell>
        </row>
        <row r="2239">
          <cell r="D2239" t="str">
            <v>电气部件与设备</v>
          </cell>
          <cell r="M2239">
            <v>44.282128</v>
          </cell>
          <cell r="N2239">
            <v>23.689251004017919</v>
          </cell>
          <cell r="O2239" t="str">
            <v>工业</v>
          </cell>
          <cell r="P2239" t="str">
            <v>资本货物</v>
          </cell>
          <cell r="Q2239" t="str">
            <v>电气设备</v>
          </cell>
          <cell r="BC2239">
            <v>0.14194065757818761</v>
          </cell>
          <cell r="BD2239">
            <v>6.1102831594634893E-2</v>
          </cell>
          <cell r="BE2239">
            <v>0.20720024624855737</v>
          </cell>
          <cell r="BF2239">
            <v>0</v>
          </cell>
          <cell r="BG2239">
            <v>0</v>
          </cell>
        </row>
        <row r="2240">
          <cell r="D2240" t="str">
            <v>金属非金属</v>
          </cell>
          <cell r="M2240">
            <v>35.096803350000002</v>
          </cell>
          <cell r="N2240">
            <v>18.77418459734097</v>
          </cell>
          <cell r="O2240" t="str">
            <v>材料</v>
          </cell>
          <cell r="P2240" t="str">
            <v>材料Ⅱ</v>
          </cell>
          <cell r="Q2240" t="str">
            <v>金属、非金属与采矿</v>
          </cell>
          <cell r="BC2240">
            <v>-1.8966644865925388E-2</v>
          </cell>
          <cell r="BD2240">
            <v>0.14416475972540052</v>
          </cell>
          <cell r="BE2240">
            <v>4.3492859501972653E-2</v>
          </cell>
          <cell r="BF2240">
            <v>0.36090000152587892</v>
          </cell>
          <cell r="BG2240">
            <v>4.9727997779846191E-2</v>
          </cell>
        </row>
        <row r="2241">
          <cell r="D2241" t="str">
            <v>纺织品</v>
          </cell>
          <cell r="M2241">
            <v>38.650635258900003</v>
          </cell>
          <cell r="N2241">
            <v>20.669413218300001</v>
          </cell>
          <cell r="O2241" t="str">
            <v>可选消费</v>
          </cell>
          <cell r="P2241" t="str">
            <v>耐用消费品与服装</v>
          </cell>
          <cell r="Q2241" t="str">
            <v>纺织品、服装与奢侈品</v>
          </cell>
          <cell r="BC2241">
            <v>-1.4351614556637679E-2</v>
          </cell>
          <cell r="BD2241">
            <v>-0.17254733218588633</v>
          </cell>
          <cell r="BE2241">
            <v>0.28887399463806973</v>
          </cell>
          <cell r="BF2241">
            <v>0.7232640075683594</v>
          </cell>
          <cell r="BG2241">
            <v>0.22765199661254884</v>
          </cell>
        </row>
        <row r="2242">
          <cell r="D2242" t="str">
            <v>航空货运与物流</v>
          </cell>
          <cell r="M2242">
            <v>47.0840958</v>
          </cell>
          <cell r="N2242">
            <v>25.176917421774235</v>
          </cell>
          <cell r="O2242" t="str">
            <v>工业</v>
          </cell>
          <cell r="P2242" t="str">
            <v>运输</v>
          </cell>
          <cell r="Q2242" t="str">
            <v>航空货运与物流Ⅲ</v>
          </cell>
          <cell r="BC2242">
            <v>4.3760129659643363E-2</v>
          </cell>
          <cell r="BD2242">
            <v>-5.4794520547945251E-2</v>
          </cell>
          <cell r="BE2242">
            <v>0.2150880674696162</v>
          </cell>
          <cell r="BF2242">
            <v>0.63853199005126948</v>
          </cell>
          <cell r="BG2242">
            <v>0</v>
          </cell>
        </row>
        <row r="2243">
          <cell r="D2243" t="str">
            <v>电子元件</v>
          </cell>
          <cell r="M2243">
            <v>141.68604916000001</v>
          </cell>
          <cell r="N2243">
            <v>75.756162170587771</v>
          </cell>
          <cell r="O2243" t="str">
            <v>信息技术</v>
          </cell>
          <cell r="P2243" t="str">
            <v>技术硬件与设备</v>
          </cell>
          <cell r="Q2243" t="str">
            <v>电子设备、仪器和元件</v>
          </cell>
          <cell r="BC2243">
            <v>4.2771883289124638E-2</v>
          </cell>
          <cell r="BD2243">
            <v>9.9650349650349565E-2</v>
          </cell>
          <cell r="BE2243">
            <v>-1.632508521697407E-2</v>
          </cell>
          <cell r="BF2243">
            <v>0.90902397155761716</v>
          </cell>
          <cell r="BG2243">
            <v>0.43152000427246096</v>
          </cell>
        </row>
        <row r="2244">
          <cell r="D2244" t="str">
            <v>基础化工</v>
          </cell>
          <cell r="M2244">
            <v>37.575090000000003</v>
          </cell>
          <cell r="N2244">
            <v>20.085642580537037</v>
          </cell>
          <cell r="O2244" t="str">
            <v>材料</v>
          </cell>
          <cell r="P2244" t="str">
            <v>材料Ⅱ</v>
          </cell>
          <cell r="Q2244" t="str">
            <v>化工</v>
          </cell>
          <cell r="BC2244">
            <v>-1.1425603739288437E-2</v>
          </cell>
          <cell r="BD2244">
            <v>5.1076753175041456E-2</v>
          </cell>
          <cell r="BE2244">
            <v>0</v>
          </cell>
          <cell r="BF2244">
            <v>0</v>
          </cell>
          <cell r="BG2244">
            <v>0</v>
          </cell>
        </row>
        <row r="2245">
          <cell r="D2245" t="str">
            <v>广告</v>
          </cell>
          <cell r="M2245">
            <v>46.115639000000002</v>
          </cell>
          <cell r="N2245">
            <v>24.650094457561728</v>
          </cell>
          <cell r="O2245" t="str">
            <v>可选消费</v>
          </cell>
          <cell r="P2245" t="str">
            <v>媒体Ⅱ</v>
          </cell>
          <cell r="Q2245" t="str">
            <v>媒体Ⅲ</v>
          </cell>
          <cell r="BC2245">
            <v>6.841339155749619E-3</v>
          </cell>
          <cell r="BD2245">
            <v>-0.12553729456384316</v>
          </cell>
          <cell r="BE2245">
            <v>0.4938258699590255</v>
          </cell>
          <cell r="BF2245">
            <v>0</v>
          </cell>
          <cell r="BG2245">
            <v>0</v>
          </cell>
        </row>
        <row r="2246">
          <cell r="D2246" t="str">
            <v>工业机械</v>
          </cell>
          <cell r="M2246">
            <v>54.291070254600008</v>
          </cell>
          <cell r="N2246">
            <v>29.018528065717597</v>
          </cell>
          <cell r="O2246" t="str">
            <v>工业</v>
          </cell>
          <cell r="P2246" t="str">
            <v>资本货物</v>
          </cell>
          <cell r="Q2246" t="str">
            <v>机械</v>
          </cell>
          <cell r="BC2246">
            <v>-4.0141676505312848E-2</v>
          </cell>
          <cell r="BD2246">
            <v>-3.0989272943980902E-2</v>
          </cell>
          <cell r="BE2246">
            <v>0.3838066301786241</v>
          </cell>
          <cell r="BF2246">
            <v>0.63142799377441405</v>
          </cell>
          <cell r="BG2246">
            <v>0.20191200256347655</v>
          </cell>
        </row>
        <row r="2247">
          <cell r="D2247" t="str">
            <v>生物科技</v>
          </cell>
          <cell r="M2247">
            <v>70.833468073600002</v>
          </cell>
          <cell r="N2247">
            <v>37.859443636252777</v>
          </cell>
          <cell r="O2247" t="str">
            <v>医疗保健</v>
          </cell>
          <cell r="P2247" t="str">
            <v>制药、生物科技与生命科学</v>
          </cell>
          <cell r="Q2247" t="str">
            <v>生物科技Ⅲ</v>
          </cell>
          <cell r="BC2247">
            <v>-3.5063113604488078E-2</v>
          </cell>
          <cell r="BD2247">
            <v>-1.9943019943019898E-2</v>
          </cell>
          <cell r="BE2247">
            <v>9.3799682034976128E-2</v>
          </cell>
          <cell r="BF2247">
            <v>0.45925201416015626</v>
          </cell>
          <cell r="BG2247">
            <v>8.0207996368408196E-2</v>
          </cell>
        </row>
        <row r="2248">
          <cell r="D2248" t="str">
            <v>农产品</v>
          </cell>
          <cell r="M2248">
            <v>210.83283720739999</v>
          </cell>
          <cell r="N2248">
            <v>112.68630271384289</v>
          </cell>
          <cell r="O2248" t="str">
            <v>日常消费</v>
          </cell>
          <cell r="P2248" t="str">
            <v>食品、饮料与烟草</v>
          </cell>
          <cell r="Q2248" t="str">
            <v>食品</v>
          </cell>
          <cell r="BC2248">
            <v>9.007352941176458E-2</v>
          </cell>
          <cell r="BD2248">
            <v>6.2724014336917502E-2</v>
          </cell>
          <cell r="BE2248">
            <v>-0.18476284623504199</v>
          </cell>
          <cell r="BF2248">
            <v>0.17888399124145507</v>
          </cell>
          <cell r="BG2248">
            <v>4.7267999649047848E-2</v>
          </cell>
        </row>
        <row r="2249">
          <cell r="D2249" t="str">
            <v>房地产开发</v>
          </cell>
          <cell r="M2249">
            <v>93.291894841599998</v>
          </cell>
          <cell r="N2249">
            <v>49.852455836505563</v>
          </cell>
          <cell r="O2249" t="str">
            <v>金融</v>
          </cell>
          <cell r="P2249" t="str">
            <v>房地产</v>
          </cell>
          <cell r="Q2249" t="str">
            <v>房地产管理与开发</v>
          </cell>
          <cell r="BC2249">
            <v>-2.5029797377830849E-2</v>
          </cell>
          <cell r="BD2249">
            <v>-3.3096926713948122E-2</v>
          </cell>
          <cell r="BE2249">
            <v>0.61023622047244086</v>
          </cell>
          <cell r="BF2249">
            <v>0.63630001068115238</v>
          </cell>
          <cell r="BG2249">
            <v>0.22894800186157227</v>
          </cell>
        </row>
        <row r="2250">
          <cell r="D2250" t="str">
            <v>航天航空与国防</v>
          </cell>
          <cell r="M2250">
            <v>78.934799999999996</v>
          </cell>
          <cell r="N2250">
            <v>42.172921428114165</v>
          </cell>
          <cell r="O2250" t="str">
            <v>工业</v>
          </cell>
          <cell r="P2250" t="str">
            <v>资本货物</v>
          </cell>
          <cell r="Q2250" t="str">
            <v>航空航天与国防Ⅲ</v>
          </cell>
          <cell r="BC2250">
            <v>-1.6638760987861066E-2</v>
          </cell>
          <cell r="BD2250">
            <v>-0.15706853247219235</v>
          </cell>
          <cell r="BE2250">
            <v>0</v>
          </cell>
          <cell r="BF2250">
            <v>0</v>
          </cell>
          <cell r="BG2250">
            <v>0</v>
          </cell>
        </row>
        <row r="2251">
          <cell r="D2251" t="str">
            <v>综合类行业</v>
          </cell>
          <cell r="M2251">
            <v>48.579205833000003</v>
          </cell>
          <cell r="N2251">
            <v>25.952874397296778</v>
          </cell>
          <cell r="O2251" t="str">
            <v>工业</v>
          </cell>
          <cell r="P2251" t="str">
            <v>资本货物</v>
          </cell>
          <cell r="Q2251" t="str">
            <v>综合类Ⅲ</v>
          </cell>
          <cell r="BC2251">
            <v>0</v>
          </cell>
          <cell r="BD2251">
            <v>4.779411764705889E-2</v>
          </cell>
          <cell r="BE2251">
            <v>-0.31468101459195624</v>
          </cell>
          <cell r="BF2251">
            <v>0.34126800537109375</v>
          </cell>
          <cell r="BG2251">
            <v>0.18136800765991212</v>
          </cell>
        </row>
        <row r="2252">
          <cell r="D2252" t="str">
            <v>服装、服饰与奢侈品</v>
          </cell>
          <cell r="M2252">
            <v>35.435810826000001</v>
          </cell>
          <cell r="N2252">
            <v>18.926715227783795</v>
          </cell>
          <cell r="O2252" t="str">
            <v>可选消费</v>
          </cell>
          <cell r="P2252" t="str">
            <v>耐用消费品与服装</v>
          </cell>
          <cell r="Q2252" t="str">
            <v>纺织品、服装与奢侈品</v>
          </cell>
          <cell r="BC2252">
            <v>0.23685103495079757</v>
          </cell>
          <cell r="BD2252">
            <v>0.25171703296703302</v>
          </cell>
          <cell r="BE2252">
            <v>0.41553398058252439</v>
          </cell>
          <cell r="BF2252">
            <v>0.77276397705078126</v>
          </cell>
          <cell r="BG2252">
            <v>0.25513200759887694</v>
          </cell>
        </row>
        <row r="2253">
          <cell r="D2253" t="str">
            <v>建筑产品</v>
          </cell>
          <cell r="M2253">
            <v>46.722716941599998</v>
          </cell>
          <cell r="N2253">
            <v>24.954770620800556</v>
          </cell>
          <cell r="O2253" t="str">
            <v>工业</v>
          </cell>
          <cell r="P2253" t="str">
            <v>资本货物</v>
          </cell>
          <cell r="Q2253" t="str">
            <v>建筑产品Ⅲ</v>
          </cell>
          <cell r="BC2253">
            <v>3.632887189292533E-2</v>
          </cell>
          <cell r="BD2253">
            <v>-1.0948905109489142E-2</v>
          </cell>
          <cell r="BE2253">
            <v>-0.1194967349288458</v>
          </cell>
          <cell r="BF2253">
            <v>0.33255599975585937</v>
          </cell>
          <cell r="BG2253">
            <v>8.7924003601074219E-2</v>
          </cell>
        </row>
        <row r="2254">
          <cell r="D2254" t="str">
            <v>服装、服饰与奢侈品</v>
          </cell>
          <cell r="M2254">
            <v>84.3836906322</v>
          </cell>
          <cell r="N2254">
            <v>45.069427126717784</v>
          </cell>
          <cell r="O2254" t="str">
            <v>可选消费</v>
          </cell>
          <cell r="P2254" t="str">
            <v>耐用消费品与服装</v>
          </cell>
          <cell r="Q2254" t="str">
            <v>纺织品、服装与奢侈品</v>
          </cell>
          <cell r="BC2254">
            <v>-4.4490429384376591E-2</v>
          </cell>
          <cell r="BD2254">
            <v>-0.11753463927376975</v>
          </cell>
          <cell r="BE2254">
            <v>0.41207951070336379</v>
          </cell>
          <cell r="BF2254">
            <v>0.49305599212646484</v>
          </cell>
          <cell r="BG2254">
            <v>0.21889200210571289</v>
          </cell>
        </row>
        <row r="2255">
          <cell r="D2255" t="str">
            <v>电子设备和仪器</v>
          </cell>
          <cell r="M2255">
            <v>53.664901083899998</v>
          </cell>
          <cell r="N2255">
            <v>28.661634853418398</v>
          </cell>
          <cell r="O2255" t="str">
            <v>信息技术</v>
          </cell>
          <cell r="P2255" t="str">
            <v>技术硬件与设备</v>
          </cell>
          <cell r="Q2255" t="str">
            <v>电子设备、仪器和元件</v>
          </cell>
          <cell r="BC2255">
            <v>7.6404494382022445E-2</v>
          </cell>
          <cell r="BD2255">
            <v>0.15887096774193538</v>
          </cell>
          <cell r="BE2255">
            <v>0.14643320863805356</v>
          </cell>
          <cell r="BF2255">
            <v>0.54688800811767579</v>
          </cell>
          <cell r="BG2255">
            <v>0</v>
          </cell>
        </row>
        <row r="2256">
          <cell r="D2256" t="str">
            <v>机动车零配件与设备</v>
          </cell>
          <cell r="M2256">
            <v>54.810503615999998</v>
          </cell>
          <cell r="N2256">
            <v>29.271847555333331</v>
          </cell>
          <cell r="O2256" t="str">
            <v>可选消费</v>
          </cell>
          <cell r="P2256" t="str">
            <v>汽车与汽车零部件</v>
          </cell>
          <cell r="Q2256" t="str">
            <v>汽车零配件</v>
          </cell>
          <cell r="BC2256">
            <v>1.8050541516245425E-2</v>
          </cell>
          <cell r="BD2256">
            <v>1.075268817204294E-2</v>
          </cell>
          <cell r="BE2256">
            <v>-0.30541871921182262</v>
          </cell>
          <cell r="BF2256">
            <v>0.28719600677490237</v>
          </cell>
          <cell r="BG2256">
            <v>0.11086799621582032</v>
          </cell>
        </row>
        <row r="2257">
          <cell r="D2257" t="str">
            <v>生物科技</v>
          </cell>
          <cell r="M2257">
            <v>156.68639999999999</v>
          </cell>
          <cell r="N2257">
            <v>83.659108185289341</v>
          </cell>
          <cell r="O2257" t="str">
            <v>医疗保健</v>
          </cell>
          <cell r="P2257" t="str">
            <v>制药、生物科技与生命科学</v>
          </cell>
          <cell r="Q2257" t="str">
            <v>生物科技Ⅲ</v>
          </cell>
          <cell r="BC2257">
            <v>1.1786038077969246E-2</v>
          </cell>
          <cell r="BD2257">
            <v>2.4793388429752025E-2</v>
          </cell>
          <cell r="BE2257">
            <v>0.31272448489585769</v>
          </cell>
          <cell r="BF2257">
            <v>0.3539759826660156</v>
          </cell>
          <cell r="BG2257">
            <v>0.13533599853515624</v>
          </cell>
        </row>
        <row r="2258">
          <cell r="D2258" t="str">
            <v>医疗保健设备</v>
          </cell>
          <cell r="M2258">
            <v>68.076000000000008</v>
          </cell>
          <cell r="N2258">
            <v>36.34602564483334</v>
          </cell>
          <cell r="O2258" t="str">
            <v>医疗保健</v>
          </cell>
          <cell r="P2258" t="str">
            <v>医疗保健设备与服务</v>
          </cell>
          <cell r="Q2258" t="str">
            <v>医疗保健设备与用品</v>
          </cell>
          <cell r="BC2258">
            <v>2.1205357142857085E-2</v>
          </cell>
          <cell r="BD2258">
            <v>-6.632653061224493E-2</v>
          </cell>
          <cell r="BE2258">
            <v>-0.51796678243872218</v>
          </cell>
          <cell r="BF2258">
            <v>0.17059200286865234</v>
          </cell>
          <cell r="BG2258">
            <v>0.43996799468994141</v>
          </cell>
        </row>
        <row r="2259">
          <cell r="D2259" t="str">
            <v>医疗保健设备</v>
          </cell>
          <cell r="M2259">
            <v>66.370702244699984</v>
          </cell>
          <cell r="N2259">
            <v>35.43354693849831</v>
          </cell>
          <cell r="O2259" t="str">
            <v>医疗保健</v>
          </cell>
          <cell r="P2259" t="str">
            <v>医疗保健设备与服务</v>
          </cell>
          <cell r="Q2259" t="str">
            <v>医疗保健设备与用品</v>
          </cell>
          <cell r="BC2259">
            <v>1.6642011834319501E-2</v>
          </cell>
          <cell r="BD2259">
            <v>-4.5817424505380087E-2</v>
          </cell>
          <cell r="BE2259">
            <v>9.7048246417464193E-2</v>
          </cell>
          <cell r="BF2259">
            <v>0.57093601226806645</v>
          </cell>
          <cell r="BG2259">
            <v>0.26320800781249998</v>
          </cell>
        </row>
        <row r="2260">
          <cell r="D2260" t="str">
            <v>食品加工与肉类</v>
          </cell>
          <cell r="M2260">
            <v>255.45858129749999</v>
          </cell>
          <cell r="N2260">
            <v>136.38011198651986</v>
          </cell>
          <cell r="O2260" t="str">
            <v>日常消费</v>
          </cell>
          <cell r="P2260" t="str">
            <v>食品、饮料与烟草</v>
          </cell>
          <cell r="Q2260" t="str">
            <v>食品</v>
          </cell>
          <cell r="BC2260">
            <v>4.7098402018502836E-2</v>
          </cell>
          <cell r="BD2260">
            <v>-5.0343249427917632E-2</v>
          </cell>
          <cell r="BE2260">
            <v>0.13433151482201183</v>
          </cell>
          <cell r="BF2260">
            <v>0.54889198303222653</v>
          </cell>
          <cell r="BG2260">
            <v>7.6416001319885254E-2</v>
          </cell>
        </row>
        <row r="2261">
          <cell r="D2261" t="str">
            <v>纺织品</v>
          </cell>
          <cell r="M2261">
            <v>39.335999999999999</v>
          </cell>
          <cell r="N2261">
            <v>20.99825391075926</v>
          </cell>
          <cell r="O2261" t="str">
            <v>可选消费</v>
          </cell>
          <cell r="P2261" t="str">
            <v>耐用消费品与服装</v>
          </cell>
          <cell r="Q2261" t="str">
            <v>纺织品、服装与奢侈品</v>
          </cell>
          <cell r="BC2261">
            <v>8.5430463576159008E-2</v>
          </cell>
          <cell r="BD2261">
            <v>4.9631764329170693E-2</v>
          </cell>
          <cell r="BE2261">
            <v>0</v>
          </cell>
          <cell r="BF2261">
            <v>0</v>
          </cell>
          <cell r="BG2261">
            <v>0</v>
          </cell>
        </row>
        <row r="2262">
          <cell r="D2262" t="str">
            <v>电子设备和仪器</v>
          </cell>
          <cell r="M2262">
            <v>25.214942199999999</v>
          </cell>
          <cell r="N2262">
            <v>13.459162737256174</v>
          </cell>
          <cell r="O2262" t="str">
            <v>信息技术</v>
          </cell>
          <cell r="P2262" t="str">
            <v>技术硬件与设备</v>
          </cell>
          <cell r="Q2262" t="str">
            <v>电子设备、仪器和元件</v>
          </cell>
          <cell r="BC2262">
            <v>0</v>
          </cell>
          <cell r="BD2262">
            <v>-6.3482086737900678E-2</v>
          </cell>
          <cell r="BE2262">
            <v>-0.16197512009123033</v>
          </cell>
          <cell r="BF2262">
            <v>0.37841999053955078</v>
          </cell>
          <cell r="BG2262">
            <v>0</v>
          </cell>
        </row>
        <row r="2263">
          <cell r="D2263" t="str">
            <v>工业机械</v>
          </cell>
          <cell r="M2263">
            <v>44.083098998399997</v>
          </cell>
          <cell r="N2263">
            <v>23.527548230032792</v>
          </cell>
          <cell r="O2263" t="str">
            <v>工业</v>
          </cell>
          <cell r="P2263" t="str">
            <v>资本货物</v>
          </cell>
          <cell r="Q2263" t="str">
            <v>机械</v>
          </cell>
          <cell r="BC2263">
            <v>-5.7803468208092726E-3</v>
          </cell>
          <cell r="BD2263">
            <v>-4.1401273885350427E-2</v>
          </cell>
          <cell r="BE2263">
            <v>-0.15152777935361161</v>
          </cell>
          <cell r="BF2263">
            <v>0.41425201416015622</v>
          </cell>
          <cell r="BG2263">
            <v>0</v>
          </cell>
        </row>
        <row r="2264">
          <cell r="D2264" t="str">
            <v>综合类行业</v>
          </cell>
          <cell r="M2264">
            <v>53.072181119999996</v>
          </cell>
          <cell r="N2264">
            <v>28.319634471505793</v>
          </cell>
          <cell r="O2264" t="str">
            <v>工业</v>
          </cell>
          <cell r="P2264" t="str">
            <v>资本货物</v>
          </cell>
          <cell r="Q2264" t="str">
            <v>综合类Ⅲ</v>
          </cell>
          <cell r="BC2264">
            <v>4.8840048840048889E-2</v>
          </cell>
          <cell r="BD2264">
            <v>-3.480278422273708E-3</v>
          </cell>
          <cell r="BE2264">
            <v>0.63152896486229826</v>
          </cell>
          <cell r="BF2264">
            <v>0.54262798309326177</v>
          </cell>
          <cell r="BG2264">
            <v>9.9107999801635746E-2</v>
          </cell>
        </row>
        <row r="2265">
          <cell r="D2265" t="str">
            <v>药品零售</v>
          </cell>
          <cell r="M2265">
            <v>42.319788983999999</v>
          </cell>
          <cell r="N2265">
            <v>22.57548145117504</v>
          </cell>
          <cell r="O2265" t="str">
            <v>日常消费</v>
          </cell>
          <cell r="P2265" t="str">
            <v>食品与主要用品零售Ⅱ</v>
          </cell>
          <cell r="Q2265" t="str">
            <v>食品与主要用品零售Ⅲ</v>
          </cell>
          <cell r="BC2265">
            <v>6.1946902654867138E-2</v>
          </cell>
          <cell r="BD2265">
            <v>7.4815595363540474E-2</v>
          </cell>
          <cell r="BE2265">
            <v>-4.539073467477784E-2</v>
          </cell>
          <cell r="BF2265">
            <v>0.38673599243164064</v>
          </cell>
          <cell r="BG2265">
            <v>0.20822399139404296</v>
          </cell>
        </row>
        <row r="2266">
          <cell r="D2266" t="str">
            <v>电脑硬件</v>
          </cell>
          <cell r="M2266">
            <v>90.490206124799997</v>
          </cell>
          <cell r="N2266">
            <v>48.265591074375706</v>
          </cell>
          <cell r="O2266" t="str">
            <v>信息技术</v>
          </cell>
          <cell r="P2266" t="str">
            <v>技术硬件与设备</v>
          </cell>
          <cell r="Q2266" t="str">
            <v>电脑与外围设备</v>
          </cell>
          <cell r="BC2266">
            <v>2.2136669874879562E-2</v>
          </cell>
          <cell r="BD2266">
            <v>-3.7171350861287415E-2</v>
          </cell>
          <cell r="BE2266">
            <v>0.13759434366583917</v>
          </cell>
          <cell r="BF2266">
            <v>0.62080799102783202</v>
          </cell>
          <cell r="BG2266">
            <v>0.45931198120117189</v>
          </cell>
        </row>
        <row r="2267">
          <cell r="D2267" t="str">
            <v>工业气体</v>
          </cell>
          <cell r="M2267">
            <v>53.808300000000003</v>
          </cell>
          <cell r="N2267">
            <v>28.698274484645367</v>
          </cell>
          <cell r="O2267" t="str">
            <v>材料</v>
          </cell>
          <cell r="P2267" t="str">
            <v>材料Ⅱ</v>
          </cell>
          <cell r="Q2267" t="str">
            <v>化工</v>
          </cell>
          <cell r="BC2267">
            <v>0.10864485981308407</v>
          </cell>
          <cell r="BD2267">
            <v>4.7461368653421598E-2</v>
          </cell>
          <cell r="BE2267">
            <v>-0.21010699353860671</v>
          </cell>
          <cell r="BF2267">
            <v>2.6412000656127931E-2</v>
          </cell>
          <cell r="BG2267">
            <v>0.20793600082397462</v>
          </cell>
        </row>
        <row r="2268">
          <cell r="D2268" t="str">
            <v>百货商店</v>
          </cell>
          <cell r="M2268">
            <v>31.969399679999995</v>
          </cell>
          <cell r="N2268">
            <v>17.046355456714583</v>
          </cell>
          <cell r="O2268" t="str">
            <v>可选消费</v>
          </cell>
          <cell r="P2268" t="str">
            <v>零售业</v>
          </cell>
          <cell r="Q2268" t="str">
            <v>多元化零售</v>
          </cell>
          <cell r="BC2268">
            <v>1.319261213720312E-2</v>
          </cell>
          <cell r="BD2268">
            <v>5.2356020942408424E-3</v>
          </cell>
          <cell r="BE2268">
            <v>-4.2394014962593499E-2</v>
          </cell>
          <cell r="BF2268">
            <v>0.3052799987792969</v>
          </cell>
          <cell r="BG2268">
            <v>8.1107997894287104E-2</v>
          </cell>
        </row>
        <row r="2269">
          <cell r="D2269" t="str">
            <v>电气部件与设备</v>
          </cell>
          <cell r="M2269">
            <v>46.229556000000002</v>
          </cell>
          <cell r="N2269">
            <v>24.646001981999998</v>
          </cell>
          <cell r="O2269" t="str">
            <v>工业</v>
          </cell>
          <cell r="P2269" t="str">
            <v>资本货物</v>
          </cell>
          <cell r="Q2269" t="str">
            <v>电气设备</v>
          </cell>
          <cell r="BC2269">
            <v>1.1049723756905842E-3</v>
          </cell>
          <cell r="BD2269">
            <v>5.5493895671476926E-3</v>
          </cell>
          <cell r="BE2269">
            <v>-0.10412505464638926</v>
          </cell>
          <cell r="BF2269">
            <v>0.42452400207519531</v>
          </cell>
          <cell r="BG2269">
            <v>3.418800115585327E-2</v>
          </cell>
        </row>
        <row r="2270">
          <cell r="D2270" t="str">
            <v>电气部件与设备</v>
          </cell>
          <cell r="M2270">
            <v>24.361124955999998</v>
          </cell>
          <cell r="N2270">
            <v>12.985829610009167</v>
          </cell>
          <cell r="O2270" t="str">
            <v>工业</v>
          </cell>
          <cell r="P2270" t="str">
            <v>资本货物</v>
          </cell>
          <cell r="Q2270" t="str">
            <v>电气设备</v>
          </cell>
          <cell r="BC2270">
            <v>1.6463851109520304E-2</v>
          </cell>
          <cell r="BD2270">
            <v>3.5740335521517022E-2</v>
          </cell>
          <cell r="BE2270">
            <v>-7.6367446331649783E-2</v>
          </cell>
          <cell r="BF2270">
            <v>0.11962800025939942</v>
          </cell>
          <cell r="BG2270">
            <v>0</v>
          </cell>
        </row>
        <row r="2271">
          <cell r="D2271" t="str">
            <v>广告</v>
          </cell>
          <cell r="M2271">
            <v>56.696168</v>
          </cell>
          <cell r="N2271">
            <v>30.218257036477038</v>
          </cell>
          <cell r="O2271" t="str">
            <v>可选消费</v>
          </cell>
          <cell r="P2271" t="str">
            <v>媒体Ⅱ</v>
          </cell>
          <cell r="Q2271" t="str">
            <v>媒体Ⅲ</v>
          </cell>
          <cell r="BC2271">
            <v>1.4797136038186267E-2</v>
          </cell>
          <cell r="BD2271">
            <v>-6.9991251093613205E-2</v>
          </cell>
          <cell r="BE2271">
            <v>0</v>
          </cell>
          <cell r="BF2271">
            <v>0</v>
          </cell>
          <cell r="BG2271">
            <v>0</v>
          </cell>
        </row>
        <row r="2272">
          <cell r="D2272" t="str">
            <v>通信设备</v>
          </cell>
          <cell r="M2272">
            <v>58.34540160000001</v>
          </cell>
          <cell r="N2272">
            <v>31.091920239184184</v>
          </cell>
          <cell r="O2272" t="str">
            <v>信息技术</v>
          </cell>
          <cell r="P2272" t="str">
            <v>技术硬件与设备</v>
          </cell>
          <cell r="Q2272" t="str">
            <v>通信设备Ⅲ</v>
          </cell>
          <cell r="BC2272">
            <v>-1.7735334242837637E-2</v>
          </cell>
          <cell r="BD2272">
            <v>-9.5477386934673336E-2</v>
          </cell>
          <cell r="BE2272">
            <v>0.27534246435502174</v>
          </cell>
          <cell r="BF2272">
            <v>0.43808399200439452</v>
          </cell>
          <cell r="BG2272">
            <v>0</v>
          </cell>
        </row>
        <row r="2273">
          <cell r="D2273" t="str">
            <v>生物科技</v>
          </cell>
          <cell r="M2273">
            <v>204.49290023909998</v>
          </cell>
          <cell r="N2273">
            <v>108.93611222700581</v>
          </cell>
          <cell r="O2273" t="str">
            <v>医疗保健</v>
          </cell>
          <cell r="P2273" t="str">
            <v>制药、生物科技与生命科学</v>
          </cell>
          <cell r="Q2273" t="str">
            <v>生物科技Ⅲ</v>
          </cell>
          <cell r="BC2273">
            <v>-5.063006300630063E-2</v>
          </cell>
          <cell r="BD2273">
            <v>0.10967911625460269</v>
          </cell>
          <cell r="BE2273">
            <v>1.0128819362689263</v>
          </cell>
          <cell r="BF2273">
            <v>0.66005996704101566</v>
          </cell>
          <cell r="BG2273">
            <v>0</v>
          </cell>
        </row>
        <row r="2274">
          <cell r="D2274" t="str">
            <v>家用电器</v>
          </cell>
          <cell r="M2274">
            <v>121.74311546759999</v>
          </cell>
          <cell r="N2274">
            <v>64.846266019226704</v>
          </cell>
          <cell r="O2274" t="str">
            <v>可选消费</v>
          </cell>
          <cell r="P2274" t="str">
            <v>耐用消费品与服装</v>
          </cell>
          <cell r="Q2274" t="str">
            <v>家庭耐用消费品</v>
          </cell>
          <cell r="BC2274">
            <v>3.5714285714285719E-2</v>
          </cell>
          <cell r="BD2274">
            <v>-6.2683643486777713E-2</v>
          </cell>
          <cell r="BE2274">
            <v>-0.13895193182051249</v>
          </cell>
          <cell r="BF2274">
            <v>0.28162799835205077</v>
          </cell>
          <cell r="BG2274">
            <v>7.6992001533508297E-2</v>
          </cell>
        </row>
        <row r="2275">
          <cell r="D2275" t="str">
            <v>电子设备和仪器</v>
          </cell>
          <cell r="M2275">
            <v>56.367999999999995</v>
          </cell>
          <cell r="N2275">
            <v>30.020812598528238</v>
          </cell>
          <cell r="O2275" t="str">
            <v>信息技术</v>
          </cell>
          <cell r="P2275" t="str">
            <v>技术硬件与设备</v>
          </cell>
          <cell r="Q2275" t="str">
            <v>电子设备、仪器和元件</v>
          </cell>
          <cell r="BC2275">
            <v>0.14012944983818765</v>
          </cell>
          <cell r="BD2275">
            <v>-4.175166598667221E-2</v>
          </cell>
          <cell r="BE2275">
            <v>0</v>
          </cell>
          <cell r="BF2275">
            <v>0</v>
          </cell>
          <cell r="BG2275">
            <v>0</v>
          </cell>
        </row>
        <row r="2276">
          <cell r="D2276" t="str">
            <v>食品加工与肉类</v>
          </cell>
          <cell r="M2276">
            <v>43.947199999999995</v>
          </cell>
          <cell r="N2276">
            <v>23.401695100276914</v>
          </cell>
          <cell r="O2276" t="str">
            <v>日常消费</v>
          </cell>
          <cell r="P2276" t="str">
            <v>食品、饮料与烟草</v>
          </cell>
          <cell r="Q2276" t="str">
            <v>食品</v>
          </cell>
          <cell r="BC2276">
            <v>0</v>
          </cell>
          <cell r="BD2276">
            <v>0</v>
          </cell>
          <cell r="BE2276">
            <v>0.68544047388665141</v>
          </cell>
          <cell r="BF2276">
            <v>0.59803199768066406</v>
          </cell>
          <cell r="BG2276">
            <v>0</v>
          </cell>
        </row>
        <row r="2277">
          <cell r="D2277" t="str">
            <v>建筑与工程</v>
          </cell>
          <cell r="M2277">
            <v>36.472266000000005</v>
          </cell>
          <cell r="N2277">
            <v>19.420677833371911</v>
          </cell>
          <cell r="O2277" t="str">
            <v>工业</v>
          </cell>
          <cell r="P2277" t="str">
            <v>资本货物</v>
          </cell>
          <cell r="Q2277" t="str">
            <v>建筑与工程Ⅲ</v>
          </cell>
          <cell r="BC2277">
            <v>3.568345323741013E-2</v>
          </cell>
          <cell r="BD2277">
            <v>-5.1896733403582689E-2</v>
          </cell>
          <cell r="BE2277">
            <v>0</v>
          </cell>
          <cell r="BF2277">
            <v>0</v>
          </cell>
          <cell r="BG2277">
            <v>0</v>
          </cell>
        </row>
        <row r="2278">
          <cell r="D2278" t="str">
            <v>特种化工</v>
          </cell>
          <cell r="M2278">
            <v>105.86702456639999</v>
          </cell>
          <cell r="N2278">
            <v>56.368232849970582</v>
          </cell>
          <cell r="O2278" t="str">
            <v>材料</v>
          </cell>
          <cell r="P2278" t="str">
            <v>材料Ⅱ</v>
          </cell>
          <cell r="Q2278" t="str">
            <v>化工</v>
          </cell>
          <cell r="BC2278">
            <v>4.458598726114639E-2</v>
          </cell>
          <cell r="BD2278">
            <v>0.13298791018998266</v>
          </cell>
          <cell r="BE2278">
            <v>-0.26948229597563716</v>
          </cell>
          <cell r="BF2278">
            <v>8.4479999542236325E-2</v>
          </cell>
          <cell r="BG2278">
            <v>1.496399998664856E-2</v>
          </cell>
        </row>
        <row r="2279">
          <cell r="D2279" t="str">
            <v>电子元件</v>
          </cell>
          <cell r="M2279">
            <v>48.250799999999991</v>
          </cell>
          <cell r="N2279">
            <v>25.687155668493361</v>
          </cell>
          <cell r="O2279" t="str">
            <v>信息技术</v>
          </cell>
          <cell r="P2279" t="str">
            <v>技术硬件与设备</v>
          </cell>
          <cell r="Q2279" t="str">
            <v>电子设备、仪器和元件</v>
          </cell>
          <cell r="BC2279">
            <v>-1.2658227848101297E-2</v>
          </cell>
          <cell r="BD2279">
            <v>-0.13970588235294121</v>
          </cell>
          <cell r="BE2279">
            <v>0.80416345412490342</v>
          </cell>
          <cell r="BF2279">
            <v>1.2029399871826172</v>
          </cell>
          <cell r="BG2279">
            <v>0.42403198242187501</v>
          </cell>
        </row>
        <row r="2280">
          <cell r="D2280" t="str">
            <v>环境与设施服务</v>
          </cell>
          <cell r="M2280">
            <v>159.07063567999998</v>
          </cell>
          <cell r="N2280">
            <v>84.677918751597375</v>
          </cell>
          <cell r="O2280" t="str">
            <v>工业</v>
          </cell>
          <cell r="P2280" t="str">
            <v>商业和专业服务</v>
          </cell>
          <cell r="Q2280" t="str">
            <v>商业服务与用品</v>
          </cell>
          <cell r="BC2280">
            <v>5.942773294203952E-2</v>
          </cell>
          <cell r="BD2280">
            <v>0.3091568449682684</v>
          </cell>
          <cell r="BE2280">
            <v>0.13484237463960491</v>
          </cell>
          <cell r="BF2280">
            <v>0.16676399230957031</v>
          </cell>
          <cell r="BG2280">
            <v>1.1471999883651733E-2</v>
          </cell>
        </row>
        <row r="2281">
          <cell r="D2281" t="str">
            <v>房地产开发</v>
          </cell>
          <cell r="M2281">
            <v>53.338533657499994</v>
          </cell>
          <cell r="N2281">
            <v>28.390253115921873</v>
          </cell>
          <cell r="O2281" t="str">
            <v>金融</v>
          </cell>
          <cell r="P2281" t="str">
            <v>房地产</v>
          </cell>
          <cell r="Q2281" t="str">
            <v>房地产管理与开发</v>
          </cell>
          <cell r="BC2281">
            <v>0.11308562197092072</v>
          </cell>
          <cell r="BD2281">
            <v>5.6748466257668731E-2</v>
          </cell>
          <cell r="BE2281">
            <v>-2.2999192205231471E-3</v>
          </cell>
          <cell r="BF2281">
            <v>0.43509601593017577</v>
          </cell>
          <cell r="BG2281">
            <v>0.13420800209045411</v>
          </cell>
        </row>
        <row r="2282">
          <cell r="D2282" t="str">
            <v>鞋类</v>
          </cell>
          <cell r="M2282">
            <v>35.474531400000004</v>
          </cell>
          <cell r="N2282">
            <v>18.880303203614588</v>
          </cell>
          <cell r="O2282" t="str">
            <v>可选消费</v>
          </cell>
          <cell r="P2282" t="str">
            <v>耐用消费品与服装</v>
          </cell>
          <cell r="Q2282" t="str">
            <v>纺织品、服装与奢侈品</v>
          </cell>
          <cell r="BC2282">
            <v>3.0281690140845176E-2</v>
          </cell>
          <cell r="BD2282">
            <v>8.9655172413793636E-3</v>
          </cell>
          <cell r="BE2282">
            <v>-9.1020678416065356E-2</v>
          </cell>
          <cell r="BF2282">
            <v>0.12965999603271483</v>
          </cell>
          <cell r="BG2282">
            <v>0</v>
          </cell>
        </row>
        <row r="2283">
          <cell r="D2283" t="str">
            <v>个人用品</v>
          </cell>
          <cell r="M2283">
            <v>58.145019480000002</v>
          </cell>
          <cell r="N2283">
            <v>30.931535703466825</v>
          </cell>
          <cell r="O2283" t="str">
            <v>日常消费</v>
          </cell>
          <cell r="P2283" t="str">
            <v>家庭与个人用品</v>
          </cell>
          <cell r="Q2283" t="str">
            <v>个人用品Ⅲ</v>
          </cell>
          <cell r="BC2283">
            <v>6.3191153238546752E-2</v>
          </cell>
          <cell r="BD2283">
            <v>6.5997888067581834E-2</v>
          </cell>
          <cell r="BE2283">
            <v>0.4319148936170214</v>
          </cell>
          <cell r="BF2283">
            <v>0.72597602844238285</v>
          </cell>
          <cell r="BG2283">
            <v>0.32578800201416014</v>
          </cell>
        </row>
        <row r="2284">
          <cell r="D2284" t="str">
            <v>电气部件与设备</v>
          </cell>
          <cell r="M2284">
            <v>46.15992</v>
          </cell>
          <cell r="N2284">
            <v>24.552943660100695</v>
          </cell>
          <cell r="O2284" t="str">
            <v>工业</v>
          </cell>
          <cell r="P2284" t="str">
            <v>资本货物</v>
          </cell>
          <cell r="Q2284" t="str">
            <v>电气设备</v>
          </cell>
          <cell r="BC2284">
            <v>-6.6162570888469076E-3</v>
          </cell>
          <cell r="BD2284">
            <v>-9.5524956970740066E-2</v>
          </cell>
          <cell r="BE2284">
            <v>4.4731610337972093E-2</v>
          </cell>
          <cell r="BF2284">
            <v>0.71048400878906248</v>
          </cell>
          <cell r="BG2284">
            <v>0.32167198181152346</v>
          </cell>
        </row>
        <row r="2285">
          <cell r="D2285" t="str">
            <v>商业印刷</v>
          </cell>
          <cell r="M2285">
            <v>70.759537800000004</v>
          </cell>
          <cell r="N2285">
            <v>37.637721796823847</v>
          </cell>
          <cell r="O2285" t="str">
            <v>工业</v>
          </cell>
          <cell r="P2285" t="str">
            <v>商业和专业服务</v>
          </cell>
          <cell r="Q2285" t="str">
            <v>商业服务与用品</v>
          </cell>
          <cell r="BC2285">
            <v>-1.5761094981335506E-2</v>
          </cell>
          <cell r="BD2285">
            <v>-7.5282308657465373E-3</v>
          </cell>
          <cell r="BE2285">
            <v>-0.13740458015267179</v>
          </cell>
          <cell r="BF2285">
            <v>0.37880401611328124</v>
          </cell>
          <cell r="BG2285">
            <v>0.42321601867675779</v>
          </cell>
        </row>
        <row r="2286">
          <cell r="D2286" t="str">
            <v>基础化工</v>
          </cell>
          <cell r="M2286">
            <v>55.783534463999999</v>
          </cell>
          <cell r="N2286">
            <v>29.670633766533332</v>
          </cell>
          <cell r="O2286" t="str">
            <v>材料</v>
          </cell>
          <cell r="P2286" t="str">
            <v>材料Ⅱ</v>
          </cell>
          <cell r="Q2286" t="str">
            <v>化工</v>
          </cell>
          <cell r="BC2286">
            <v>0</v>
          </cell>
          <cell r="BD2286">
            <v>-7.8918918918918959E-2</v>
          </cell>
          <cell r="BE2286">
            <v>-0.12982696233132474</v>
          </cell>
          <cell r="BF2286">
            <v>0.44745601654052736</v>
          </cell>
          <cell r="BG2286">
            <v>0.11152799606323242</v>
          </cell>
        </row>
        <row r="2287">
          <cell r="D2287" t="str">
            <v>信息科技咨询与其它服务</v>
          </cell>
          <cell r="M2287">
            <v>84.194720000000004</v>
          </cell>
          <cell r="N2287">
            <v>44.77972653076408</v>
          </cell>
          <cell r="O2287" t="str">
            <v>信息技术</v>
          </cell>
          <cell r="P2287" t="str">
            <v>软件与服务</v>
          </cell>
          <cell r="Q2287" t="str">
            <v>信息技术服务</v>
          </cell>
          <cell r="BC2287">
            <v>8.6645400465557479E-2</v>
          </cell>
          <cell r="BD2287">
            <v>0.38353457738748642</v>
          </cell>
          <cell r="BE2287">
            <v>0</v>
          </cell>
          <cell r="BF2287">
            <v>0</v>
          </cell>
          <cell r="BG2287">
            <v>0</v>
          </cell>
        </row>
        <row r="2288">
          <cell r="D2288" t="str">
            <v>消费品经销商</v>
          </cell>
          <cell r="M2288">
            <v>83.879676569599994</v>
          </cell>
          <cell r="N2288">
            <v>44.602635207930554</v>
          </cell>
          <cell r="O2288" t="str">
            <v>可选消费</v>
          </cell>
          <cell r="P2288" t="str">
            <v>零售业</v>
          </cell>
          <cell r="Q2288" t="str">
            <v>消费品经销商Ⅲ</v>
          </cell>
          <cell r="BC2288">
            <v>2.9642545771578016E-2</v>
          </cell>
          <cell r="BD2288">
            <v>-0.10665658093797277</v>
          </cell>
          <cell r="BE2288">
            <v>-0.31063655312614186</v>
          </cell>
          <cell r="BF2288">
            <v>0.24048000335693359</v>
          </cell>
          <cell r="BG2288">
            <v>0.3382320022583008</v>
          </cell>
        </row>
        <row r="2289">
          <cell r="D2289" t="str">
            <v>建筑与工程</v>
          </cell>
          <cell r="M2289">
            <v>61.183856375999994</v>
          </cell>
          <cell r="N2289">
            <v>32.525151588719119</v>
          </cell>
          <cell r="O2289" t="str">
            <v>工业</v>
          </cell>
          <cell r="P2289" t="str">
            <v>资本货物</v>
          </cell>
          <cell r="Q2289" t="str">
            <v>建筑与工程Ⅲ</v>
          </cell>
          <cell r="BC2289">
            <v>5.0554870530209642E-2</v>
          </cell>
          <cell r="BD2289">
            <v>-4.6446558477896013E-2</v>
          </cell>
          <cell r="BE2289">
            <v>-0.25131810193321624</v>
          </cell>
          <cell r="BF2289">
            <v>0.52123199462890624</v>
          </cell>
          <cell r="BG2289">
            <v>0.22627199172973633</v>
          </cell>
        </row>
        <row r="2290">
          <cell r="D2290" t="str">
            <v>基础化工</v>
          </cell>
          <cell r="M2290">
            <v>70.548590000000004</v>
          </cell>
          <cell r="N2290">
            <v>37.502750879518331</v>
          </cell>
          <cell r="O2290" t="str">
            <v>材料</v>
          </cell>
          <cell r="P2290" t="str">
            <v>材料Ⅱ</v>
          </cell>
          <cell r="Q2290" t="str">
            <v>化工</v>
          </cell>
          <cell r="BC2290">
            <v>0</v>
          </cell>
          <cell r="BD2290">
            <v>0</v>
          </cell>
          <cell r="BE2290">
            <v>0</v>
          </cell>
          <cell r="BF2290">
            <v>0</v>
          </cell>
          <cell r="BG2290">
            <v>0</v>
          </cell>
        </row>
        <row r="2291">
          <cell r="D2291" t="str">
            <v>通信设备</v>
          </cell>
          <cell r="M2291">
            <v>79.426098643300008</v>
          </cell>
          <cell r="N2291">
            <v>42.21760897809714</v>
          </cell>
          <cell r="O2291" t="str">
            <v>信息技术</v>
          </cell>
          <cell r="P2291" t="str">
            <v>技术硬件与设备</v>
          </cell>
          <cell r="Q2291" t="str">
            <v>通信设备Ⅲ</v>
          </cell>
          <cell r="BC2291">
            <v>7.240547063555916E-2</v>
          </cell>
          <cell r="BD2291">
            <v>6.8108974358974325E-2</v>
          </cell>
          <cell r="BE2291">
            <v>6.8965517241379268E-2</v>
          </cell>
          <cell r="BF2291">
            <v>0.46481998443603517</v>
          </cell>
          <cell r="BG2291">
            <v>0.1729319953918457</v>
          </cell>
        </row>
        <row r="2292">
          <cell r="D2292" t="str">
            <v>多领域控股</v>
          </cell>
          <cell r="M2292">
            <v>37.067799999999998</v>
          </cell>
          <cell r="N2292">
            <v>19.691823739411262</v>
          </cell>
          <cell r="O2292" t="str">
            <v>金融</v>
          </cell>
          <cell r="P2292" t="str">
            <v>多元金融</v>
          </cell>
          <cell r="Q2292" t="str">
            <v>多元金融服务</v>
          </cell>
          <cell r="BC2292">
            <v>-1.2383900928792621E-2</v>
          </cell>
          <cell r="BD2292">
            <v>-4.2863266180882986E-2</v>
          </cell>
          <cell r="BE2292">
            <v>-0.39039050250609186</v>
          </cell>
          <cell r="BF2292">
            <v>0.57463199615478511</v>
          </cell>
          <cell r="BG2292">
            <v>0.15739199638366699</v>
          </cell>
        </row>
        <row r="2293">
          <cell r="D2293" t="str">
            <v>食品加工与肉类</v>
          </cell>
          <cell r="M2293">
            <v>71.106040000000007</v>
          </cell>
          <cell r="N2293">
            <v>37.771846722428705</v>
          </cell>
          <cell r="O2293" t="str">
            <v>日常消费</v>
          </cell>
          <cell r="P2293" t="str">
            <v>食品、饮料与烟草</v>
          </cell>
          <cell r="Q2293" t="str">
            <v>食品</v>
          </cell>
          <cell r="BC2293">
            <v>5.5026455026455173E-2</v>
          </cell>
          <cell r="BD2293">
            <v>-3.2038834951456319E-2</v>
          </cell>
          <cell r="BE2293">
            <v>5.838641188959668E-2</v>
          </cell>
          <cell r="BF2293">
            <v>0.40630798339843749</v>
          </cell>
          <cell r="BG2293">
            <v>0.21195600509643556</v>
          </cell>
        </row>
        <row r="2294">
          <cell r="D2294" t="str">
            <v>农产品</v>
          </cell>
          <cell r="M2294">
            <v>30.959360580800002</v>
          </cell>
          <cell r="N2294">
            <v>16.445717004502779</v>
          </cell>
          <cell r="O2294" t="str">
            <v>日常消费</v>
          </cell>
          <cell r="P2294" t="str">
            <v>食品、饮料与烟草</v>
          </cell>
          <cell r="Q2294" t="str">
            <v>食品</v>
          </cell>
          <cell r="BC2294">
            <v>2.0944958597174851E-2</v>
          </cell>
          <cell r="BD2294">
            <v>6.6124109867751815E-2</v>
          </cell>
          <cell r="BE2294">
            <v>0.41717376605814754</v>
          </cell>
          <cell r="BF2294">
            <v>0.45004798889160158</v>
          </cell>
          <cell r="BG2294">
            <v>0.15903599739074706</v>
          </cell>
        </row>
        <row r="2295">
          <cell r="D2295" t="str">
            <v>建筑产品</v>
          </cell>
          <cell r="M2295">
            <v>45.1233</v>
          </cell>
          <cell r="N2295">
            <v>23.969428779807309</v>
          </cell>
          <cell r="O2295" t="str">
            <v>工业</v>
          </cell>
          <cell r="P2295" t="str">
            <v>资本货物</v>
          </cell>
          <cell r="Q2295" t="str">
            <v>建筑产品Ⅲ</v>
          </cell>
          <cell r="BC2295">
            <v>0.10799999999999997</v>
          </cell>
          <cell r="BD2295">
            <v>3.2811334824757607E-2</v>
          </cell>
          <cell r="BE2295">
            <v>0.63009593348576987</v>
          </cell>
          <cell r="BF2295">
            <v>0.47088001251220701</v>
          </cell>
          <cell r="BG2295">
            <v>0.14039999961853028</v>
          </cell>
        </row>
        <row r="2296">
          <cell r="D2296" t="str">
            <v>电影与娱乐</v>
          </cell>
          <cell r="M2296">
            <v>148.10275899999999</v>
          </cell>
          <cell r="N2296">
            <v>78.668862049267361</v>
          </cell>
          <cell r="O2296" t="str">
            <v>可选消费</v>
          </cell>
          <cell r="P2296" t="str">
            <v>媒体Ⅱ</v>
          </cell>
          <cell r="Q2296" t="str">
            <v>媒体Ⅲ</v>
          </cell>
          <cell r="BC2296">
            <v>-1.4853556485355518E-2</v>
          </cell>
          <cell r="BD2296">
            <v>-5.0221863654699377E-2</v>
          </cell>
          <cell r="BE2296">
            <v>1.0420641803989594</v>
          </cell>
          <cell r="BF2296">
            <v>1.1166359710693359</v>
          </cell>
          <cell r="BG2296">
            <v>0.3888359832763672</v>
          </cell>
        </row>
        <row r="2297">
          <cell r="D2297" t="str">
            <v>公路与铁路</v>
          </cell>
          <cell r="M2297">
            <v>44.441621655600002</v>
          </cell>
          <cell r="N2297">
            <v>23.605180418053465</v>
          </cell>
          <cell r="O2297" t="str">
            <v>工业</v>
          </cell>
          <cell r="P2297" t="str">
            <v>运输</v>
          </cell>
          <cell r="Q2297" t="str">
            <v>交通基础设施</v>
          </cell>
          <cell r="BC2297">
            <v>-5.59701492537318E-3</v>
          </cell>
          <cell r="BD2297">
            <v>-1.4787430683918681E-2</v>
          </cell>
          <cell r="BE2297">
            <v>-0.24929577464788727</v>
          </cell>
          <cell r="BF2297">
            <v>0.1929960060119629</v>
          </cell>
          <cell r="BG2297">
            <v>9.5352001190185554E-2</v>
          </cell>
        </row>
        <row r="2298">
          <cell r="D2298" t="str">
            <v>建筑与工程</v>
          </cell>
          <cell r="M2298">
            <v>41.800615999999998</v>
          </cell>
          <cell r="N2298">
            <v>22.19784164141296</v>
          </cell>
          <cell r="O2298" t="str">
            <v>工业</v>
          </cell>
          <cell r="P2298" t="str">
            <v>资本货物</v>
          </cell>
          <cell r="Q2298" t="str">
            <v>建筑与工程Ⅲ</v>
          </cell>
          <cell r="BC2298">
            <v>0.11926605504587154</v>
          </cell>
          <cell r="BD2298">
            <v>-1.756954612005858E-2</v>
          </cell>
          <cell r="BE2298">
            <v>0.14700854700854707</v>
          </cell>
          <cell r="BF2298">
            <v>0.58998001098632813</v>
          </cell>
          <cell r="BG2298">
            <v>0.19257600784301757</v>
          </cell>
        </row>
        <row r="2299">
          <cell r="D2299" t="str">
            <v>啤酒</v>
          </cell>
          <cell r="M2299">
            <v>65.287714610199998</v>
          </cell>
          <cell r="N2299">
            <v>34.668429008040974</v>
          </cell>
          <cell r="O2299" t="str">
            <v>日常消费</v>
          </cell>
          <cell r="P2299" t="str">
            <v>食品、饮料与烟草</v>
          </cell>
          <cell r="Q2299" t="str">
            <v>饮料</v>
          </cell>
          <cell r="BC2299">
            <v>1.5813253012048258E-2</v>
          </cell>
          <cell r="BD2299">
            <v>4.0092521202775601E-2</v>
          </cell>
          <cell r="BE2299">
            <v>-0.42661238496835829</v>
          </cell>
          <cell r="BF2299">
            <v>6.3600003719329831E-4</v>
          </cell>
          <cell r="BG2299">
            <v>-0.13480799674987792</v>
          </cell>
        </row>
        <row r="2300">
          <cell r="D2300" t="str">
            <v>电气部件与设备</v>
          </cell>
          <cell r="M2300">
            <v>97.1406273411</v>
          </cell>
          <cell r="N2300">
            <v>51.58171232818485</v>
          </cell>
          <cell r="O2300" t="str">
            <v>工业</v>
          </cell>
          <cell r="P2300" t="str">
            <v>资本货物</v>
          </cell>
          <cell r="Q2300" t="str">
            <v>电气设备</v>
          </cell>
          <cell r="BC2300">
            <v>6.3593004769475414E-3</v>
          </cell>
          <cell r="BD2300">
            <v>-1.0937500000000044E-2</v>
          </cell>
          <cell r="BE2300">
            <v>-0.44278169014084506</v>
          </cell>
          <cell r="BF2300">
            <v>0.1981800079345703</v>
          </cell>
          <cell r="BG2300">
            <v>-0.16673999786376953</v>
          </cell>
        </row>
        <row r="2301">
          <cell r="D2301" t="str">
            <v>半导体产品</v>
          </cell>
          <cell r="M2301">
            <v>77</v>
          </cell>
          <cell r="N2301">
            <v>40.884569015925926</v>
          </cell>
          <cell r="O2301" t="str">
            <v>信息技术</v>
          </cell>
          <cell r="P2301" t="str">
            <v>半导体与半导体生产设备</v>
          </cell>
          <cell r="Q2301" t="str">
            <v>半导体产品与半导体设备</v>
          </cell>
          <cell r="BC2301">
            <v>6.7991631799162655E-3</v>
          </cell>
          <cell r="BD2301">
            <v>5.3063457330415689E-2</v>
          </cell>
          <cell r="BE2301">
            <v>-0.34550717310298107</v>
          </cell>
          <cell r="BF2301">
            <v>0</v>
          </cell>
          <cell r="BG2301">
            <v>0</v>
          </cell>
        </row>
        <row r="2302">
          <cell r="D2302" t="str">
            <v>工业机械</v>
          </cell>
          <cell r="M2302">
            <v>34.965600000000002</v>
          </cell>
          <cell r="N2302">
            <v>18.564276881981485</v>
          </cell>
          <cell r="O2302" t="str">
            <v>工业</v>
          </cell>
          <cell r="P2302" t="str">
            <v>资本货物</v>
          </cell>
          <cell r="Q2302" t="str">
            <v>机械</v>
          </cell>
          <cell r="BC2302">
            <v>7.4159181115521292E-2</v>
          </cell>
          <cell r="BD2302">
            <v>-7.7190274025472514E-3</v>
          </cell>
          <cell r="BE2302">
            <v>0</v>
          </cell>
          <cell r="BF2302">
            <v>0</v>
          </cell>
          <cell r="BG2302">
            <v>0</v>
          </cell>
        </row>
        <row r="2303">
          <cell r="D2303" t="str">
            <v>应用软件</v>
          </cell>
          <cell r="M2303">
            <v>87.045780000000008</v>
          </cell>
          <cell r="N2303">
            <v>46.212354339377171</v>
          </cell>
          <cell r="O2303" t="str">
            <v>信息技术</v>
          </cell>
          <cell r="P2303" t="str">
            <v>软件与服务</v>
          </cell>
          <cell r="Q2303" t="str">
            <v>软件</v>
          </cell>
          <cell r="BC2303">
            <v>1.450326323422778E-2</v>
          </cell>
          <cell r="BD2303">
            <v>-5.1525423728813545E-2</v>
          </cell>
          <cell r="BE2303">
            <v>-0.16985062978021581</v>
          </cell>
          <cell r="BF2303">
            <v>0.56164798736572263</v>
          </cell>
          <cell r="BG2303">
            <v>0.28297199249267579</v>
          </cell>
        </row>
        <row r="2304">
          <cell r="D2304" t="str">
            <v>消费品经销商</v>
          </cell>
          <cell r="M2304">
            <v>76.299518067899996</v>
          </cell>
          <cell r="N2304">
            <v>40.502926852082609</v>
          </cell>
          <cell r="O2304" t="str">
            <v>可选消费</v>
          </cell>
          <cell r="P2304" t="str">
            <v>零售业</v>
          </cell>
          <cell r="Q2304" t="str">
            <v>消费品经销商Ⅲ</v>
          </cell>
          <cell r="BC2304">
            <v>7.032967032967026E-2</v>
          </cell>
          <cell r="BD2304">
            <v>3.4340659340658607E-3</v>
          </cell>
          <cell r="BE2304">
            <v>-0.13209644714529609</v>
          </cell>
          <cell r="BF2304">
            <v>0.23194799423217774</v>
          </cell>
          <cell r="BG2304">
            <v>0.22058399200439452</v>
          </cell>
        </row>
        <row r="2305">
          <cell r="D2305" t="str">
            <v>工业机械</v>
          </cell>
          <cell r="M2305">
            <v>31.519635999999998</v>
          </cell>
          <cell r="N2305">
            <v>16.730942406436341</v>
          </cell>
          <cell r="O2305" t="str">
            <v>工业</v>
          </cell>
          <cell r="P2305" t="str">
            <v>资本货物</v>
          </cell>
          <cell r="Q2305" t="str">
            <v>机械</v>
          </cell>
          <cell r="BC2305">
            <v>-1.3975803087192212E-2</v>
          </cell>
          <cell r="BD2305">
            <v>-4.9275945293644326E-2</v>
          </cell>
          <cell r="BE2305">
            <v>0</v>
          </cell>
          <cell r="BF2305">
            <v>0</v>
          </cell>
          <cell r="BG2305">
            <v>0</v>
          </cell>
        </row>
        <row r="2306">
          <cell r="D2306" t="str">
            <v>大卖场与超市</v>
          </cell>
          <cell r="M2306">
            <v>49.305956600000002</v>
          </cell>
          <cell r="N2306">
            <v>26.171139770486111</v>
          </cell>
          <cell r="O2306" t="str">
            <v>日常消费</v>
          </cell>
          <cell r="P2306" t="str">
            <v>食品与主要用品零售Ⅱ</v>
          </cell>
          <cell r="Q2306" t="str">
            <v>食品与主要用品零售Ⅲ</v>
          </cell>
          <cell r="BC2306">
            <v>4.1726618705035974E-2</v>
          </cell>
          <cell r="BD2306">
            <v>1.8284106891701811E-2</v>
          </cell>
          <cell r="BE2306">
            <v>-0.26525303419083524</v>
          </cell>
          <cell r="BF2306">
            <v>3.6995999813079834E-2</v>
          </cell>
          <cell r="BG2306">
            <v>-9.220800399780274E-2</v>
          </cell>
        </row>
        <row r="2307">
          <cell r="D2307" t="str">
            <v>服装、服饰与奢侈品</v>
          </cell>
          <cell r="M2307">
            <v>37.187823999999999</v>
          </cell>
          <cell r="N2307">
            <v>19.738672119236877</v>
          </cell>
          <cell r="O2307" t="str">
            <v>可选消费</v>
          </cell>
          <cell r="P2307" t="str">
            <v>耐用消费品与服装</v>
          </cell>
          <cell r="Q2307" t="str">
            <v>纺织品、服装与奢侈品</v>
          </cell>
          <cell r="BC2307">
            <v>2.2369511184755556E-2</v>
          </cell>
          <cell r="BD2307">
            <v>-8.8353413654618015E-3</v>
          </cell>
          <cell r="BE2307">
            <v>-0.25618951068311763</v>
          </cell>
          <cell r="BF2307">
            <v>0</v>
          </cell>
          <cell r="BG2307">
            <v>0</v>
          </cell>
        </row>
        <row r="2308">
          <cell r="D2308" t="str">
            <v>建筑产品</v>
          </cell>
          <cell r="M2308">
            <v>40.944647700800004</v>
          </cell>
          <cell r="N2308">
            <v>21.732379371249294</v>
          </cell>
          <cell r="O2308" t="str">
            <v>工业</v>
          </cell>
          <cell r="P2308" t="str">
            <v>资本货物</v>
          </cell>
          <cell r="Q2308" t="str">
            <v>建筑产品Ⅲ</v>
          </cell>
          <cell r="BC2308">
            <v>0</v>
          </cell>
          <cell r="BD2308">
            <v>0</v>
          </cell>
          <cell r="BE2308">
            <v>0.21825578095464898</v>
          </cell>
          <cell r="BF2308">
            <v>0.63903598785400395</v>
          </cell>
          <cell r="BG2308">
            <v>0.26014799118041992</v>
          </cell>
        </row>
        <row r="2309">
          <cell r="D2309" t="str">
            <v>林木产品</v>
          </cell>
          <cell r="M2309">
            <v>42.764774399999993</v>
          </cell>
          <cell r="N2309">
            <v>22.698117937027774</v>
          </cell>
          <cell r="O2309" t="str">
            <v>材料</v>
          </cell>
          <cell r="P2309" t="str">
            <v>材料Ⅱ</v>
          </cell>
          <cell r="Q2309" t="str">
            <v>纸与林木产品</v>
          </cell>
          <cell r="BC2309">
            <v>0</v>
          </cell>
          <cell r="BD2309">
            <v>0</v>
          </cell>
          <cell r="BE2309">
            <v>-0.13434054476473195</v>
          </cell>
          <cell r="BF2309">
            <v>0.21633600234985351</v>
          </cell>
          <cell r="BG2309">
            <v>0</v>
          </cell>
        </row>
        <row r="2310">
          <cell r="D2310" t="str">
            <v>电气部件与设备</v>
          </cell>
          <cell r="M2310">
            <v>58.447994999999999</v>
          </cell>
          <cell r="N2310">
            <v>31.0215423011891</v>
          </cell>
          <cell r="O2310" t="str">
            <v>工业</v>
          </cell>
          <cell r="P2310" t="str">
            <v>资本货物</v>
          </cell>
          <cell r="Q2310" t="str">
            <v>电气设备</v>
          </cell>
          <cell r="BC2310">
            <v>6.6934404283801874E-2</v>
          </cell>
          <cell r="BD2310">
            <v>-1.4589515331355003E-2</v>
          </cell>
          <cell r="BE2310">
            <v>0.60982444623439425</v>
          </cell>
          <cell r="BF2310">
            <v>0</v>
          </cell>
          <cell r="BG2310">
            <v>0</v>
          </cell>
        </row>
        <row r="2311">
          <cell r="D2311" t="str">
            <v>电气部件与设备</v>
          </cell>
          <cell r="M2311">
            <v>79.739999999999995</v>
          </cell>
          <cell r="N2311">
            <v>42.321435653352005</v>
          </cell>
          <cell r="O2311" t="str">
            <v>工业</v>
          </cell>
          <cell r="P2311" t="str">
            <v>资本货物</v>
          </cell>
          <cell r="Q2311" t="str">
            <v>电气设备</v>
          </cell>
          <cell r="BC2311">
            <v>7.2760345611641722E-3</v>
          </cell>
          <cell r="BD2311">
            <v>-9.072249589490973E-2</v>
          </cell>
          <cell r="BE2311">
            <v>0.89304884143774299</v>
          </cell>
          <cell r="BF2311">
            <v>0.75001197814941412</v>
          </cell>
          <cell r="BG2311">
            <v>0</v>
          </cell>
        </row>
        <row r="2312">
          <cell r="D2312" t="str">
            <v>海港与服务</v>
          </cell>
          <cell r="M2312">
            <v>76.968750000000014</v>
          </cell>
          <cell r="N2312">
            <v>40.844217234755554</v>
          </cell>
          <cell r="O2312" t="str">
            <v>工业</v>
          </cell>
          <cell r="P2312" t="str">
            <v>运输</v>
          </cell>
          <cell r="Q2312" t="str">
            <v>交通基础设施</v>
          </cell>
          <cell r="BC2312">
            <v>5.3361792956251671E-4</v>
          </cell>
          <cell r="BD2312">
            <v>-3.050672182006204E-2</v>
          </cell>
          <cell r="BE2312">
            <v>0</v>
          </cell>
          <cell r="BF2312">
            <v>0</v>
          </cell>
          <cell r="BG2312">
            <v>0</v>
          </cell>
        </row>
        <row r="2313">
          <cell r="D2313" t="str">
            <v>工业机械</v>
          </cell>
          <cell r="M2313">
            <v>53.850249651800006</v>
          </cell>
          <cell r="N2313">
            <v>28.564639380906968</v>
          </cell>
          <cell r="O2313" t="str">
            <v>工业</v>
          </cell>
          <cell r="P2313" t="str">
            <v>资本货物</v>
          </cell>
          <cell r="Q2313" t="str">
            <v>机械</v>
          </cell>
          <cell r="BC2313">
            <v>-9.7037793667005996E-3</v>
          </cell>
          <cell r="BD2313">
            <v>7.5344245258508477E-3</v>
          </cell>
          <cell r="BE2313">
            <v>0</v>
          </cell>
          <cell r="BF2313">
            <v>0</v>
          </cell>
          <cell r="BG2313">
            <v>0</v>
          </cell>
        </row>
        <row r="2314">
          <cell r="D2314" t="str">
            <v>黄金</v>
          </cell>
          <cell r="M2314">
            <v>36.705930761400005</v>
          </cell>
          <cell r="N2314">
            <v>19.469664988633941</v>
          </cell>
          <cell r="O2314" t="str">
            <v>材料</v>
          </cell>
          <cell r="P2314" t="str">
            <v>材料Ⅱ</v>
          </cell>
          <cell r="Q2314" t="str">
            <v>金属、非金属与采矿</v>
          </cell>
          <cell r="BC2314">
            <v>5.138086062941559E-2</v>
          </cell>
          <cell r="BD2314">
            <v>-6.6704675028506175E-2</v>
          </cell>
          <cell r="BE2314">
            <v>0.24297646165527723</v>
          </cell>
          <cell r="BF2314">
            <v>0.20250000000000001</v>
          </cell>
          <cell r="BG2314">
            <v>0.24466800689697266</v>
          </cell>
        </row>
        <row r="2315">
          <cell r="D2315" t="str">
            <v>海港与服务</v>
          </cell>
          <cell r="M2315">
            <v>52.994228272200004</v>
          </cell>
          <cell r="N2315">
            <v>28.106810543658099</v>
          </cell>
          <cell r="O2315" t="str">
            <v>工业</v>
          </cell>
          <cell r="P2315" t="str">
            <v>运输</v>
          </cell>
          <cell r="Q2315" t="str">
            <v>交通基础设施</v>
          </cell>
          <cell r="BC2315">
            <v>1.9531249999999931E-2</v>
          </cell>
          <cell r="BD2315">
            <v>-9.4876660341555643E-3</v>
          </cell>
          <cell r="BE2315">
            <v>-0.59129974496556792</v>
          </cell>
          <cell r="BF2315">
            <v>0.28897199630737302</v>
          </cell>
          <cell r="BG2315">
            <v>0.10913999557495117</v>
          </cell>
        </row>
        <row r="2316">
          <cell r="D2316" t="str">
            <v>数据处理与外包服务</v>
          </cell>
          <cell r="M2316">
            <v>65.988655589999993</v>
          </cell>
          <cell r="N2316">
            <v>34.993793454154215</v>
          </cell>
          <cell r="O2316" t="str">
            <v>信息技术</v>
          </cell>
          <cell r="P2316" t="str">
            <v>软件与服务</v>
          </cell>
          <cell r="Q2316" t="str">
            <v>信息技术服务</v>
          </cell>
          <cell r="BC2316">
            <v>-6.1601642710473149E-3</v>
          </cell>
          <cell r="BD2316">
            <v>8.3333333333333037E-3</v>
          </cell>
          <cell r="BE2316">
            <v>3.2108849301788651E-2</v>
          </cell>
          <cell r="BF2316">
            <v>0.55122001647949215</v>
          </cell>
          <cell r="BG2316">
            <v>0</v>
          </cell>
        </row>
        <row r="2317">
          <cell r="D2317" t="str">
            <v>通信设备</v>
          </cell>
          <cell r="M2317">
            <v>46.176912000000009</v>
          </cell>
          <cell r="N2317">
            <v>24.4863371320608</v>
          </cell>
          <cell r="O2317" t="str">
            <v>信息技术</v>
          </cell>
          <cell r="P2317" t="str">
            <v>技术硬件与设备</v>
          </cell>
          <cell r="Q2317" t="str">
            <v>通信设备Ⅲ</v>
          </cell>
          <cell r="BC2317">
            <v>3.8487508440243096E-2</v>
          </cell>
          <cell r="BD2317">
            <v>-6.4599483204134138E-3</v>
          </cell>
          <cell r="BE2317">
            <v>-0.41072796934865902</v>
          </cell>
          <cell r="BF2317">
            <v>0.28084800720214842</v>
          </cell>
          <cell r="BG2317">
            <v>0.37807201385498046</v>
          </cell>
        </row>
        <row r="2318">
          <cell r="D2318" t="str">
            <v>工业机械</v>
          </cell>
          <cell r="M2318">
            <v>121.85149884599998</v>
          </cell>
          <cell r="N2318">
            <v>64.608681287471072</v>
          </cell>
          <cell r="O2318" t="str">
            <v>工业</v>
          </cell>
          <cell r="P2318" t="str">
            <v>资本货物</v>
          </cell>
          <cell r="Q2318" t="str">
            <v>机械</v>
          </cell>
          <cell r="BC2318">
            <v>-1.2587412587412666E-2</v>
          </cell>
          <cell r="BD2318">
            <v>2.675974403723079E-2</v>
          </cell>
          <cell r="BE2318">
            <v>-0.1961326695848036</v>
          </cell>
          <cell r="BF2318">
            <v>0.82302001953125004</v>
          </cell>
          <cell r="BG2318">
            <v>0.28828800201416016</v>
          </cell>
        </row>
        <row r="2319">
          <cell r="D2319" t="str">
            <v>医疗保健设备</v>
          </cell>
          <cell r="M2319">
            <v>75.715199999999996</v>
          </cell>
          <cell r="N2319">
            <v>40.139364298822493</v>
          </cell>
          <cell r="O2319" t="str">
            <v>医疗保健</v>
          </cell>
          <cell r="P2319" t="str">
            <v>医疗保健设备与服务</v>
          </cell>
          <cell r="Q2319" t="str">
            <v>医疗保健设备与用品</v>
          </cell>
          <cell r="BC2319">
            <v>2.815799765350015E-2</v>
          </cell>
          <cell r="BD2319">
            <v>-6.2076346771316515E-2</v>
          </cell>
          <cell r="BE2319">
            <v>0.57880504686974121</v>
          </cell>
          <cell r="BF2319">
            <v>0.67040397644042971</v>
          </cell>
          <cell r="BG2319">
            <v>0</v>
          </cell>
        </row>
        <row r="2320">
          <cell r="D2320" t="str">
            <v>特种化工</v>
          </cell>
          <cell r="M2320">
            <v>41.250428929600005</v>
          </cell>
          <cell r="N2320">
            <v>21.861658341358488</v>
          </cell>
          <cell r="O2320" t="str">
            <v>材料</v>
          </cell>
          <cell r="P2320" t="str">
            <v>材料Ⅱ</v>
          </cell>
          <cell r="Q2320" t="str">
            <v>化工</v>
          </cell>
          <cell r="BC2320">
            <v>-1.3503909026297051E-2</v>
          </cell>
          <cell r="BD2320">
            <v>-7.2812291249164982E-2</v>
          </cell>
          <cell r="BE2320">
            <v>-0.16042519197588495</v>
          </cell>
          <cell r="BF2320">
            <v>0.17234399795532226</v>
          </cell>
          <cell r="BG2320">
            <v>7.7856001853942869E-2</v>
          </cell>
        </row>
        <row r="2321">
          <cell r="D2321" t="str">
            <v>西药</v>
          </cell>
          <cell r="M2321">
            <v>70.736017627799995</v>
          </cell>
          <cell r="N2321">
            <v>37.446563773362413</v>
          </cell>
          <cell r="O2321" t="str">
            <v>医疗保健</v>
          </cell>
          <cell r="P2321" t="str">
            <v>制药、生物科技与生命科学</v>
          </cell>
          <cell r="Q2321" t="str">
            <v>制药</v>
          </cell>
          <cell r="BC2321">
            <v>3.6265432098765343E-2</v>
          </cell>
          <cell r="BD2321">
            <v>2.2388059701492062E-3</v>
          </cell>
          <cell r="BE2321">
            <v>0.10419579360283165</v>
          </cell>
          <cell r="BF2321">
            <v>0.20647199630737303</v>
          </cell>
          <cell r="BG2321">
            <v>0.19797599792480469</v>
          </cell>
        </row>
        <row r="2322">
          <cell r="D2322" t="str">
            <v>电气部件与设备</v>
          </cell>
          <cell r="M2322">
            <v>41.992400000000004</v>
          </cell>
          <cell r="N2322">
            <v>22.227159645694677</v>
          </cell>
          <cell r="O2322" t="str">
            <v>工业</v>
          </cell>
          <cell r="P2322" t="str">
            <v>资本货物</v>
          </cell>
          <cell r="Q2322" t="str">
            <v>电气设备</v>
          </cell>
          <cell r="BC2322">
            <v>6.4327485380116624E-3</v>
          </cell>
          <cell r="BD2322">
            <v>-0.10597402597402593</v>
          </cell>
          <cell r="BE2322">
            <v>-0.29653914182629909</v>
          </cell>
          <cell r="BF2322">
            <v>0.60736801147460939</v>
          </cell>
          <cell r="BG2322">
            <v>0.3027359962463379</v>
          </cell>
        </row>
        <row r="2323">
          <cell r="D2323" t="str">
            <v>水务</v>
          </cell>
          <cell r="M2323">
            <v>70.597775057999996</v>
          </cell>
          <cell r="N2323">
            <v>37.356943604339328</v>
          </cell>
          <cell r="O2323" t="str">
            <v>公用事业</v>
          </cell>
          <cell r="P2323" t="str">
            <v>公用事业Ⅱ</v>
          </cell>
          <cell r="Q2323" t="str">
            <v>水务Ⅲ</v>
          </cell>
          <cell r="BC2323">
            <v>-1.8218623481781528E-2</v>
          </cell>
          <cell r="BD2323">
            <v>7.300884955752214E-2</v>
          </cell>
          <cell r="BE2323">
            <v>-0.40563725490196084</v>
          </cell>
          <cell r="BF2323">
            <v>-4.2659997940063477E-2</v>
          </cell>
          <cell r="BG2323">
            <v>3.8375999927520749E-2</v>
          </cell>
        </row>
        <row r="2324">
          <cell r="D2324" t="str">
            <v>消费电子产品</v>
          </cell>
          <cell r="M2324">
            <v>36.531099999999995</v>
          </cell>
          <cell r="N2324">
            <v>19.328000169977773</v>
          </cell>
          <cell r="O2324" t="str">
            <v>可选消费</v>
          </cell>
          <cell r="P2324" t="str">
            <v>耐用消费品与服装</v>
          </cell>
          <cell r="Q2324" t="str">
            <v>家庭耐用消费品</v>
          </cell>
          <cell r="BC2324">
            <v>-1.3001083423618743E-2</v>
          </cell>
          <cell r="BD2324">
            <v>7.3027090694935126E-2</v>
          </cell>
          <cell r="BE2324">
            <v>3.8768529076396795E-2</v>
          </cell>
          <cell r="BF2324">
            <v>0.25889999389648438</v>
          </cell>
          <cell r="BG2324">
            <v>3.8879999518394472E-3</v>
          </cell>
        </row>
        <row r="2325">
          <cell r="D2325" t="str">
            <v>通信设备</v>
          </cell>
          <cell r="M2325">
            <v>49.842000000000006</v>
          </cell>
          <cell r="N2325">
            <v>26.370199759200005</v>
          </cell>
          <cell r="O2325" t="str">
            <v>信息技术</v>
          </cell>
          <cell r="P2325" t="str">
            <v>技术硬件与设备</v>
          </cell>
          <cell r="Q2325" t="str">
            <v>通信设备Ⅲ</v>
          </cell>
          <cell r="BC2325">
            <v>0.18485237483953793</v>
          </cell>
          <cell r="BD2325">
            <v>0.13600000000000007</v>
          </cell>
          <cell r="BE2325">
            <v>0.72362278244631184</v>
          </cell>
          <cell r="BF2325">
            <v>0.4891320037841797</v>
          </cell>
          <cell r="BG2325">
            <v>0.11913599967956542</v>
          </cell>
        </row>
        <row r="2326">
          <cell r="D2326" t="str">
            <v>工业机械</v>
          </cell>
          <cell r="M2326">
            <v>97.202429999999993</v>
          </cell>
          <cell r="N2326">
            <v>51.427300984425912</v>
          </cell>
          <cell r="O2326" t="str">
            <v>工业</v>
          </cell>
          <cell r="P2326" t="str">
            <v>资本货物</v>
          </cell>
          <cell r="Q2326" t="str">
            <v>机械</v>
          </cell>
          <cell r="BC2326">
            <v>8.3853702051739462E-2</v>
          </cell>
          <cell r="BD2326">
            <v>6.6725197541703224E-2</v>
          </cell>
          <cell r="BE2326">
            <v>0.22018242836062579</v>
          </cell>
          <cell r="BF2326">
            <v>0.39123600006103515</v>
          </cell>
          <cell r="BG2326">
            <v>0</v>
          </cell>
        </row>
        <row r="2327">
          <cell r="D2327" t="str">
            <v>工业机械</v>
          </cell>
          <cell r="M2327">
            <v>53.680400000000006</v>
          </cell>
          <cell r="N2327">
            <v>28.39243940867204</v>
          </cell>
          <cell r="O2327" t="str">
            <v>工业</v>
          </cell>
          <cell r="P2327" t="str">
            <v>资本货物</v>
          </cell>
          <cell r="Q2327" t="str">
            <v>机械</v>
          </cell>
          <cell r="BC2327">
            <v>-5.2955082742316667E-2</v>
          </cell>
          <cell r="BD2327">
            <v>-3.9781203381401443E-3</v>
          </cell>
          <cell r="BE2327">
            <v>0.58069347632787494</v>
          </cell>
          <cell r="BF2327">
            <v>0.63500400543212887</v>
          </cell>
          <cell r="BG2327">
            <v>0.20643600463867187</v>
          </cell>
        </row>
        <row r="2328">
          <cell r="D2328" t="str">
            <v>工业机械</v>
          </cell>
          <cell r="M2328">
            <v>34.500208499999999</v>
          </cell>
          <cell r="N2328">
            <v>18.246789828344134</v>
          </cell>
          <cell r="O2328" t="str">
            <v>工业</v>
          </cell>
          <cell r="P2328" t="str">
            <v>资本货物</v>
          </cell>
          <cell r="Q2328" t="str">
            <v>机械</v>
          </cell>
          <cell r="BC2328">
            <v>-1.2042612320518831E-2</v>
          </cell>
          <cell r="BD2328">
            <v>-3.7020316027088052E-2</v>
          </cell>
          <cell r="BE2328">
            <v>-0.19709703033630793</v>
          </cell>
          <cell r="BF2328">
            <v>0.42999599456787108</v>
          </cell>
          <cell r="BG2328">
            <v>0.18352800369262695</v>
          </cell>
        </row>
        <row r="2329">
          <cell r="D2329" t="str">
            <v>电影与娱乐</v>
          </cell>
          <cell r="M2329">
            <v>144.6443910234</v>
          </cell>
          <cell r="N2329">
            <v>76.497742319851184</v>
          </cell>
          <cell r="O2329" t="str">
            <v>可选消费</v>
          </cell>
          <cell r="P2329" t="str">
            <v>媒体Ⅱ</v>
          </cell>
          <cell r="Q2329" t="str">
            <v>媒体Ⅲ</v>
          </cell>
          <cell r="BC2329">
            <v>1.5216276286544718E-2</v>
          </cell>
          <cell r="BD2329">
            <v>-5.5661577608142492E-2</v>
          </cell>
          <cell r="BE2329">
            <v>1.3526148969889067</v>
          </cell>
          <cell r="BF2329">
            <v>0.9171600341796875</v>
          </cell>
          <cell r="BG2329">
            <v>0.36716400146484374</v>
          </cell>
        </row>
        <row r="2330">
          <cell r="D2330" t="str">
            <v>房地产开发</v>
          </cell>
          <cell r="M2330">
            <v>217.82511313349994</v>
          </cell>
          <cell r="N2330">
            <v>115.19623222509578</v>
          </cell>
          <cell r="O2330" t="str">
            <v>金融</v>
          </cell>
          <cell r="P2330" t="str">
            <v>房地产</v>
          </cell>
          <cell r="Q2330" t="str">
            <v>房地产管理与开发</v>
          </cell>
          <cell r="BC2330">
            <v>3.6916395222584136E-2</v>
          </cell>
          <cell r="BD2330">
            <v>-0.16908352668213453</v>
          </cell>
          <cell r="BE2330">
            <v>0.60145332588037992</v>
          </cell>
          <cell r="BF2330">
            <v>0.78513603210449223</v>
          </cell>
          <cell r="BG2330">
            <v>0.45256801605224611</v>
          </cell>
        </row>
        <row r="2331">
          <cell r="D2331" t="str">
            <v>农产品</v>
          </cell>
          <cell r="M2331">
            <v>35.142437116800004</v>
          </cell>
          <cell r="N2331">
            <v>18.582274070242718</v>
          </cell>
          <cell r="O2331" t="str">
            <v>日常消费</v>
          </cell>
          <cell r="P2331" t="str">
            <v>食品、饮料与烟草</v>
          </cell>
          <cell r="Q2331" t="str">
            <v>食品</v>
          </cell>
          <cell r="BC2331">
            <v>2.0123839009287908E-2</v>
          </cell>
          <cell r="BD2331">
            <v>-9.0225563909775187E-3</v>
          </cell>
          <cell r="BE2331">
            <v>0.12074829931972789</v>
          </cell>
          <cell r="BF2331">
            <v>0.65506797790527349</v>
          </cell>
          <cell r="BG2331">
            <v>0.22653600692749024</v>
          </cell>
        </row>
        <row r="2332">
          <cell r="D2332" t="str">
            <v>建筑机械与重型卡车</v>
          </cell>
          <cell r="M2332">
            <v>76.644419677200005</v>
          </cell>
          <cell r="N2332">
            <v>40.525351465303224</v>
          </cell>
          <cell r="O2332" t="str">
            <v>工业</v>
          </cell>
          <cell r="P2332" t="str">
            <v>资本货物</v>
          </cell>
          <cell r="Q2332" t="str">
            <v>机械</v>
          </cell>
          <cell r="BC2332">
            <v>2.2988505747126402E-2</v>
          </cell>
          <cell r="BD2332">
            <v>3.4883720930232502E-2</v>
          </cell>
          <cell r="BE2332">
            <v>0.11680582523398496</v>
          </cell>
          <cell r="BF2332">
            <v>0.50377201080322265</v>
          </cell>
          <cell r="BG2332">
            <v>0.11709600448608398</v>
          </cell>
        </row>
        <row r="2333">
          <cell r="D2333" t="str">
            <v>基础化工</v>
          </cell>
          <cell r="M2333">
            <v>57.552624710499998</v>
          </cell>
          <cell r="N2333">
            <v>30.429987797379191</v>
          </cell>
          <cell r="O2333" t="str">
            <v>材料</v>
          </cell>
          <cell r="P2333" t="str">
            <v>材料Ⅱ</v>
          </cell>
          <cell r="Q2333" t="str">
            <v>化工</v>
          </cell>
          <cell r="BC2333">
            <v>9.5880681818181795E-2</v>
          </cell>
          <cell r="BD2333">
            <v>6.4872325741890918E-2</v>
          </cell>
          <cell r="BE2333">
            <v>-5.5702758900269253E-2</v>
          </cell>
          <cell r="BF2333">
            <v>0.4552320098876953</v>
          </cell>
          <cell r="BG2333">
            <v>0.12494400024414062</v>
          </cell>
        </row>
        <row r="2334">
          <cell r="D2334" t="str">
            <v>工业机械</v>
          </cell>
          <cell r="M2334">
            <v>29.418801750000004</v>
          </cell>
          <cell r="N2334">
            <v>15.552032802119756</v>
          </cell>
          <cell r="O2334" t="str">
            <v>工业</v>
          </cell>
          <cell r="P2334" t="str">
            <v>资本货物</v>
          </cell>
          <cell r="Q2334" t="str">
            <v>机械</v>
          </cell>
          <cell r="BC2334">
            <v>9.8689956331877798E-2</v>
          </cell>
          <cell r="BD2334">
            <v>-1.1783189316575047E-2</v>
          </cell>
          <cell r="BE2334">
            <v>8.2368285589674101E-2</v>
          </cell>
          <cell r="BF2334">
            <v>0.25407600402832031</v>
          </cell>
          <cell r="BG2334">
            <v>0.17610000610351562</v>
          </cell>
        </row>
        <row r="2335">
          <cell r="D2335" t="str">
            <v>应用软件</v>
          </cell>
          <cell r="M2335">
            <v>206.7208</v>
          </cell>
          <cell r="N2335">
            <v>109.26752031832595</v>
          </cell>
          <cell r="O2335" t="str">
            <v>信息技术</v>
          </cell>
          <cell r="P2335" t="str">
            <v>软件与服务</v>
          </cell>
          <cell r="Q2335" t="str">
            <v>软件</v>
          </cell>
          <cell r="BC2335">
            <v>3.688933200398814E-2</v>
          </cell>
          <cell r="BD2335">
            <v>6.4483111566018506E-2</v>
          </cell>
          <cell r="BE2335">
            <v>-0.6699460488733735</v>
          </cell>
          <cell r="BF2335">
            <v>0.60729598999023438</v>
          </cell>
          <cell r="BG2335">
            <v>0.26187599182128907</v>
          </cell>
        </row>
        <row r="2336">
          <cell r="D2336" t="str">
            <v>啤酒</v>
          </cell>
          <cell r="M2336">
            <v>45.069789134999994</v>
          </cell>
          <cell r="N2336">
            <v>23.819073841781474</v>
          </cell>
          <cell r="O2336" t="str">
            <v>日常消费</v>
          </cell>
          <cell r="P2336" t="str">
            <v>食品、饮料与烟草</v>
          </cell>
          <cell r="Q2336" t="str">
            <v>饮料</v>
          </cell>
          <cell r="BC2336">
            <v>-1.7642341619887782E-2</v>
          </cell>
          <cell r="BD2336">
            <v>-2.2346368715083748E-2</v>
          </cell>
          <cell r="BE2336">
            <v>0.50676506765067642</v>
          </cell>
          <cell r="BF2336">
            <v>0.63553199768066404</v>
          </cell>
          <cell r="BG2336">
            <v>0.16010400772094727</v>
          </cell>
        </row>
        <row r="2337">
          <cell r="D2337" t="str">
            <v>金属与玻璃容器</v>
          </cell>
          <cell r="M2337">
            <v>82.055426147800006</v>
          </cell>
          <cell r="N2337">
            <v>43.361558567592354</v>
          </cell>
          <cell r="O2337" t="str">
            <v>材料</v>
          </cell>
          <cell r="P2337" t="str">
            <v>材料Ⅱ</v>
          </cell>
          <cell r="Q2337" t="str">
            <v>容器与包装</v>
          </cell>
          <cell r="BC2337">
            <v>2.8517110266159766E-2</v>
          </cell>
          <cell r="BD2337">
            <v>-5.2539404553415034E-2</v>
          </cell>
          <cell r="BE2337">
            <v>-0.15666187968935202</v>
          </cell>
          <cell r="BF2337">
            <v>0.43312801361083986</v>
          </cell>
          <cell r="BG2337">
            <v>5.8127999305725098E-2</v>
          </cell>
        </row>
        <row r="2338">
          <cell r="D2338" t="str">
            <v>电影与娱乐</v>
          </cell>
          <cell r="M2338">
            <v>352.08904150000001</v>
          </cell>
          <cell r="N2338">
            <v>185.98739030277778</v>
          </cell>
          <cell r="O2338" t="str">
            <v>可选消费</v>
          </cell>
          <cell r="P2338" t="str">
            <v>媒体Ⅱ</v>
          </cell>
          <cell r="Q2338" t="str">
            <v>媒体Ⅲ</v>
          </cell>
          <cell r="BC2338">
            <v>5.0172159370388748E-2</v>
          </cell>
          <cell r="BD2338">
            <v>7.7194752774974826E-2</v>
          </cell>
          <cell r="BE2338">
            <v>0.92863595302619706</v>
          </cell>
          <cell r="BF2338">
            <v>1.2954960632324219</v>
          </cell>
          <cell r="BG2338">
            <v>0.47105998992919923</v>
          </cell>
        </row>
        <row r="2339">
          <cell r="D2339" t="str">
            <v>售货目录零售</v>
          </cell>
          <cell r="M2339">
            <v>113.44289999999999</v>
          </cell>
          <cell r="N2339">
            <v>59.919170744416846</v>
          </cell>
          <cell r="O2339" t="str">
            <v>可选消费</v>
          </cell>
          <cell r="P2339" t="str">
            <v>零售业</v>
          </cell>
          <cell r="Q2339" t="str">
            <v>互联网与售货目录零售</v>
          </cell>
          <cell r="BC2339">
            <v>-2.2797927461139903E-2</v>
          </cell>
          <cell r="BD2339">
            <v>-8.7124878993223603E-2</v>
          </cell>
          <cell r="BE2339">
            <v>-0.2536788543255325</v>
          </cell>
          <cell r="BF2339">
            <v>0</v>
          </cell>
          <cell r="BG2339">
            <v>0</v>
          </cell>
        </row>
        <row r="2340">
          <cell r="D2340" t="str">
            <v>食品加工与肉类</v>
          </cell>
          <cell r="M2340">
            <v>62.030539999999995</v>
          </cell>
          <cell r="N2340">
            <v>32.761781982475554</v>
          </cell>
          <cell r="O2340" t="str">
            <v>日常消费</v>
          </cell>
          <cell r="P2340" t="str">
            <v>食品、饮料与烟草</v>
          </cell>
          <cell r="Q2340" t="str">
            <v>食品</v>
          </cell>
          <cell r="BC2340">
            <v>3.7377803335250058E-2</v>
          </cell>
          <cell r="BD2340">
            <v>-5.8455114822547026E-2</v>
          </cell>
          <cell r="BE2340">
            <v>0.10810810810810798</v>
          </cell>
          <cell r="BF2340">
            <v>0.57321601867675787</v>
          </cell>
          <cell r="BG2340">
            <v>0.12046799659729004</v>
          </cell>
        </row>
        <row r="2341">
          <cell r="D2341" t="str">
            <v>电子元件</v>
          </cell>
          <cell r="M2341">
            <v>41.676423569000001</v>
          </cell>
          <cell r="N2341">
            <v>22.005267711264988</v>
          </cell>
          <cell r="O2341" t="str">
            <v>信息技术</v>
          </cell>
          <cell r="P2341" t="str">
            <v>技术硬件与设备</v>
          </cell>
          <cell r="Q2341" t="str">
            <v>电子设备、仪器和元件</v>
          </cell>
          <cell r="BC2341">
            <v>-3.2457496136012384E-2</v>
          </cell>
          <cell r="BD2341">
            <v>-0.10083309393852345</v>
          </cell>
          <cell r="BE2341">
            <v>-9.8738274733536621E-2</v>
          </cell>
          <cell r="BF2341">
            <v>0.45824401855468749</v>
          </cell>
          <cell r="BG2341">
            <v>0</v>
          </cell>
        </row>
        <row r="2342">
          <cell r="D2342" t="str">
            <v>机动车零配件与设备</v>
          </cell>
          <cell r="M2342">
            <v>49</v>
          </cell>
          <cell r="N2342">
            <v>25.871503469171543</v>
          </cell>
          <cell r="O2342" t="str">
            <v>可选消费</v>
          </cell>
          <cell r="P2342" t="str">
            <v>汽车与汽车零部件</v>
          </cell>
          <cell r="Q2342" t="str">
            <v>汽车零配件</v>
          </cell>
          <cell r="BC2342">
            <v>0.11363636363636363</v>
          </cell>
          <cell r="BD2342">
            <v>3.6817604739737664E-2</v>
          </cell>
          <cell r="BE2342">
            <v>5.9730017210314068E-2</v>
          </cell>
          <cell r="BF2342">
            <v>0.38803199768066404</v>
          </cell>
          <cell r="BG2342">
            <v>0</v>
          </cell>
        </row>
        <row r="2343">
          <cell r="D2343" t="str">
            <v>家用电器</v>
          </cell>
          <cell r="M2343">
            <v>35.088000000000001</v>
          </cell>
          <cell r="N2343">
            <v>18.518597898025856</v>
          </cell>
          <cell r="O2343" t="str">
            <v>可选消费</v>
          </cell>
          <cell r="P2343" t="str">
            <v>耐用消费品与服装</v>
          </cell>
          <cell r="Q2343" t="str">
            <v>家庭耐用消费品</v>
          </cell>
          <cell r="BC2343">
            <v>2.476635514018697E-2</v>
          </cell>
          <cell r="BD2343">
            <v>-4.9002601908065872E-2</v>
          </cell>
          <cell r="BE2343">
            <v>-0.38364249578414839</v>
          </cell>
          <cell r="BF2343">
            <v>-6.8628001213073733E-2</v>
          </cell>
          <cell r="BG2343">
            <v>0.20132400512695312</v>
          </cell>
        </row>
        <row r="2344">
          <cell r="D2344" t="str">
            <v>食品加工与肉类</v>
          </cell>
          <cell r="M2344">
            <v>63.585883199999991</v>
          </cell>
          <cell r="N2344">
            <v>33.556457376654933</v>
          </cell>
          <cell r="O2344" t="str">
            <v>日常消费</v>
          </cell>
          <cell r="P2344" t="str">
            <v>食品、饮料与烟草</v>
          </cell>
          <cell r="Q2344" t="str">
            <v>食品</v>
          </cell>
          <cell r="BC2344">
            <v>4.6674445740955833E-3</v>
          </cell>
          <cell r="BD2344">
            <v>7.9623824451410641E-2</v>
          </cell>
          <cell r="BE2344">
            <v>0.64459942415265914</v>
          </cell>
          <cell r="BF2344">
            <v>0.33585601806640625</v>
          </cell>
          <cell r="BG2344">
            <v>0.16034400939941407</v>
          </cell>
        </row>
        <row r="2345">
          <cell r="D2345" t="str">
            <v>电影与娱乐</v>
          </cell>
          <cell r="M2345">
            <v>40.369914000000001</v>
          </cell>
          <cell r="N2345">
            <v>21.299668164161112</v>
          </cell>
          <cell r="O2345" t="str">
            <v>可选消费</v>
          </cell>
          <cell r="P2345" t="str">
            <v>媒体Ⅱ</v>
          </cell>
          <cell r="Q2345" t="str">
            <v>媒体Ⅲ</v>
          </cell>
          <cell r="BC2345">
            <v>0</v>
          </cell>
          <cell r="BD2345">
            <v>-0.10675675675675676</v>
          </cell>
          <cell r="BE2345">
            <v>-0.13594771241830064</v>
          </cell>
          <cell r="BF2345">
            <v>0.66693603515625</v>
          </cell>
          <cell r="BG2345">
            <v>0.18837600708007812</v>
          </cell>
        </row>
        <row r="2346">
          <cell r="D2346" t="str">
            <v>建材</v>
          </cell>
          <cell r="M2346">
            <v>56.737800000000007</v>
          </cell>
          <cell r="N2346">
            <v>29.935106080804402</v>
          </cell>
          <cell r="O2346" t="str">
            <v>材料</v>
          </cell>
          <cell r="P2346" t="str">
            <v>材料Ⅱ</v>
          </cell>
          <cell r="Q2346" t="str">
            <v>建材Ⅲ</v>
          </cell>
          <cell r="BC2346">
            <v>0</v>
          </cell>
          <cell r="BD2346">
            <v>7.9350766456266972E-2</v>
          </cell>
          <cell r="BE2346">
            <v>1.5772837057221052</v>
          </cell>
          <cell r="BF2346">
            <v>1.0821119689941405</v>
          </cell>
          <cell r="BG2346">
            <v>0.40159198760986325</v>
          </cell>
        </row>
        <row r="2347">
          <cell r="D2347" t="str">
            <v>酒店、度假村与豪华游轮</v>
          </cell>
          <cell r="M2347">
            <v>36.450000000000003</v>
          </cell>
          <cell r="N2347">
            <v>19.229818689048059</v>
          </cell>
          <cell r="O2347" t="str">
            <v>可选消费</v>
          </cell>
          <cell r="P2347" t="str">
            <v>消费者服务Ⅱ</v>
          </cell>
          <cell r="Q2347" t="str">
            <v>酒店、餐馆与休闲Ⅲ</v>
          </cell>
          <cell r="BC2347">
            <v>1.250000000000003E-2</v>
          </cell>
          <cell r="BD2347">
            <v>-2.3311897106109258E-2</v>
          </cell>
          <cell r="BE2347">
            <v>-0.2592927323497991</v>
          </cell>
          <cell r="BF2347">
            <v>0.29470800399780273</v>
          </cell>
          <cell r="BG2347">
            <v>0.10507200241088867</v>
          </cell>
        </row>
        <row r="2348">
          <cell r="D2348" t="str">
            <v>纺织品</v>
          </cell>
          <cell r="M2348">
            <v>99.247669059199978</v>
          </cell>
          <cell r="N2348">
            <v>52.356320939912187</v>
          </cell>
          <cell r="O2348" t="str">
            <v>可选消费</v>
          </cell>
          <cell r="P2348" t="str">
            <v>耐用消费品与服装</v>
          </cell>
          <cell r="Q2348" t="str">
            <v>纺织品、服装与奢侈品</v>
          </cell>
          <cell r="BC2348">
            <v>0.21666666666666667</v>
          </cell>
          <cell r="BD2348">
            <v>6.0372219700408451E-2</v>
          </cell>
          <cell r="BE2348">
            <v>0.52746709598818142</v>
          </cell>
          <cell r="BF2348">
            <v>0.45442798614501956</v>
          </cell>
          <cell r="BG2348">
            <v>0.27909599304199217</v>
          </cell>
        </row>
        <row r="2349">
          <cell r="D2349" t="str">
            <v>互联网软件与服务</v>
          </cell>
          <cell r="M2349">
            <v>123.64069550000001</v>
          </cell>
          <cell r="N2349">
            <v>65.223251838655699</v>
          </cell>
          <cell r="O2349" t="str">
            <v>信息技术</v>
          </cell>
          <cell r="P2349" t="str">
            <v>软件与服务</v>
          </cell>
          <cell r="Q2349" t="str">
            <v>互联网软件与服务Ⅲ</v>
          </cell>
          <cell r="BC2349">
            <v>2.923013585837797E-2</v>
          </cell>
          <cell r="BD2349">
            <v>-4.2512447338184579E-2</v>
          </cell>
          <cell r="BE2349">
            <v>-0.51012581593242878</v>
          </cell>
          <cell r="BF2349">
            <v>0.36241199493408205</v>
          </cell>
          <cell r="BG2349">
            <v>0.36661201477050781</v>
          </cell>
        </row>
        <row r="2350">
          <cell r="D2350" t="str">
            <v>电气部件与设备</v>
          </cell>
          <cell r="M2350">
            <v>32.305439999999997</v>
          </cell>
          <cell r="N2350">
            <v>17.03975804053858</v>
          </cell>
          <cell r="O2350" t="str">
            <v>工业</v>
          </cell>
          <cell r="P2350" t="str">
            <v>资本货物</v>
          </cell>
          <cell r="Q2350" t="str">
            <v>电气设备</v>
          </cell>
          <cell r="BC2350">
            <v>6.802721088435471E-3</v>
          </cell>
          <cell r="BD2350">
            <v>-3.9584685269305607E-2</v>
          </cell>
          <cell r="BE2350">
            <v>3.5110840128660059E-2</v>
          </cell>
          <cell r="BF2350">
            <v>0.24237600326538086</v>
          </cell>
          <cell r="BG2350">
            <v>0.14167200088500975</v>
          </cell>
        </row>
        <row r="2351">
          <cell r="D2351" t="str">
            <v>百货商店</v>
          </cell>
          <cell r="M2351">
            <v>73.70737882200001</v>
          </cell>
          <cell r="N2351">
            <v>38.87578743200001</v>
          </cell>
          <cell r="O2351" t="str">
            <v>可选消费</v>
          </cell>
          <cell r="P2351" t="str">
            <v>零售业</v>
          </cell>
          <cell r="Q2351" t="str">
            <v>多元化零售</v>
          </cell>
          <cell r="BC2351">
            <v>7.6923076923076941E-2</v>
          </cell>
          <cell r="BD2351">
            <v>-3.7500000000000061E-2</v>
          </cell>
          <cell r="BE2351">
            <v>0.10388271312042355</v>
          </cell>
          <cell r="BF2351">
            <v>0.31236000061035157</v>
          </cell>
          <cell r="BG2351">
            <v>8.0340003967285162E-2</v>
          </cell>
        </row>
        <row r="2352">
          <cell r="D2352" t="str">
            <v>工业机械</v>
          </cell>
          <cell r="M2352">
            <v>152.360770546</v>
          </cell>
          <cell r="N2352">
            <v>80.359326171807396</v>
          </cell>
          <cell r="O2352" t="str">
            <v>工业</v>
          </cell>
          <cell r="P2352" t="str">
            <v>资本货物</v>
          </cell>
          <cell r="Q2352" t="str">
            <v>机械</v>
          </cell>
          <cell r="BC2352">
            <v>8.8377723970944358E-2</v>
          </cell>
          <cell r="BD2352">
            <v>-0.10144927536231889</v>
          </cell>
          <cell r="BE2352">
            <v>0.33086602516654334</v>
          </cell>
          <cell r="BF2352">
            <v>0.27468000411987303</v>
          </cell>
          <cell r="BG2352">
            <v>0.11655599594116212</v>
          </cell>
        </row>
        <row r="2353">
          <cell r="D2353" t="str">
            <v>房地产开发</v>
          </cell>
          <cell r="M2353">
            <v>73.206599566800008</v>
          </cell>
          <cell r="N2353">
            <v>38.603244892068339</v>
          </cell>
          <cell r="O2353" t="str">
            <v>金融</v>
          </cell>
          <cell r="P2353" t="str">
            <v>房地产</v>
          </cell>
          <cell r="Q2353" t="str">
            <v>房地产管理与开发</v>
          </cell>
          <cell r="BC2353">
            <v>5.1020408163265354E-3</v>
          </cell>
          <cell r="BD2353">
            <v>-5.7416267942583678E-2</v>
          </cell>
          <cell r="BE2353">
            <v>0.15542521994134892</v>
          </cell>
          <cell r="BF2353">
            <v>0.601619987487793</v>
          </cell>
          <cell r="BG2353">
            <v>7.3787999153137204E-2</v>
          </cell>
        </row>
        <row r="2354">
          <cell r="D2354" t="str">
            <v>半导体设备</v>
          </cell>
          <cell r="M2354">
            <v>48</v>
          </cell>
          <cell r="N2354">
            <v>25.310830112306327</v>
          </cell>
          <cell r="O2354" t="str">
            <v>信息技术</v>
          </cell>
          <cell r="P2354" t="str">
            <v>半导体与半导体生产设备</v>
          </cell>
          <cell r="Q2354" t="str">
            <v>半导体产品与半导体设备</v>
          </cell>
          <cell r="BC2354">
            <v>2.0040080160320215E-3</v>
          </cell>
          <cell r="BD2354">
            <v>-2.629016553067182E-2</v>
          </cell>
          <cell r="BE2354">
            <v>8.938178746497985E-2</v>
          </cell>
          <cell r="BF2354">
            <v>0.36267601013183592</v>
          </cell>
          <cell r="BG2354">
            <v>0</v>
          </cell>
        </row>
        <row r="2355">
          <cell r="D2355" t="str">
            <v>黄金</v>
          </cell>
          <cell r="M2355">
            <v>88.581919999999997</v>
          </cell>
          <cell r="N2355">
            <v>46.706035794426306</v>
          </cell>
          <cell r="O2355" t="str">
            <v>材料</v>
          </cell>
          <cell r="P2355" t="str">
            <v>材料Ⅱ</v>
          </cell>
          <cell r="Q2355" t="str">
            <v>金属、非金属与采矿</v>
          </cell>
          <cell r="BC2355">
            <v>-8.6384976525821583E-2</v>
          </cell>
          <cell r="BD2355">
            <v>-8.8951310861423161E-2</v>
          </cell>
          <cell r="BE2355">
            <v>-0.12954553124820326</v>
          </cell>
          <cell r="BF2355">
            <v>0.24870000839233397</v>
          </cell>
          <cell r="BG2355">
            <v>7.5636000633239747E-2</v>
          </cell>
        </row>
        <row r="2356">
          <cell r="D2356" t="str">
            <v>金属非金属</v>
          </cell>
          <cell r="M2356">
            <v>79.798601191399996</v>
          </cell>
          <cell r="N2356">
            <v>42.069871559376764</v>
          </cell>
          <cell r="O2356" t="str">
            <v>材料</v>
          </cell>
          <cell r="P2356" t="str">
            <v>材料Ⅱ</v>
          </cell>
          <cell r="Q2356" t="str">
            <v>金属、非金属与采矿</v>
          </cell>
          <cell r="BC2356">
            <v>-8.7565674255691457E-3</v>
          </cell>
          <cell r="BD2356">
            <v>6.7924528301886861E-2</v>
          </cell>
          <cell r="BE2356">
            <v>-0.23202170963364993</v>
          </cell>
          <cell r="BF2356">
            <v>0.22565999984741211</v>
          </cell>
          <cell r="BG2356">
            <v>9.1799998283386228E-3</v>
          </cell>
        </row>
        <row r="2357">
          <cell r="D2357" t="str">
            <v>电气部件与设备</v>
          </cell>
          <cell r="M2357">
            <v>241.87431623840001</v>
          </cell>
          <cell r="N2357">
            <v>127.50105720462506</v>
          </cell>
          <cell r="O2357" t="str">
            <v>工业</v>
          </cell>
          <cell r="P2357" t="str">
            <v>资本货物</v>
          </cell>
          <cell r="Q2357" t="str">
            <v>电气设备</v>
          </cell>
          <cell r="BC2357">
            <v>6.3904803878360478E-2</v>
          </cell>
          <cell r="BD2357">
            <v>2.201524132091446E-2</v>
          </cell>
          <cell r="BE2357">
            <v>1.7283331510064652</v>
          </cell>
          <cell r="BF2357">
            <v>1.423583984375</v>
          </cell>
          <cell r="BG2357">
            <v>0.59094001770019533</v>
          </cell>
        </row>
        <row r="2358">
          <cell r="D2358" t="str">
            <v>房地产开发</v>
          </cell>
          <cell r="M2358">
            <v>202.71649157109999</v>
          </cell>
          <cell r="N2358">
            <v>106.85800059098868</v>
          </cell>
          <cell r="O2358" t="str">
            <v>金融</v>
          </cell>
          <cell r="P2358" t="str">
            <v>房地产</v>
          </cell>
          <cell r="Q2358" t="str">
            <v>房地产管理与开发</v>
          </cell>
          <cell r="BC2358">
            <v>2.8169014084507019E-2</v>
          </cell>
          <cell r="BD2358">
            <v>-5.3838484546360837E-2</v>
          </cell>
          <cell r="BE2358">
            <v>-0.14608044773356679</v>
          </cell>
          <cell r="BF2358">
            <v>0.42157199859619143</v>
          </cell>
          <cell r="BG2358">
            <v>0.22471200942993164</v>
          </cell>
        </row>
        <row r="2359">
          <cell r="D2359" t="str">
            <v>电脑存储与外围设备</v>
          </cell>
          <cell r="M2359">
            <v>110.52384840000001</v>
          </cell>
          <cell r="N2359">
            <v>58.252121431266822</v>
          </cell>
          <cell r="O2359" t="str">
            <v>信息技术</v>
          </cell>
          <cell r="P2359" t="str">
            <v>技术硬件与设备</v>
          </cell>
          <cell r="Q2359" t="str">
            <v>电脑与外围设备</v>
          </cell>
          <cell r="BC2359">
            <v>0.12811594202898555</v>
          </cell>
          <cell r="BD2359">
            <v>4.4832214765100714E-2</v>
          </cell>
          <cell r="BE2359">
            <v>-0.1566630552546045</v>
          </cell>
          <cell r="BF2359">
            <v>0.28180799484252927</v>
          </cell>
          <cell r="BG2359">
            <v>0</v>
          </cell>
        </row>
        <row r="2360">
          <cell r="D2360" t="str">
            <v>基础化工</v>
          </cell>
          <cell r="M2360">
            <v>84.350340547200005</v>
          </cell>
          <cell r="N2360">
            <v>44.456586359078521</v>
          </cell>
          <cell r="O2360" t="str">
            <v>材料</v>
          </cell>
          <cell r="P2360" t="str">
            <v>材料Ⅱ</v>
          </cell>
          <cell r="Q2360" t="str">
            <v>化工</v>
          </cell>
          <cell r="BC2360">
            <v>0.13888888888888898</v>
          </cell>
          <cell r="BD2360">
            <v>5.9642147117296186E-2</v>
          </cell>
          <cell r="BE2360">
            <v>0.28793897370526689</v>
          </cell>
          <cell r="BF2360">
            <v>0.41893199920654295</v>
          </cell>
          <cell r="BG2360">
            <v>0.12494400024414062</v>
          </cell>
        </row>
        <row r="2361">
          <cell r="D2361" t="str">
            <v>基础化工</v>
          </cell>
          <cell r="M2361">
            <v>224.75706720089997</v>
          </cell>
          <cell r="N2361">
            <v>118.41899327839512</v>
          </cell>
          <cell r="O2361" t="str">
            <v>材料</v>
          </cell>
          <cell r="P2361" t="str">
            <v>材料Ⅱ</v>
          </cell>
          <cell r="Q2361" t="str">
            <v>化工</v>
          </cell>
          <cell r="BC2361">
            <v>4.2512077294685945E-2</v>
          </cell>
          <cell r="BD2361">
            <v>8.0080080080079968E-2</v>
          </cell>
          <cell r="BE2361">
            <v>-0.15736169180424878</v>
          </cell>
          <cell r="BF2361">
            <v>0.19430400848388671</v>
          </cell>
          <cell r="BG2361">
            <v>1.6488000154495239E-2</v>
          </cell>
        </row>
        <row r="2362">
          <cell r="D2362" t="str">
            <v>基础化工</v>
          </cell>
          <cell r="M2362">
            <v>66.539844000000002</v>
          </cell>
          <cell r="N2362">
            <v>35.053401710360333</v>
          </cell>
          <cell r="O2362" t="str">
            <v>材料</v>
          </cell>
          <cell r="P2362" t="str">
            <v>材料Ⅱ</v>
          </cell>
          <cell r="Q2362" t="str">
            <v>化工</v>
          </cell>
          <cell r="BC2362">
            <v>7.0552147239262841E-3</v>
          </cell>
          <cell r="BD2362">
            <v>0.18734177215189873</v>
          </cell>
          <cell r="BE2362">
            <v>0</v>
          </cell>
          <cell r="BF2362">
            <v>0</v>
          </cell>
          <cell r="BG2362">
            <v>0</v>
          </cell>
        </row>
        <row r="2363">
          <cell r="D2363" t="str">
            <v>摄影用品</v>
          </cell>
          <cell r="M2363">
            <v>59.20188328079999</v>
          </cell>
          <cell r="N2363">
            <v>31.186607865366664</v>
          </cell>
          <cell r="O2363" t="str">
            <v>可选消费</v>
          </cell>
          <cell r="P2363" t="str">
            <v>耐用消费品与服装</v>
          </cell>
          <cell r="Q2363" t="str">
            <v>休闲设备与用品</v>
          </cell>
          <cell r="BC2363">
            <v>8.9032780250910097E-3</v>
          </cell>
          <cell r="BD2363">
            <v>6.5384615384615444E-2</v>
          </cell>
          <cell r="BE2363">
            <v>0.40450704225352113</v>
          </cell>
          <cell r="BF2363">
            <v>0.70931999206542973</v>
          </cell>
          <cell r="BG2363">
            <v>0.21536399841308593</v>
          </cell>
        </row>
        <row r="2364">
          <cell r="D2364" t="str">
            <v>建筑机械与重型卡车</v>
          </cell>
          <cell r="M2364">
            <v>35.634832199999998</v>
          </cell>
          <cell r="N2364">
            <v>18.769575571835585</v>
          </cell>
          <cell r="O2364" t="str">
            <v>工业</v>
          </cell>
          <cell r="P2364" t="str">
            <v>资本货物</v>
          </cell>
          <cell r="Q2364" t="str">
            <v>机械</v>
          </cell>
          <cell r="BC2364">
            <v>-2.3710729104921575E-3</v>
          </cell>
          <cell r="BD2364">
            <v>-9.7587131367292246E-2</v>
          </cell>
          <cell r="BE2364">
            <v>-0.19203711009622584</v>
          </cell>
          <cell r="BF2364">
            <v>0.34786800384521482</v>
          </cell>
          <cell r="BG2364">
            <v>0.23047199249267578</v>
          </cell>
        </row>
        <row r="2365">
          <cell r="D2365" t="str">
            <v>石油天然气设备与服务</v>
          </cell>
          <cell r="M2365">
            <v>51.231794367600003</v>
          </cell>
          <cell r="N2365">
            <v>26.977685303790274</v>
          </cell>
          <cell r="O2365" t="str">
            <v>能源</v>
          </cell>
          <cell r="P2365" t="str">
            <v>能源Ⅱ</v>
          </cell>
          <cell r="Q2365" t="str">
            <v>能源设备与服务</v>
          </cell>
          <cell r="BC2365">
            <v>0</v>
          </cell>
          <cell r="BD2365">
            <v>0</v>
          </cell>
          <cell r="BE2365">
            <v>0.16262623505402313</v>
          </cell>
          <cell r="BF2365">
            <v>0.56961601257324224</v>
          </cell>
          <cell r="BG2365">
            <v>0.28226400375366212</v>
          </cell>
        </row>
        <row r="2366">
          <cell r="D2366" t="str">
            <v>建筑与工程</v>
          </cell>
          <cell r="M2366">
            <v>47.38</v>
          </cell>
          <cell r="N2366">
            <v>24.94166952257369</v>
          </cell>
          <cell r="O2366" t="str">
            <v>工业</v>
          </cell>
          <cell r="P2366" t="str">
            <v>资本货物</v>
          </cell>
          <cell r="Q2366" t="str">
            <v>建筑与工程Ⅲ</v>
          </cell>
          <cell r="BC2366">
            <v>7.334963325183479E-3</v>
          </cell>
          <cell r="BD2366">
            <v>0.11171073934160822</v>
          </cell>
          <cell r="BE2366">
            <v>0.76068376068376087</v>
          </cell>
          <cell r="BF2366">
            <v>0.53919601440429688</v>
          </cell>
          <cell r="BG2366">
            <v>0.26799600601196288</v>
          </cell>
        </row>
        <row r="2367">
          <cell r="D2367" t="str">
            <v>机动车零配件与设备</v>
          </cell>
          <cell r="M2367">
            <v>79.848865744000008</v>
          </cell>
          <cell r="N2367">
            <v>42.027027334190002</v>
          </cell>
          <cell r="O2367" t="str">
            <v>可选消费</v>
          </cell>
          <cell r="P2367" t="str">
            <v>汽车与汽车零部件</v>
          </cell>
          <cell r="Q2367" t="str">
            <v>汽车零配件</v>
          </cell>
          <cell r="BC2367">
            <v>0</v>
          </cell>
          <cell r="BD2367">
            <v>0</v>
          </cell>
          <cell r="BE2367">
            <v>-0.15146765380778643</v>
          </cell>
          <cell r="BF2367">
            <v>0.3111840057373047</v>
          </cell>
          <cell r="BG2367">
            <v>0</v>
          </cell>
        </row>
        <row r="2368">
          <cell r="D2368" t="str">
            <v>化纤</v>
          </cell>
          <cell r="M2368">
            <v>111.68123999999999</v>
          </cell>
          <cell r="N2368">
            <v>58.775197546712945</v>
          </cell>
          <cell r="O2368" t="str">
            <v>材料</v>
          </cell>
          <cell r="P2368" t="str">
            <v>材料Ⅱ</v>
          </cell>
          <cell r="Q2368" t="str">
            <v>化工</v>
          </cell>
          <cell r="BC2368">
            <v>-6.3055780113176987E-2</v>
          </cell>
          <cell r="BD2368">
            <v>-0.11796042617960431</v>
          </cell>
          <cell r="BE2368">
            <v>-3.9574408139425157E-2</v>
          </cell>
          <cell r="BF2368">
            <v>0.59012401580810547</v>
          </cell>
          <cell r="BG2368">
            <v>0</v>
          </cell>
        </row>
        <row r="2369">
          <cell r="D2369" t="str">
            <v>金属非金属</v>
          </cell>
          <cell r="M2369">
            <v>142.5034</v>
          </cell>
          <cell r="N2369">
            <v>74.986578723456802</v>
          </cell>
          <cell r="O2369" t="str">
            <v>材料</v>
          </cell>
          <cell r="P2369" t="str">
            <v>材料Ⅱ</v>
          </cell>
          <cell r="Q2369" t="str">
            <v>金属、非金属与采矿</v>
          </cell>
          <cell r="BC2369">
            <v>0</v>
          </cell>
          <cell r="BD2369">
            <v>0</v>
          </cell>
          <cell r="BE2369">
            <v>-0.40385329700667988</v>
          </cell>
          <cell r="BF2369">
            <v>0.17173200607299804</v>
          </cell>
          <cell r="BG2369">
            <v>-0.14385600090026857</v>
          </cell>
        </row>
        <row r="2370">
          <cell r="D2370" t="str">
            <v>建筑产品</v>
          </cell>
          <cell r="M2370">
            <v>100.23761943199999</v>
          </cell>
          <cell r="N2370">
            <v>52.739927511420724</v>
          </cell>
          <cell r="O2370" t="str">
            <v>工业</v>
          </cell>
          <cell r="P2370" t="str">
            <v>资本货物</v>
          </cell>
          <cell r="Q2370" t="str">
            <v>建筑产品Ⅲ</v>
          </cell>
          <cell r="BC2370">
            <v>0</v>
          </cell>
          <cell r="BD2370">
            <v>2.0683453237410113E-2</v>
          </cell>
          <cell r="BE2370">
            <v>0.47945350808967091</v>
          </cell>
          <cell r="BF2370">
            <v>0.57560398101806642</v>
          </cell>
          <cell r="BG2370">
            <v>0.18167999267578125</v>
          </cell>
        </row>
        <row r="2371">
          <cell r="D2371" t="str">
            <v>房地产开发</v>
          </cell>
          <cell r="M2371">
            <v>40.670158368000003</v>
          </cell>
          <cell r="N2371">
            <v>21.393420739715047</v>
          </cell>
          <cell r="O2371" t="str">
            <v>金融</v>
          </cell>
          <cell r="P2371" t="str">
            <v>房地产</v>
          </cell>
          <cell r="Q2371" t="str">
            <v>房地产管理与开发</v>
          </cell>
          <cell r="BC2371">
            <v>4.0983606557377997E-3</v>
          </cell>
          <cell r="BD2371">
            <v>-1.0101010101010065E-2</v>
          </cell>
          <cell r="BE2371">
            <v>-0.11983929298002118</v>
          </cell>
          <cell r="BF2371">
            <v>0.40603199005126955</v>
          </cell>
          <cell r="BG2371">
            <v>6.3948001861572262E-2</v>
          </cell>
        </row>
        <row r="2372">
          <cell r="D2372" t="str">
            <v>工业机械</v>
          </cell>
          <cell r="M2372">
            <v>46.23519795</v>
          </cell>
          <cell r="N2372">
            <v>24.319655203346681</v>
          </cell>
          <cell r="O2372" t="str">
            <v>工业</v>
          </cell>
          <cell r="P2372" t="str">
            <v>资本货物</v>
          </cell>
          <cell r="Q2372" t="str">
            <v>机械</v>
          </cell>
          <cell r="BC2372">
            <v>3.3200531208499334E-2</v>
          </cell>
          <cell r="BD2372">
            <v>-2.9925187032418869E-2</v>
          </cell>
          <cell r="BE2372">
            <v>-0.61918746940773361</v>
          </cell>
          <cell r="BF2372">
            <v>0.62865600585937498</v>
          </cell>
          <cell r="BG2372">
            <v>0.21445199966430664</v>
          </cell>
        </row>
        <row r="2373">
          <cell r="D2373" t="str">
            <v>金属非金属</v>
          </cell>
          <cell r="M2373">
            <v>29.985346359999998</v>
          </cell>
          <cell r="N2373">
            <v>15.770543540387036</v>
          </cell>
          <cell r="O2373" t="str">
            <v>材料</v>
          </cell>
          <cell r="P2373" t="str">
            <v>材料Ⅱ</v>
          </cell>
          <cell r="Q2373" t="str">
            <v>金属、非金属与采矿</v>
          </cell>
          <cell r="BC2373">
            <v>1.5987622485817365E-2</v>
          </cell>
          <cell r="BD2373">
            <v>-7.7715355805243455E-2</v>
          </cell>
          <cell r="BE2373">
            <v>-3.0364372469636777E-3</v>
          </cell>
          <cell r="BF2373">
            <v>0.44839199066162111</v>
          </cell>
          <cell r="BG2373">
            <v>4.3740000724792477E-2</v>
          </cell>
        </row>
        <row r="2374">
          <cell r="D2374" t="str">
            <v>建筑机械与重型卡车</v>
          </cell>
          <cell r="M2374">
            <v>88.84871124</v>
          </cell>
          <cell r="N2374">
            <v>46.719948180975791</v>
          </cell>
          <cell r="O2374" t="str">
            <v>工业</v>
          </cell>
          <cell r="P2374" t="str">
            <v>资本货物</v>
          </cell>
          <cell r="Q2374" t="str">
            <v>机械</v>
          </cell>
          <cell r="BC2374">
            <v>1.9333011116481322E-2</v>
          </cell>
          <cell r="BD2374">
            <v>-6.6814159292035463E-2</v>
          </cell>
          <cell r="BE2374">
            <v>0.27494159294070941</v>
          </cell>
          <cell r="BF2374">
            <v>0.50893199920654297</v>
          </cell>
          <cell r="BG2374">
            <v>0.20300399780273437</v>
          </cell>
        </row>
        <row r="2375">
          <cell r="D2375" t="str">
            <v>公路运输</v>
          </cell>
          <cell r="M2375">
            <v>234.21365143220001</v>
          </cell>
          <cell r="N2375">
            <v>123.13791805019815</v>
          </cell>
          <cell r="O2375" t="str">
            <v>工业</v>
          </cell>
          <cell r="P2375" t="str">
            <v>运输</v>
          </cell>
          <cell r="Q2375" t="str">
            <v>公路与铁路运输</v>
          </cell>
          <cell r="BC2375">
            <v>0.12002110261144829</v>
          </cell>
          <cell r="BD2375">
            <v>9.0675571538659155E-2</v>
          </cell>
          <cell r="BE2375">
            <v>1.3551515416104618</v>
          </cell>
          <cell r="BF2375">
            <v>0.92730003356933599</v>
          </cell>
          <cell r="BG2375">
            <v>0.42998401641845702</v>
          </cell>
        </row>
        <row r="2376">
          <cell r="D2376" t="str">
            <v>房地产开发</v>
          </cell>
          <cell r="M2376">
            <v>135.79881484469999</v>
          </cell>
          <cell r="N2376">
            <v>71.386343160625927</v>
          </cell>
          <cell r="O2376" t="str">
            <v>金融</v>
          </cell>
          <cell r="P2376" t="str">
            <v>房地产</v>
          </cell>
          <cell r="Q2376" t="str">
            <v>房地产管理与开发</v>
          </cell>
          <cell r="BC2376">
            <v>6.3299663299663272E-2</v>
          </cell>
          <cell r="BD2376">
            <v>0.20626432391138269</v>
          </cell>
          <cell r="BE2376">
            <v>0.3246644295302013</v>
          </cell>
          <cell r="BF2376">
            <v>0.30217199325561522</v>
          </cell>
          <cell r="BG2376">
            <v>0.21892799377441408</v>
          </cell>
        </row>
        <row r="2377">
          <cell r="D2377" t="str">
            <v>通信设备</v>
          </cell>
          <cell r="M2377">
            <v>154.88185047899998</v>
          </cell>
          <cell r="N2377">
            <v>81.412543729108364</v>
          </cell>
          <cell r="O2377" t="str">
            <v>信息技术</v>
          </cell>
          <cell r="P2377" t="str">
            <v>技术硬件与设备</v>
          </cell>
          <cell r="Q2377" t="str">
            <v>通信设备Ⅲ</v>
          </cell>
          <cell r="BC2377">
            <v>0.15995462280204201</v>
          </cell>
          <cell r="BD2377">
            <v>6.2337662337662303E-2</v>
          </cell>
          <cell r="BE2377">
            <v>2.7870370370370368</v>
          </cell>
          <cell r="BF2377">
            <v>1.20127197265625</v>
          </cell>
          <cell r="BG2377">
            <v>0.35771999359130857</v>
          </cell>
        </row>
        <row r="2378">
          <cell r="D2378" t="str">
            <v>家庭用品</v>
          </cell>
          <cell r="M2378">
            <v>29.907419999999998</v>
          </cell>
          <cell r="N2378">
            <v>15.719693627888761</v>
          </cell>
          <cell r="O2378" t="str">
            <v>日常消费</v>
          </cell>
          <cell r="P2378" t="str">
            <v>家庭与个人用品</v>
          </cell>
          <cell r="Q2378" t="str">
            <v>家庭用品Ⅲ</v>
          </cell>
          <cell r="BC2378">
            <v>1.8691588785046828E-2</v>
          </cell>
          <cell r="BD2378">
            <v>1.4897579143389213E-2</v>
          </cell>
          <cell r="BE2378">
            <v>-0.1266025641025641</v>
          </cell>
          <cell r="BF2378">
            <v>0.25725599288940432</v>
          </cell>
          <cell r="BG2378">
            <v>5.6352000236511234E-2</v>
          </cell>
        </row>
        <row r="2379">
          <cell r="D2379" t="str">
            <v>电子设备和仪器</v>
          </cell>
          <cell r="M2379">
            <v>90.216000000000008</v>
          </cell>
          <cell r="N2379">
            <v>47.392869584964821</v>
          </cell>
          <cell r="O2379" t="str">
            <v>信息技术</v>
          </cell>
          <cell r="P2379" t="str">
            <v>技术硬件与设备</v>
          </cell>
          <cell r="Q2379" t="str">
            <v>电子设备、仪器和元件</v>
          </cell>
          <cell r="BC2379">
            <v>2.1689497716894986E-2</v>
          </cell>
          <cell r="BD2379">
            <v>-5.9544658493870375E-2</v>
          </cell>
          <cell r="BE2379">
            <v>0.52096445800931968</v>
          </cell>
          <cell r="BF2379">
            <v>1.1506199645996094</v>
          </cell>
          <cell r="BG2379">
            <v>0</v>
          </cell>
        </row>
        <row r="2380">
          <cell r="D2380" t="str">
            <v>电子元件</v>
          </cell>
          <cell r="M2380">
            <v>47.783400000000007</v>
          </cell>
          <cell r="N2380">
            <v>25.099777404664163</v>
          </cell>
          <cell r="O2380" t="str">
            <v>信息技术</v>
          </cell>
          <cell r="P2380" t="str">
            <v>技术硬件与设备</v>
          </cell>
          <cell r="Q2380" t="str">
            <v>电子设备、仪器和元件</v>
          </cell>
          <cell r="BC2380">
            <v>0</v>
          </cell>
          <cell r="BD2380">
            <v>0</v>
          </cell>
          <cell r="BE2380">
            <v>0.48918759978052645</v>
          </cell>
          <cell r="BF2380">
            <v>0.63470401763916018</v>
          </cell>
          <cell r="BG2380">
            <v>0</v>
          </cell>
        </row>
        <row r="2381">
          <cell r="D2381" t="str">
            <v>技术产品经销商</v>
          </cell>
          <cell r="M2381">
            <v>63.161280000000005</v>
          </cell>
          <cell r="N2381">
            <v>33.176412379985003</v>
          </cell>
          <cell r="O2381" t="str">
            <v>信息技术</v>
          </cell>
          <cell r="P2381" t="str">
            <v>技术硬件与设备</v>
          </cell>
          <cell r="Q2381" t="str">
            <v>电子设备、仪器和元件</v>
          </cell>
          <cell r="BC2381">
            <v>-7.5497597803705855E-3</v>
          </cell>
          <cell r="BD2381">
            <v>-0.114513165952235</v>
          </cell>
          <cell r="BE2381">
            <v>-0.3324992759740083</v>
          </cell>
          <cell r="BF2381">
            <v>0.54041999816894526</v>
          </cell>
          <cell r="BG2381">
            <v>0.18838800430297853</v>
          </cell>
        </row>
        <row r="2382">
          <cell r="D2382" t="str">
            <v>建材</v>
          </cell>
          <cell r="M2382">
            <v>49.029119999999999</v>
          </cell>
          <cell r="N2382">
            <v>25.747090663777776</v>
          </cell>
          <cell r="O2382" t="str">
            <v>材料</v>
          </cell>
          <cell r="P2382" t="str">
            <v>材料Ⅱ</v>
          </cell>
          <cell r="Q2382" t="str">
            <v>建材Ⅲ</v>
          </cell>
          <cell r="BC2382">
            <v>-2.3853211009174292E-2</v>
          </cell>
          <cell r="BD2382">
            <v>-3.4482758620689564E-2</v>
          </cell>
          <cell r="BE2382">
            <v>-0.35475918615987273</v>
          </cell>
          <cell r="BF2382">
            <v>0.2632439994812012</v>
          </cell>
          <cell r="BG2382">
            <v>0.17093999862670897</v>
          </cell>
        </row>
        <row r="2383">
          <cell r="D2383" t="str">
            <v>环境与设施服务</v>
          </cell>
          <cell r="M2383">
            <v>70.671476260599988</v>
          </cell>
          <cell r="N2383">
            <v>37.108732317216145</v>
          </cell>
          <cell r="O2383" t="str">
            <v>工业</v>
          </cell>
          <cell r="P2383" t="str">
            <v>商业和专业服务</v>
          </cell>
          <cell r="Q2383" t="str">
            <v>商业服务与用品</v>
          </cell>
          <cell r="BC2383">
            <v>-5.767012687427994E-3</v>
          </cell>
          <cell r="BD2383">
            <v>-0.11589743589743598</v>
          </cell>
          <cell r="BE2383">
            <v>0.16486486486486471</v>
          </cell>
          <cell r="BF2383">
            <v>0.44622001647949217</v>
          </cell>
          <cell r="BG2383">
            <v>0.37080001831054688</v>
          </cell>
        </row>
        <row r="2384">
          <cell r="D2384" t="str">
            <v>半导体产品</v>
          </cell>
          <cell r="M2384">
            <v>118.13426379719999</v>
          </cell>
          <cell r="N2384">
            <v>62.028940523839161</v>
          </cell>
          <cell r="O2384" t="str">
            <v>信息技术</v>
          </cell>
          <cell r="P2384" t="str">
            <v>半导体与半导体生产设备</v>
          </cell>
          <cell r="Q2384" t="str">
            <v>半导体产品与半导体设备</v>
          </cell>
          <cell r="BC2384">
            <v>6.5019505851754908E-3</v>
          </cell>
          <cell r="BD2384">
            <v>-9.8252427184466057E-2</v>
          </cell>
          <cell r="BE2384">
            <v>2.3163534874276578E-2</v>
          </cell>
          <cell r="BF2384">
            <v>0.54237598419189448</v>
          </cell>
          <cell r="BG2384">
            <v>0.10195199966430664</v>
          </cell>
        </row>
        <row r="2385">
          <cell r="D2385" t="str">
            <v>白酒与葡萄酒</v>
          </cell>
          <cell r="M2385">
            <v>59.66837000000001</v>
          </cell>
          <cell r="N2385">
            <v>31.326627547867972</v>
          </cell>
          <cell r="O2385" t="str">
            <v>日常消费</v>
          </cell>
          <cell r="P2385" t="str">
            <v>食品、饮料与烟草</v>
          </cell>
          <cell r="Q2385" t="str">
            <v>饮料</v>
          </cell>
          <cell r="BC2385">
            <v>-3.9414414414414567E-3</v>
          </cell>
          <cell r="BD2385">
            <v>-4.1711809317443095E-2</v>
          </cell>
          <cell r="BE2385">
            <v>-0.11437924638926619</v>
          </cell>
          <cell r="BF2385">
            <v>0.34808399200439455</v>
          </cell>
          <cell r="BG2385">
            <v>8.3856000900268554E-2</v>
          </cell>
        </row>
        <row r="2386">
          <cell r="D2386" t="str">
            <v>半导体产品</v>
          </cell>
          <cell r="M2386">
            <v>252.01939948559999</v>
          </cell>
          <cell r="N2386">
            <v>132.31279928937155</v>
          </cell>
          <cell r="O2386" t="str">
            <v>信息技术</v>
          </cell>
          <cell r="P2386" t="str">
            <v>半导体与半导体生产设备</v>
          </cell>
          <cell r="Q2386" t="str">
            <v>半导体产品与半导体设备</v>
          </cell>
          <cell r="BC2386">
            <v>0</v>
          </cell>
          <cell r="BD2386">
            <v>0</v>
          </cell>
          <cell r="BE2386">
            <v>0.88636078990162481</v>
          </cell>
          <cell r="BF2386">
            <v>1.3788960266113282</v>
          </cell>
          <cell r="BG2386">
            <v>0.4792679977416992</v>
          </cell>
        </row>
        <row r="2387">
          <cell r="D2387" t="str">
            <v>房地产开发</v>
          </cell>
          <cell r="M2387">
            <v>65.908590000000004</v>
          </cell>
          <cell r="N2387">
            <v>34.602669323240356</v>
          </cell>
          <cell r="O2387" t="str">
            <v>金融</v>
          </cell>
          <cell r="P2387" t="str">
            <v>房地产</v>
          </cell>
          <cell r="Q2387" t="str">
            <v>房地产管理与开发</v>
          </cell>
          <cell r="BC2387">
            <v>0.26629766297662966</v>
          </cell>
          <cell r="BD2387">
            <v>0.14579855314412918</v>
          </cell>
          <cell r="BE2387">
            <v>0.30359155606358595</v>
          </cell>
          <cell r="BF2387">
            <v>0.70272003173828124</v>
          </cell>
          <cell r="BG2387">
            <v>0.21229200363159179</v>
          </cell>
        </row>
        <row r="2388">
          <cell r="D2388" t="str">
            <v>房地产开发</v>
          </cell>
          <cell r="M2388">
            <v>142.820788626</v>
          </cell>
          <cell r="N2388">
            <v>74.981960322471608</v>
          </cell>
          <cell r="O2388" t="str">
            <v>金融</v>
          </cell>
          <cell r="P2388" t="str">
            <v>房地产</v>
          </cell>
          <cell r="Q2388" t="str">
            <v>房地产管理与开发</v>
          </cell>
          <cell r="BC2388">
            <v>2.6631158455393427E-3</v>
          </cell>
          <cell r="BD2388">
            <v>-5.639097744360904E-2</v>
          </cell>
          <cell r="BE2388">
            <v>-0.16053511705685622</v>
          </cell>
          <cell r="BF2388">
            <v>9.559200286865234E-2</v>
          </cell>
          <cell r="BG2388">
            <v>5.3112001419067384E-2</v>
          </cell>
        </row>
        <row r="2389">
          <cell r="D2389" t="str">
            <v>电子元件</v>
          </cell>
          <cell r="M2389">
            <v>44.196199999999997</v>
          </cell>
          <cell r="N2389">
            <v>23.2032249031821</v>
          </cell>
          <cell r="O2389" t="str">
            <v>信息技术</v>
          </cell>
          <cell r="P2389" t="str">
            <v>技术硬件与设备</v>
          </cell>
          <cell r="Q2389" t="str">
            <v>电子设备、仪器和元件</v>
          </cell>
          <cell r="BC2389">
            <v>8.2550335570469702E-2</v>
          </cell>
          <cell r="BD2389">
            <v>0.17309090909090902</v>
          </cell>
          <cell r="BE2389">
            <v>-0.37875521184201932</v>
          </cell>
          <cell r="BF2389">
            <v>0.40986000061035155</v>
          </cell>
          <cell r="BG2389">
            <v>0.16733999252319337</v>
          </cell>
        </row>
        <row r="2390">
          <cell r="D2390" t="str">
            <v>服装、服饰与奢侈品</v>
          </cell>
          <cell r="M2390">
            <v>61.100363999999999</v>
          </cell>
          <cell r="N2390">
            <v>32.07394325592778</v>
          </cell>
          <cell r="O2390" t="str">
            <v>可选消费</v>
          </cell>
          <cell r="P2390" t="str">
            <v>耐用消费品与服装</v>
          </cell>
          <cell r="Q2390" t="str">
            <v>纺织品、服装与奢侈品</v>
          </cell>
          <cell r="BC2390">
            <v>0</v>
          </cell>
          <cell r="BD2390">
            <v>0</v>
          </cell>
          <cell r="BE2390">
            <v>1.3500269251480883</v>
          </cell>
          <cell r="BF2390">
            <v>0.95505599975585942</v>
          </cell>
          <cell r="BG2390">
            <v>0</v>
          </cell>
        </row>
        <row r="2391">
          <cell r="D2391" t="str">
            <v>半导体产品</v>
          </cell>
          <cell r="M2391">
            <v>106.27072399999999</v>
          </cell>
          <cell r="N2391">
            <v>55.777975142942488</v>
          </cell>
          <cell r="O2391" t="str">
            <v>信息技术</v>
          </cell>
          <cell r="P2391" t="str">
            <v>半导体与半导体生产设备</v>
          </cell>
          <cell r="Q2391" t="str">
            <v>半导体产品与半导体设备</v>
          </cell>
          <cell r="BC2391">
            <v>9.6915017462165257E-2</v>
          </cell>
          <cell r="BD2391">
            <v>4.1160220994474993E-2</v>
          </cell>
          <cell r="BE2391">
            <v>-2.2116155818169819E-2</v>
          </cell>
          <cell r="BF2391">
            <v>0.24849599838256836</v>
          </cell>
          <cell r="BG2391">
            <v>6.6420001983642576E-2</v>
          </cell>
        </row>
        <row r="2392">
          <cell r="D2392" t="str">
            <v>通信设备</v>
          </cell>
          <cell r="M2392">
            <v>55.789805692800002</v>
          </cell>
          <cell r="N2392">
            <v>29.27825249858153</v>
          </cell>
          <cell r="O2392" t="str">
            <v>信息技术</v>
          </cell>
          <cell r="P2392" t="str">
            <v>技术硬件与设备</v>
          </cell>
          <cell r="Q2392" t="str">
            <v>通信设备Ⅲ</v>
          </cell>
          <cell r="BC2392">
            <v>4.897706137631759E-2</v>
          </cell>
          <cell r="BD2392">
            <v>8.3432657926102837E-3</v>
          </cell>
          <cell r="BE2392">
            <v>8.6905706927960027E-3</v>
          </cell>
          <cell r="BF2392">
            <v>0.48125999450683593</v>
          </cell>
          <cell r="BG2392">
            <v>0.22696800231933595</v>
          </cell>
        </row>
        <row r="2393">
          <cell r="D2393" t="str">
            <v>钢铁</v>
          </cell>
          <cell r="M2393">
            <v>261.50245498200002</v>
          </cell>
          <cell r="N2393">
            <v>137.22163435852102</v>
          </cell>
          <cell r="O2393" t="str">
            <v>材料</v>
          </cell>
          <cell r="P2393" t="str">
            <v>材料Ⅱ</v>
          </cell>
          <cell r="Q2393" t="str">
            <v>金属、非金属与采矿</v>
          </cell>
          <cell r="BC2393">
            <v>-5.8724832214765337E-3</v>
          </cell>
          <cell r="BD2393">
            <v>-7.7102803738317779E-2</v>
          </cell>
          <cell r="BE2393">
            <v>0.18169542398757996</v>
          </cell>
          <cell r="BF2393">
            <v>1.0855319976806641</v>
          </cell>
          <cell r="BG2393">
            <v>0.35216400146484372</v>
          </cell>
        </row>
        <row r="2394">
          <cell r="D2394" t="str">
            <v>服装、服饰与奢侈品</v>
          </cell>
          <cell r="M2394">
            <v>58.766400000000004</v>
          </cell>
          <cell r="N2394">
            <v>30.831216106153938</v>
          </cell>
          <cell r="O2394" t="str">
            <v>可选消费</v>
          </cell>
          <cell r="P2394" t="str">
            <v>耐用消费品与服装</v>
          </cell>
          <cell r="Q2394" t="str">
            <v>纺织品、服装与奢侈品</v>
          </cell>
          <cell r="BC2394">
            <v>0</v>
          </cell>
          <cell r="BD2394">
            <v>-0.1270588235294117</v>
          </cell>
          <cell r="BE2394">
            <v>-0.25871329404401638</v>
          </cell>
          <cell r="BF2394">
            <v>0.16336799621582032</v>
          </cell>
          <cell r="BG2394">
            <v>0</v>
          </cell>
        </row>
        <row r="2395">
          <cell r="D2395" t="str">
            <v>纺织品</v>
          </cell>
          <cell r="M2395">
            <v>32.437562956799994</v>
          </cell>
          <cell r="N2395">
            <v>17.014640171403805</v>
          </cell>
          <cell r="O2395" t="str">
            <v>可选消费</v>
          </cell>
          <cell r="P2395" t="str">
            <v>耐用消费品与服装</v>
          </cell>
          <cell r="Q2395" t="str">
            <v>纺织品、服装与奢侈品</v>
          </cell>
          <cell r="BC2395">
            <v>0.14115898959881118</v>
          </cell>
          <cell r="BD2395">
            <v>0.14285714285714285</v>
          </cell>
          <cell r="BE2395">
            <v>-1.3003901170351982E-3</v>
          </cell>
          <cell r="BF2395">
            <v>0.27626399993896483</v>
          </cell>
          <cell r="BG2395">
            <v>0.11336400032043457</v>
          </cell>
        </row>
        <row r="2396">
          <cell r="D2396" t="str">
            <v>纸制品</v>
          </cell>
          <cell r="M2396">
            <v>57.505499999999998</v>
          </cell>
          <cell r="N2396">
            <v>30.158720473599999</v>
          </cell>
          <cell r="O2396" t="str">
            <v>材料</v>
          </cell>
          <cell r="P2396" t="str">
            <v>材料Ⅱ</v>
          </cell>
          <cell r="Q2396" t="str">
            <v>纸与林木产品</v>
          </cell>
          <cell r="BC2396">
            <v>4.2049469964664229E-2</v>
          </cell>
          <cell r="BD2396">
            <v>-6.1724467069678692E-2</v>
          </cell>
          <cell r="BE2396">
            <v>0.43994140624999989</v>
          </cell>
          <cell r="BF2396">
            <v>0.39923999786376951</v>
          </cell>
          <cell r="BG2396">
            <v>0.29791200637817383</v>
          </cell>
        </row>
        <row r="2397">
          <cell r="D2397" t="str">
            <v>半导体产品</v>
          </cell>
          <cell r="M2397">
            <v>25.347072000000001</v>
          </cell>
          <cell r="N2397">
            <v>13.292442701348767</v>
          </cell>
          <cell r="O2397" t="str">
            <v>信息技术</v>
          </cell>
          <cell r="P2397" t="str">
            <v>半导体与半导体生产设备</v>
          </cell>
          <cell r="Q2397" t="str">
            <v>半导体产品与半导体设备</v>
          </cell>
          <cell r="BC2397">
            <v>0</v>
          </cell>
          <cell r="BD2397">
            <v>-6.4989517819706424E-2</v>
          </cell>
          <cell r="BE2397">
            <v>-2.4711379484590894E-2</v>
          </cell>
          <cell r="BF2397">
            <v>0.42440399169921877</v>
          </cell>
          <cell r="BG2397">
            <v>0.11006400108337402</v>
          </cell>
        </row>
        <row r="2398">
          <cell r="D2398" t="str">
            <v>百货商店</v>
          </cell>
          <cell r="M2398">
            <v>35.8014590724</v>
          </cell>
          <cell r="N2398">
            <v>18.773769097425205</v>
          </cell>
          <cell r="O2398" t="str">
            <v>可选消费</v>
          </cell>
          <cell r="P2398" t="str">
            <v>零售业</v>
          </cell>
          <cell r="Q2398" t="str">
            <v>多元化零售</v>
          </cell>
          <cell r="BC2398">
            <v>8.2033898305084799E-2</v>
          </cell>
          <cell r="BD2398">
            <v>0.13352272727272732</v>
          </cell>
          <cell r="BE2398">
            <v>-0.19661674702436763</v>
          </cell>
          <cell r="BF2398">
            <v>0.29678400039672853</v>
          </cell>
          <cell r="BG2398">
            <v>0.19636800765991211</v>
          </cell>
        </row>
        <row r="2399">
          <cell r="D2399" t="str">
            <v>工业机械</v>
          </cell>
          <cell r="M2399">
            <v>31.072000000000003</v>
          </cell>
          <cell r="N2399">
            <v>16.29325937311852</v>
          </cell>
          <cell r="O2399" t="str">
            <v>工业</v>
          </cell>
          <cell r="P2399" t="str">
            <v>资本货物</v>
          </cell>
          <cell r="Q2399" t="str">
            <v>机械</v>
          </cell>
          <cell r="BC2399">
            <v>6.4109589041095982E-2</v>
          </cell>
          <cell r="BD2399">
            <v>4.128686327077765E-2</v>
          </cell>
          <cell r="BE2399">
            <v>4.3391104685408251E-2</v>
          </cell>
          <cell r="BF2399">
            <v>0</v>
          </cell>
          <cell r="BG2399">
            <v>0</v>
          </cell>
        </row>
        <row r="2400">
          <cell r="D2400" t="str">
            <v>机动车零配件与设备</v>
          </cell>
          <cell r="M2400">
            <v>30.836434454999999</v>
          </cell>
          <cell r="N2400">
            <v>16.168528097609034</v>
          </cell>
          <cell r="O2400" t="str">
            <v>可选消费</v>
          </cell>
          <cell r="P2400" t="str">
            <v>汽车与汽车零部件</v>
          </cell>
          <cell r="Q2400" t="str">
            <v>汽车零配件</v>
          </cell>
          <cell r="BC2400">
            <v>2.1565869667135532E-2</v>
          </cell>
          <cell r="BD2400">
            <v>-8.2526315789473725E-2</v>
          </cell>
          <cell r="BE2400">
            <v>-7.708464196602749E-2</v>
          </cell>
          <cell r="BF2400">
            <v>0.51404399871826167</v>
          </cell>
          <cell r="BG2400">
            <v>0.1542360019683838</v>
          </cell>
        </row>
        <row r="2401">
          <cell r="D2401" t="str">
            <v>电脑与电子产品零售</v>
          </cell>
          <cell r="M2401">
            <v>58.692</v>
          </cell>
          <cell r="N2401">
            <v>30.767796977595061</v>
          </cell>
          <cell r="O2401" t="str">
            <v>可选消费</v>
          </cell>
          <cell r="P2401" t="str">
            <v>零售业</v>
          </cell>
          <cell r="Q2401" t="str">
            <v>专营零售</v>
          </cell>
          <cell r="BC2401">
            <v>-8.4448160535117181E-2</v>
          </cell>
          <cell r="BD2401">
            <v>-8.4448160535117181E-2</v>
          </cell>
          <cell r="BE2401">
            <v>-0.22819383259911899</v>
          </cell>
          <cell r="BF2401">
            <v>1.1425440216064453</v>
          </cell>
          <cell r="BG2401">
            <v>0.48760799407958982</v>
          </cell>
        </row>
        <row r="2402">
          <cell r="D2402" t="str">
            <v>通信设备</v>
          </cell>
          <cell r="M2402">
            <v>176.8696428925</v>
          </cell>
          <cell r="N2402">
            <v>92.710084349516507</v>
          </cell>
          <cell r="O2402" t="str">
            <v>信息技术</v>
          </cell>
          <cell r="P2402" t="str">
            <v>技术硬件与设备</v>
          </cell>
          <cell r="Q2402" t="str">
            <v>通信设备Ⅲ</v>
          </cell>
          <cell r="BC2402">
            <v>0</v>
          </cell>
          <cell r="BD2402">
            <v>0</v>
          </cell>
          <cell r="BE2402">
            <v>1.3504646744948423</v>
          </cell>
          <cell r="BF2402">
            <v>1.5484440612792969</v>
          </cell>
          <cell r="BG2402">
            <v>0.61344001770019529</v>
          </cell>
        </row>
        <row r="2403">
          <cell r="D2403" t="str">
            <v>纸制品</v>
          </cell>
          <cell r="M2403">
            <v>137.68346247689999</v>
          </cell>
          <cell r="N2403">
            <v>72.123563034172008</v>
          </cell>
          <cell r="O2403" t="str">
            <v>材料</v>
          </cell>
          <cell r="P2403" t="str">
            <v>材料Ⅱ</v>
          </cell>
          <cell r="Q2403" t="str">
            <v>纸与林木产品</v>
          </cell>
          <cell r="BC2403">
            <v>-7.332722273143911E-3</v>
          </cell>
          <cell r="BD2403">
            <v>9.9492385786802071E-2</v>
          </cell>
          <cell r="BE2403">
            <v>-0.35831714881410565</v>
          </cell>
          <cell r="BF2403">
            <v>7.2792000770568854E-2</v>
          </cell>
          <cell r="BG2403">
            <v>0.34719600677490237</v>
          </cell>
        </row>
        <row r="2404">
          <cell r="D2404" t="str">
            <v>纺织品</v>
          </cell>
          <cell r="M2404">
            <v>41.112212444999997</v>
          </cell>
          <cell r="N2404">
            <v>21.535881553216669</v>
          </cell>
          <cell r="O2404" t="str">
            <v>可选消费</v>
          </cell>
          <cell r="P2404" t="str">
            <v>耐用消费品与服装</v>
          </cell>
          <cell r="Q2404" t="str">
            <v>纺织品、服装与奢侈品</v>
          </cell>
          <cell r="BC2404">
            <v>-4.4692737430167634E-2</v>
          </cell>
          <cell r="BD2404">
            <v>-9.6525096525096193E-3</v>
          </cell>
          <cell r="BE2404">
            <v>0.42698181035877886</v>
          </cell>
          <cell r="BF2404">
            <v>0.51465599060058598</v>
          </cell>
          <cell r="BG2404">
            <v>8.2343997955322268E-2</v>
          </cell>
        </row>
        <row r="2405">
          <cell r="D2405" t="str">
            <v>金属非金属</v>
          </cell>
          <cell r="M2405">
            <v>104.8228461354</v>
          </cell>
          <cell r="N2405">
            <v>54.908511565053701</v>
          </cell>
          <cell r="O2405" t="str">
            <v>材料</v>
          </cell>
          <cell r="P2405" t="str">
            <v>材料Ⅱ</v>
          </cell>
          <cell r="Q2405" t="str">
            <v>金属、非金属与采矿</v>
          </cell>
          <cell r="BC2405">
            <v>4.6310832025117821E-2</v>
          </cell>
          <cell r="BD2405">
            <v>2.2500639222705256E-2</v>
          </cell>
          <cell r="BE2405">
            <v>-0.2947089947089947</v>
          </cell>
          <cell r="BF2405">
            <v>0.12673199653625489</v>
          </cell>
          <cell r="BG2405">
            <v>1.1447999477386474E-2</v>
          </cell>
        </row>
        <row r="2406">
          <cell r="D2406" t="str">
            <v>西药</v>
          </cell>
          <cell r="M2406">
            <v>46.656954807900007</v>
          </cell>
          <cell r="N2406">
            <v>24.433050655452526</v>
          </cell>
          <cell r="O2406" t="str">
            <v>医疗保健</v>
          </cell>
          <cell r="P2406" t="str">
            <v>制药、生物科技与生命科学</v>
          </cell>
          <cell r="Q2406" t="str">
            <v>制药</v>
          </cell>
          <cell r="BC2406">
            <v>5.5844155844155918E-2</v>
          </cell>
          <cell r="BD2406">
            <v>5.9973924380704154E-2</v>
          </cell>
          <cell r="BE2406">
            <v>-0.17333567086275831</v>
          </cell>
          <cell r="BF2406">
            <v>0.17695199966430664</v>
          </cell>
          <cell r="BG2406">
            <v>7.3127999305725097E-2</v>
          </cell>
        </row>
        <row r="2407">
          <cell r="D2407" t="str">
            <v>金属非金属</v>
          </cell>
          <cell r="M2407">
            <v>38.051200000000001</v>
          </cell>
          <cell r="N2407">
            <v>19.925827139275462</v>
          </cell>
          <cell r="O2407" t="str">
            <v>材料</v>
          </cell>
          <cell r="P2407" t="str">
            <v>材料Ⅱ</v>
          </cell>
          <cell r="Q2407" t="str">
            <v>金属、非金属与采矿</v>
          </cell>
          <cell r="BC2407">
            <v>-1.4360610895828482E-2</v>
          </cell>
          <cell r="BD2407">
            <v>-0.1004784688995215</v>
          </cell>
          <cell r="BE2407">
            <v>0</v>
          </cell>
          <cell r="BF2407">
            <v>0</v>
          </cell>
          <cell r="BG2407">
            <v>0</v>
          </cell>
        </row>
        <row r="2408">
          <cell r="D2408" t="str">
            <v>信息科技咨询与其它服务</v>
          </cell>
          <cell r="M2408">
            <v>43.148000000000003</v>
          </cell>
          <cell r="N2408">
            <v>22.590364193157505</v>
          </cell>
          <cell r="O2408" t="str">
            <v>信息技术</v>
          </cell>
          <cell r="P2408" t="str">
            <v>软件与服务</v>
          </cell>
          <cell r="Q2408" t="str">
            <v>信息技术服务</v>
          </cell>
          <cell r="BC2408">
            <v>7.3333333333333431E-2</v>
          </cell>
          <cell r="BD2408">
            <v>3.3707865168539464E-2</v>
          </cell>
          <cell r="BE2408">
            <v>0.65297741273100629</v>
          </cell>
          <cell r="BF2408">
            <v>0.63933601379394533</v>
          </cell>
          <cell r="BG2408">
            <v>0</v>
          </cell>
        </row>
        <row r="2409">
          <cell r="D2409" t="str">
            <v>航天航空与国防</v>
          </cell>
          <cell r="M2409">
            <v>177.15461400000001</v>
          </cell>
          <cell r="N2409">
            <v>92.747366167386829</v>
          </cell>
          <cell r="O2409" t="str">
            <v>工业</v>
          </cell>
          <cell r="P2409" t="str">
            <v>资本货物</v>
          </cell>
          <cell r="Q2409" t="str">
            <v>航空航天与国防Ⅲ</v>
          </cell>
          <cell r="BC2409">
            <v>1.4066496163682791E-2</v>
          </cell>
          <cell r="BD2409">
            <v>-8.3998320033597544E-4</v>
          </cell>
          <cell r="BE2409">
            <v>-0.27059872776803401</v>
          </cell>
          <cell r="BF2409">
            <v>0.52675201416015627</v>
          </cell>
          <cell r="BG2409">
            <v>0.23961599349975585</v>
          </cell>
        </row>
        <row r="2410">
          <cell r="D2410" t="str">
            <v>西药</v>
          </cell>
          <cell r="M2410">
            <v>54.745949077500001</v>
          </cell>
          <cell r="N2410">
            <v>28.657947132600924</v>
          </cell>
          <cell r="O2410" t="str">
            <v>医疗保健</v>
          </cell>
          <cell r="P2410" t="str">
            <v>制药、生物科技与生命科学</v>
          </cell>
          <cell r="Q2410" t="str">
            <v>制药</v>
          </cell>
          <cell r="BC2410">
            <v>5.0724637681159458E-2</v>
          </cell>
          <cell r="BD2410">
            <v>6.5654091131798126E-2</v>
          </cell>
          <cell r="BE2410">
            <v>0.42342931937172779</v>
          </cell>
          <cell r="BF2410">
            <v>0.702239990234375</v>
          </cell>
          <cell r="BG2410">
            <v>0.24228000640869141</v>
          </cell>
        </row>
        <row r="2411">
          <cell r="D2411" t="str">
            <v>航天航空与国防</v>
          </cell>
          <cell r="M2411">
            <v>359.04515564580009</v>
          </cell>
          <cell r="N2411">
            <v>187.91648319627495</v>
          </cell>
          <cell r="O2411" t="str">
            <v>工业</v>
          </cell>
          <cell r="P2411" t="str">
            <v>资本货物</v>
          </cell>
          <cell r="Q2411" t="str">
            <v>航空航天与国防Ⅲ</v>
          </cell>
          <cell r="BC2411">
            <v>7.0267435762978489E-2</v>
          </cell>
          <cell r="BD2411">
            <v>-7.7783179387457529E-3</v>
          </cell>
          <cell r="BE2411">
            <v>-0.3260434720065129</v>
          </cell>
          <cell r="BF2411">
            <v>-3.6888000965118406E-2</v>
          </cell>
          <cell r="BG2411">
            <v>0.13060799598693848</v>
          </cell>
        </row>
        <row r="2412">
          <cell r="D2412" t="str">
            <v>电力</v>
          </cell>
          <cell r="M2412">
            <v>68.986500000000007</v>
          </cell>
          <cell r="N2412">
            <v>36.103980221171298</v>
          </cell>
          <cell r="O2412" t="str">
            <v>公用事业</v>
          </cell>
          <cell r="P2412" t="str">
            <v>公用事业Ⅱ</v>
          </cell>
          <cell r="Q2412" t="str">
            <v>电力Ⅲ</v>
          </cell>
          <cell r="BC2412">
            <v>6.2333036509350202E-3</v>
          </cell>
          <cell r="BD2412">
            <v>-7.6797385620914996E-2</v>
          </cell>
          <cell r="BE2412">
            <v>-4.0072759226711966E-3</v>
          </cell>
          <cell r="BF2412">
            <v>0</v>
          </cell>
          <cell r="BG2412">
            <v>0</v>
          </cell>
        </row>
        <row r="2413">
          <cell r="D2413" t="str">
            <v>钢铁</v>
          </cell>
          <cell r="M2413">
            <v>58.741199999999999</v>
          </cell>
          <cell r="N2413">
            <v>30.739309504502891</v>
          </cell>
          <cell r="O2413" t="str">
            <v>材料</v>
          </cell>
          <cell r="P2413" t="str">
            <v>材料Ⅱ</v>
          </cell>
          <cell r="Q2413" t="str">
            <v>金属、非金属与采矿</v>
          </cell>
          <cell r="BC2413">
            <v>0.12802148612354519</v>
          </cell>
          <cell r="BD2413">
            <v>-4.9056603773584929E-2</v>
          </cell>
          <cell r="BE2413">
            <v>0.59150133660192017</v>
          </cell>
          <cell r="BF2413">
            <v>0.8088839721679687</v>
          </cell>
          <cell r="BG2413">
            <v>0</v>
          </cell>
        </row>
        <row r="2414">
          <cell r="D2414" t="str">
            <v>房地产开发</v>
          </cell>
          <cell r="M2414">
            <v>45.447917068800002</v>
          </cell>
          <cell r="N2414">
            <v>23.782068416133672</v>
          </cell>
          <cell r="O2414" t="str">
            <v>金融</v>
          </cell>
          <cell r="P2414" t="str">
            <v>房地产</v>
          </cell>
          <cell r="Q2414" t="str">
            <v>房地产管理与开发</v>
          </cell>
          <cell r="BC2414">
            <v>5.9016393442623008E-2</v>
          </cell>
          <cell r="BD2414">
            <v>-3.7257824143070044E-2</v>
          </cell>
          <cell r="BE2414">
            <v>-1.2232415902140683E-2</v>
          </cell>
          <cell r="BF2414">
            <v>0.34560001373291016</v>
          </cell>
          <cell r="BG2414">
            <v>0.17092800140380859</v>
          </cell>
        </row>
        <row r="2415">
          <cell r="D2415" t="str">
            <v>休闲用品</v>
          </cell>
          <cell r="M2415">
            <v>67.810742464200004</v>
          </cell>
          <cell r="N2415">
            <v>35.483045835942015</v>
          </cell>
          <cell r="O2415" t="str">
            <v>可选消费</v>
          </cell>
          <cell r="P2415" t="str">
            <v>耐用消费品与服装</v>
          </cell>
          <cell r="Q2415" t="str">
            <v>休闲设备与用品</v>
          </cell>
          <cell r="BC2415">
            <v>9.0556274256144792E-2</v>
          </cell>
          <cell r="BD2415">
            <v>-0.11958224543080936</v>
          </cell>
          <cell r="BE2415">
            <v>0.29892141756548529</v>
          </cell>
          <cell r="BF2415">
            <v>0.2288759994506836</v>
          </cell>
          <cell r="BG2415">
            <v>0.20760000228881836</v>
          </cell>
        </row>
        <row r="2416">
          <cell r="D2416" t="str">
            <v>煤炭与消费用燃料</v>
          </cell>
          <cell r="M2416">
            <v>57.473999999999997</v>
          </cell>
          <cell r="N2416">
            <v>30.067132297583335</v>
          </cell>
          <cell r="O2416" t="str">
            <v>能源</v>
          </cell>
          <cell r="P2416" t="str">
            <v>能源Ⅱ</v>
          </cell>
          <cell r="Q2416" t="str">
            <v>石油、天然气与供消费用燃料</v>
          </cell>
          <cell r="BC2416">
            <v>3.2467532467531776E-3</v>
          </cell>
          <cell r="BD2416">
            <v>-2.4210526315789519E-2</v>
          </cell>
          <cell r="BE2416">
            <v>-0.45544713157894734</v>
          </cell>
          <cell r="BF2416">
            <v>0</v>
          </cell>
          <cell r="BG2416">
            <v>0</v>
          </cell>
        </row>
        <row r="2417">
          <cell r="D2417" t="str">
            <v>消费品经销商</v>
          </cell>
          <cell r="M2417">
            <v>31.536886499999998</v>
          </cell>
          <cell r="N2417">
            <v>16.493574090277772</v>
          </cell>
          <cell r="O2417" t="str">
            <v>可选消费</v>
          </cell>
          <cell r="P2417" t="str">
            <v>零售业</v>
          </cell>
          <cell r="Q2417" t="str">
            <v>消费品经销商Ⅲ</v>
          </cell>
          <cell r="BC2417">
            <v>2.2399999999999948E-2</v>
          </cell>
          <cell r="BD2417">
            <v>7.8308535630382042E-4</v>
          </cell>
          <cell r="BE2417">
            <v>-0.24418316281383678</v>
          </cell>
          <cell r="BF2417">
            <v>0.21312000274658202</v>
          </cell>
          <cell r="BG2417">
            <v>3.8039999008178713E-2</v>
          </cell>
        </row>
        <row r="2418">
          <cell r="D2418" t="str">
            <v>电脑存储与外围设备</v>
          </cell>
          <cell r="M2418">
            <v>131.67771298849999</v>
          </cell>
          <cell r="N2418">
            <v>68.863055329783762</v>
          </cell>
          <cell r="O2418" t="str">
            <v>信息技术</v>
          </cell>
          <cell r="P2418" t="str">
            <v>技术硬件与设备</v>
          </cell>
          <cell r="Q2418" t="str">
            <v>电脑与外围设备</v>
          </cell>
          <cell r="BC2418">
            <v>2.2857142857142777E-2</v>
          </cell>
          <cell r="BD2418">
            <v>-4.3803418803418821E-2</v>
          </cell>
          <cell r="BE2418">
            <v>-0.23481165700200488</v>
          </cell>
          <cell r="BF2418">
            <v>0.3212160110473633</v>
          </cell>
          <cell r="BG2418">
            <v>5.9064002037048341E-2</v>
          </cell>
        </row>
        <row r="2419">
          <cell r="D2419" t="str">
            <v>贸易公司与工业品经销商</v>
          </cell>
          <cell r="M2419">
            <v>24.563810304</v>
          </cell>
          <cell r="N2419">
            <v>12.842786156954318</v>
          </cell>
          <cell r="O2419" t="str">
            <v>工业</v>
          </cell>
          <cell r="P2419" t="str">
            <v>资本货物</v>
          </cell>
          <cell r="Q2419" t="str">
            <v>贸易公司与工业品经销商Ⅲ</v>
          </cell>
          <cell r="BC2419">
            <v>2.5182778229081944E-2</v>
          </cell>
          <cell r="BD2419">
            <v>-7.9176563737146175E-4</v>
          </cell>
          <cell r="BE2419">
            <v>-1.7133956386292885E-2</v>
          </cell>
          <cell r="BF2419">
            <v>0.55104000091552729</v>
          </cell>
          <cell r="BG2419">
            <v>0.18857999801635741</v>
          </cell>
        </row>
        <row r="2420">
          <cell r="D2420" t="str">
            <v>互联网软件与服务</v>
          </cell>
          <cell r="M2420">
            <v>188.45953149899998</v>
          </cell>
          <cell r="N2420">
            <v>98.525143785724154</v>
          </cell>
          <cell r="O2420" t="str">
            <v>信息技术</v>
          </cell>
          <cell r="P2420" t="str">
            <v>软件与服务</v>
          </cell>
          <cell r="Q2420" t="str">
            <v>互联网软件与服务Ⅲ</v>
          </cell>
          <cell r="BC2420">
            <v>0</v>
          </cell>
          <cell r="BD2420">
            <v>-0.15502392344497617</v>
          </cell>
          <cell r="BE2420">
            <v>-0.32167704804077585</v>
          </cell>
          <cell r="BF2420">
            <v>0.60350399017333989</v>
          </cell>
          <cell r="BG2420">
            <v>0.19583999633789062</v>
          </cell>
        </row>
        <row r="2421">
          <cell r="D2421" t="str">
            <v>汽车制造</v>
          </cell>
          <cell r="M2421">
            <v>97.146097818000001</v>
          </cell>
          <cell r="N2421">
            <v>50.785123160566663</v>
          </cell>
          <cell r="O2421" t="str">
            <v>可选消费</v>
          </cell>
          <cell r="P2421" t="str">
            <v>汽车与汽车零部件</v>
          </cell>
          <cell r="Q2421" t="str">
            <v>汽车</v>
          </cell>
          <cell r="BC2421">
            <v>4.4596912521440789E-2</v>
          </cell>
          <cell r="BD2421">
            <v>9.9502487562188411E-3</v>
          </cell>
          <cell r="BE2421">
            <v>-0.17591339648173204</v>
          </cell>
          <cell r="BF2421">
            <v>0.3113520050048828</v>
          </cell>
          <cell r="BG2421">
            <v>1.6992000341415407E-2</v>
          </cell>
        </row>
        <row r="2422">
          <cell r="D2422" t="str">
            <v>信息科技咨询与其它服务</v>
          </cell>
          <cell r="M2422">
            <v>53.570961015000002</v>
          </cell>
          <cell r="N2422">
            <v>28.004221212654173</v>
          </cell>
          <cell r="O2422" t="str">
            <v>信息技术</v>
          </cell>
          <cell r="P2422" t="str">
            <v>软件与服务</v>
          </cell>
          <cell r="Q2422" t="str">
            <v>信息技术服务</v>
          </cell>
          <cell r="BC2422">
            <v>-6.7575577949021956E-2</v>
          </cell>
          <cell r="BD2422">
            <v>-7.633587786259545E-2</v>
          </cell>
          <cell r="BE2422">
            <v>0.32518955349620904</v>
          </cell>
          <cell r="BF2422">
            <v>0.70012802124023432</v>
          </cell>
          <cell r="BG2422">
            <v>0.40551601409912108</v>
          </cell>
        </row>
        <row r="2423">
          <cell r="D2423" t="str">
            <v>半导体产品</v>
          </cell>
          <cell r="M2423">
            <v>39.138211200000001</v>
          </cell>
          <cell r="N2423">
            <v>20.456081036540127</v>
          </cell>
          <cell r="O2423" t="str">
            <v>信息技术</v>
          </cell>
          <cell r="P2423" t="str">
            <v>半导体与半导体生产设备</v>
          </cell>
          <cell r="Q2423" t="str">
            <v>半导体产品与半导体设备</v>
          </cell>
          <cell r="BC2423">
            <v>3.8412291933418635E-2</v>
          </cell>
          <cell r="BD2423">
            <v>-8.2924990576705715E-2</v>
          </cell>
          <cell r="BE2423">
            <v>-2.7496597024472928E-2</v>
          </cell>
          <cell r="BF2423">
            <v>0.23975999832153319</v>
          </cell>
          <cell r="BG2423">
            <v>0</v>
          </cell>
        </row>
        <row r="2424">
          <cell r="D2424" t="str">
            <v>电子设备和仪器</v>
          </cell>
          <cell r="M2424">
            <v>66.165446419199995</v>
          </cell>
          <cell r="N2424">
            <v>34.577086476383414</v>
          </cell>
          <cell r="O2424" t="str">
            <v>信息技术</v>
          </cell>
          <cell r="P2424" t="str">
            <v>技术硬件与设备</v>
          </cell>
          <cell r="Q2424" t="str">
            <v>电子设备、仪器和元件</v>
          </cell>
          <cell r="BC2424">
            <v>0.13905079100749371</v>
          </cell>
          <cell r="BD2424">
            <v>0.20105355575065839</v>
          </cell>
          <cell r="BE2424">
            <v>-7.2577242249340729E-2</v>
          </cell>
          <cell r="BF2424">
            <v>0.67058403015136714</v>
          </cell>
          <cell r="BG2424">
            <v>0</v>
          </cell>
        </row>
        <row r="2425">
          <cell r="D2425" t="str">
            <v>房地产开发</v>
          </cell>
          <cell r="M2425">
            <v>82.17125460379998</v>
          </cell>
          <cell r="N2425">
            <v>42.939601334928078</v>
          </cell>
          <cell r="O2425" t="str">
            <v>金融</v>
          </cell>
          <cell r="P2425" t="str">
            <v>房地产</v>
          </cell>
          <cell r="Q2425" t="str">
            <v>房地产管理与开发</v>
          </cell>
          <cell r="BC2425">
            <v>0.11477663230240537</v>
          </cell>
          <cell r="BD2425">
            <v>3.1150667514303777E-2</v>
          </cell>
          <cell r="BE2425">
            <v>-4.0822650133328963E-3</v>
          </cell>
          <cell r="BF2425">
            <v>0.29499599456787107</v>
          </cell>
          <cell r="BG2425">
            <v>0.2919000053405762</v>
          </cell>
        </row>
        <row r="2426">
          <cell r="D2426" t="str">
            <v>工业机械</v>
          </cell>
          <cell r="M2426">
            <v>105.37205760000001</v>
          </cell>
          <cell r="N2426">
            <v>55.050889521157394</v>
          </cell>
          <cell r="O2426" t="str">
            <v>工业</v>
          </cell>
          <cell r="P2426" t="str">
            <v>资本货物</v>
          </cell>
          <cell r="Q2426" t="str">
            <v>机械</v>
          </cell>
          <cell r="BC2426">
            <v>1.4696485623003222E-2</v>
          </cell>
          <cell r="BD2426">
            <v>-2.8746177370030618E-2</v>
          </cell>
          <cell r="BE2426">
            <v>0.56509111981571225</v>
          </cell>
          <cell r="BF2426">
            <v>1.2472200012207031</v>
          </cell>
          <cell r="BG2426">
            <v>0.45400798797607422</v>
          </cell>
        </row>
        <row r="2427">
          <cell r="D2427" t="str">
            <v>电子设备和仪器</v>
          </cell>
          <cell r="M2427">
            <v>46.137999999999998</v>
          </cell>
          <cell r="N2427">
            <v>24.096734981553709</v>
          </cell>
          <cell r="O2427" t="str">
            <v>信息技术</v>
          </cell>
          <cell r="P2427" t="str">
            <v>技术硬件与设备</v>
          </cell>
          <cell r="Q2427" t="str">
            <v>电子设备、仪器和元件</v>
          </cell>
          <cell r="BC2427">
            <v>0.20466010088878203</v>
          </cell>
          <cell r="BD2427">
            <v>2.7663934426229539E-2</v>
          </cell>
          <cell r="BE2427">
            <v>0</v>
          </cell>
          <cell r="BF2427">
            <v>0</v>
          </cell>
          <cell r="BG2427">
            <v>0</v>
          </cell>
        </row>
        <row r="2428">
          <cell r="D2428" t="str">
            <v>生物科技</v>
          </cell>
          <cell r="M2428">
            <v>34.450339572999994</v>
          </cell>
          <cell r="N2428">
            <v>17.992153499839247</v>
          </cell>
          <cell r="O2428" t="str">
            <v>医疗保健</v>
          </cell>
          <cell r="P2428" t="str">
            <v>制药、生物科技与生命科学</v>
          </cell>
          <cell r="Q2428" t="str">
            <v>生物科技Ⅲ</v>
          </cell>
          <cell r="BC2428">
            <v>7.2453371592539437E-2</v>
          </cell>
          <cell r="BD2428">
            <v>3.2458563535911519E-2</v>
          </cell>
          <cell r="BE2428">
            <v>2.5952945535285234E-2</v>
          </cell>
          <cell r="BF2428">
            <v>0.1824839973449707</v>
          </cell>
          <cell r="BG2428">
            <v>0</v>
          </cell>
        </row>
        <row r="2429">
          <cell r="D2429" t="str">
            <v>药品零售</v>
          </cell>
          <cell r="M2429">
            <v>42.6675436222</v>
          </cell>
          <cell r="N2429">
            <v>22.279437976479951</v>
          </cell>
          <cell r="O2429" t="str">
            <v>日常消费</v>
          </cell>
          <cell r="P2429" t="str">
            <v>食品与主要用品零售Ⅱ</v>
          </cell>
          <cell r="Q2429" t="str">
            <v>食品与主要用品零售Ⅲ</v>
          </cell>
          <cell r="BC2429">
            <v>4.4153720359770984E-2</v>
          </cell>
          <cell r="BD2429">
            <v>-6.9919883466860955E-2</v>
          </cell>
          <cell r="BE2429">
            <v>-2.3700305810397591E-2</v>
          </cell>
          <cell r="BF2429">
            <v>0.36769199371337891</v>
          </cell>
          <cell r="BG2429">
            <v>0.25091999053955077</v>
          </cell>
        </row>
        <row r="2430">
          <cell r="D2430" t="str">
            <v>白酒与葡萄酒</v>
          </cell>
          <cell r="M2430">
            <v>71.760000000000005</v>
          </cell>
          <cell r="N2430">
            <v>37.446887320819691</v>
          </cell>
          <cell r="O2430" t="str">
            <v>日常消费</v>
          </cell>
          <cell r="P2430" t="str">
            <v>食品、饮料与烟草</v>
          </cell>
          <cell r="Q2430" t="str">
            <v>饮料</v>
          </cell>
          <cell r="BC2430">
            <v>0.10740740740740753</v>
          </cell>
          <cell r="BD2430">
            <v>9.9938687921520705E-2</v>
          </cell>
          <cell r="BE2430">
            <v>1.7149929073376533</v>
          </cell>
          <cell r="BF2430">
            <v>0.80793601989746089</v>
          </cell>
          <cell r="BG2430">
            <v>0.30307199478149416</v>
          </cell>
        </row>
        <row r="2431">
          <cell r="D2431" t="str">
            <v>黄金</v>
          </cell>
          <cell r="M2431">
            <v>30.6433689212</v>
          </cell>
          <cell r="N2431">
            <v>15.988867904270689</v>
          </cell>
          <cell r="O2431" t="str">
            <v>材料</v>
          </cell>
          <cell r="P2431" t="str">
            <v>材料Ⅱ</v>
          </cell>
          <cell r="Q2431" t="str">
            <v>金属、非金属与采矿</v>
          </cell>
          <cell r="BC2431">
            <v>7.424714434060227E-2</v>
          </cell>
          <cell r="BD2431">
            <v>2.4764735017335313E-2</v>
          </cell>
          <cell r="BE2431">
            <v>0.27794935145151328</v>
          </cell>
          <cell r="BF2431">
            <v>0.59835601806640626</v>
          </cell>
          <cell r="BG2431">
            <v>0.31934400558471682</v>
          </cell>
        </row>
        <row r="2432">
          <cell r="D2432" t="str">
            <v>通信设备</v>
          </cell>
          <cell r="M2432">
            <v>195.8522626788</v>
          </cell>
          <cell r="N2432">
            <v>102.17562890458889</v>
          </cell>
          <cell r="O2432" t="str">
            <v>信息技术</v>
          </cell>
          <cell r="P2432" t="str">
            <v>技术硬件与设备</v>
          </cell>
          <cell r="Q2432" t="str">
            <v>通信设备Ⅲ</v>
          </cell>
          <cell r="BC2432">
            <v>8.2644628099173886E-3</v>
          </cell>
          <cell r="BD2432">
            <v>-2.4743052912066944E-2</v>
          </cell>
          <cell r="BE2432">
            <v>1.5581627558662006</v>
          </cell>
          <cell r="BF2432">
            <v>0.94751998901367185</v>
          </cell>
          <cell r="BG2432">
            <v>0.44781600952148437</v>
          </cell>
        </row>
        <row r="2433">
          <cell r="D2433" t="str">
            <v>基础化工</v>
          </cell>
          <cell r="M2433">
            <v>111.02857254</v>
          </cell>
          <cell r="N2433">
            <v>57.922362966578063</v>
          </cell>
          <cell r="O2433" t="str">
            <v>材料</v>
          </cell>
          <cell r="P2433" t="str">
            <v>材料Ⅱ</v>
          </cell>
          <cell r="Q2433" t="str">
            <v>化工</v>
          </cell>
          <cell r="BC2433">
            <v>3.5420098846787457E-2</v>
          </cell>
          <cell r="BD2433">
            <v>-5.6422934763141183E-2</v>
          </cell>
          <cell r="BE2433">
            <v>-0.32532934938260621</v>
          </cell>
          <cell r="BF2433">
            <v>1.0161119842529296</v>
          </cell>
          <cell r="BG2433">
            <v>0.35390399932861327</v>
          </cell>
        </row>
        <row r="2434">
          <cell r="D2434" t="str">
            <v>酒店、度假村与豪华游轮</v>
          </cell>
          <cell r="M2434">
            <v>81.609605000000002</v>
          </cell>
          <cell r="N2434">
            <v>42.569751169979313</v>
          </cell>
          <cell r="O2434" t="str">
            <v>可选消费</v>
          </cell>
          <cell r="P2434" t="str">
            <v>消费者服务Ⅱ</v>
          </cell>
          <cell r="Q2434" t="str">
            <v>酒店、餐馆与休闲Ⅲ</v>
          </cell>
          <cell r="BC2434">
            <v>1.3327915481511585E-2</v>
          </cell>
          <cell r="BD2434">
            <v>-0.10910260074306952</v>
          </cell>
          <cell r="BE2434">
            <v>2.939652448657188</v>
          </cell>
          <cell r="BF2434">
            <v>1.6983120727539063</v>
          </cell>
          <cell r="BG2434">
            <v>0</v>
          </cell>
        </row>
        <row r="2435">
          <cell r="D2435" t="str">
            <v>纺织品</v>
          </cell>
          <cell r="M2435">
            <v>47.133078877599999</v>
          </cell>
          <cell r="N2435">
            <v>24.581137276502837</v>
          </cell>
          <cell r="O2435" t="str">
            <v>可选消费</v>
          </cell>
          <cell r="P2435" t="str">
            <v>耐用消费品与服装</v>
          </cell>
          <cell r="Q2435" t="str">
            <v>纺织品、服装与奢侈品</v>
          </cell>
          <cell r="BC2435">
            <v>1.8607856650585775E-2</v>
          </cell>
          <cell r="BD2435">
            <v>0.14662529092319618</v>
          </cell>
          <cell r="BE2435">
            <v>0.60789241725529297</v>
          </cell>
          <cell r="BF2435">
            <v>0.65220001220703128</v>
          </cell>
          <cell r="BG2435">
            <v>0.23375999450683593</v>
          </cell>
        </row>
        <row r="2436">
          <cell r="D2436" t="str">
            <v>电子元件</v>
          </cell>
          <cell r="M2436">
            <v>56.187459420000003</v>
          </cell>
          <cell r="N2436">
            <v>29.301685533325816</v>
          </cell>
          <cell r="O2436" t="str">
            <v>信息技术</v>
          </cell>
          <cell r="P2436" t="str">
            <v>技术硬件与设备</v>
          </cell>
          <cell r="Q2436" t="str">
            <v>电子设备、仪器和元件</v>
          </cell>
          <cell r="BC2436">
            <v>1.1166253101736955E-2</v>
          </cell>
          <cell r="BD2436">
            <v>-3.49319123741859E-2</v>
          </cell>
          <cell r="BE2436">
            <v>-0.16249059949215694</v>
          </cell>
          <cell r="BF2436">
            <v>0.26331600189208987</v>
          </cell>
          <cell r="BG2436">
            <v>0.26584800720214846</v>
          </cell>
        </row>
        <row r="2437">
          <cell r="D2437" t="str">
            <v>商业印刷</v>
          </cell>
          <cell r="M2437">
            <v>39.676500000000004</v>
          </cell>
          <cell r="N2437">
            <v>20.686261748482767</v>
          </cell>
          <cell r="O2437" t="str">
            <v>工业</v>
          </cell>
          <cell r="P2437" t="str">
            <v>商业和专业服务</v>
          </cell>
          <cell r="Q2437" t="str">
            <v>商业服务与用品</v>
          </cell>
          <cell r="BC2437">
            <v>0</v>
          </cell>
          <cell r="BD2437">
            <v>0</v>
          </cell>
          <cell r="BE2437">
            <v>0.19521662568570378</v>
          </cell>
          <cell r="BF2437">
            <v>0.59048400878906249</v>
          </cell>
          <cell r="BG2437">
            <v>0</v>
          </cell>
        </row>
        <row r="2438">
          <cell r="D2438" t="str">
            <v>建筑与工程</v>
          </cell>
          <cell r="M2438">
            <v>57.518464769999994</v>
          </cell>
          <cell r="N2438">
            <v>29.978223904213536</v>
          </cell>
          <cell r="O2438" t="str">
            <v>工业</v>
          </cell>
          <cell r="P2438" t="str">
            <v>资本货物</v>
          </cell>
          <cell r="Q2438" t="str">
            <v>建筑与工程Ⅲ</v>
          </cell>
          <cell r="BC2438">
            <v>-1.7632241813602085E-2</v>
          </cell>
          <cell r="BD2438">
            <v>-0.18580375782881003</v>
          </cell>
          <cell r="BE2438">
            <v>0.29580074916035187</v>
          </cell>
          <cell r="BF2438">
            <v>0.32209201812744143</v>
          </cell>
          <cell r="BG2438">
            <v>0</v>
          </cell>
        </row>
        <row r="2439">
          <cell r="D2439" t="str">
            <v>煤炭与消费用燃料</v>
          </cell>
          <cell r="M2439">
            <v>85.108800000000002</v>
          </cell>
          <cell r="N2439">
            <v>44.357535172547834</v>
          </cell>
          <cell r="O2439" t="str">
            <v>能源</v>
          </cell>
          <cell r="P2439" t="str">
            <v>能源Ⅱ</v>
          </cell>
          <cell r="Q2439" t="str">
            <v>石油、天然气与供消费用燃料</v>
          </cell>
          <cell r="BC2439">
            <v>-1.4550264550264477E-2</v>
          </cell>
          <cell r="BD2439">
            <v>-1.4550264550264477E-2</v>
          </cell>
          <cell r="BE2439">
            <v>-0.27835890423627813</v>
          </cell>
          <cell r="BF2439">
            <v>-5.5080002546310427E-3</v>
          </cell>
          <cell r="BG2439">
            <v>-0.13334400177001954</v>
          </cell>
        </row>
        <row r="2440">
          <cell r="D2440" t="str">
            <v>电气部件与设备</v>
          </cell>
          <cell r="M2440">
            <v>39.654519999999998</v>
          </cell>
          <cell r="N2440">
            <v>20.66626912040844</v>
          </cell>
          <cell r="O2440" t="str">
            <v>工业</v>
          </cell>
          <cell r="P2440" t="str">
            <v>资本货物</v>
          </cell>
          <cell r="Q2440" t="str">
            <v>电气设备</v>
          </cell>
          <cell r="BC2440">
            <v>0.11293345829428304</v>
          </cell>
          <cell r="BD2440">
            <v>3.5761011774967308E-2</v>
          </cell>
          <cell r="BE2440">
            <v>0.7197681310245394</v>
          </cell>
          <cell r="BF2440">
            <v>0.65919601440429687</v>
          </cell>
          <cell r="BG2440">
            <v>0.28327199935913083</v>
          </cell>
        </row>
        <row r="2441">
          <cell r="D2441" t="str">
            <v>金属非金属</v>
          </cell>
          <cell r="M2441">
            <v>52.798537191400001</v>
          </cell>
          <cell r="N2441">
            <v>27.511754598003701</v>
          </cell>
          <cell r="O2441" t="str">
            <v>材料</v>
          </cell>
          <cell r="P2441" t="str">
            <v>材料Ⅱ</v>
          </cell>
          <cell r="Q2441" t="str">
            <v>金属、非金属与采矿</v>
          </cell>
          <cell r="BC2441">
            <v>-8.910891089108898E-3</v>
          </cell>
          <cell r="BD2441">
            <v>-9.4117647058823611E-2</v>
          </cell>
          <cell r="BE2441">
            <v>-0.29852838121934128</v>
          </cell>
          <cell r="BF2441">
            <v>0.37923599243164063</v>
          </cell>
          <cell r="BG2441">
            <v>1.6188000440597535E-2</v>
          </cell>
        </row>
        <row r="2442">
          <cell r="D2442" t="str">
            <v>机动车零配件与设备</v>
          </cell>
          <cell r="M2442">
            <v>46.516979068000005</v>
          </cell>
          <cell r="N2442">
            <v>24.237597126954324</v>
          </cell>
          <cell r="O2442" t="str">
            <v>可选消费</v>
          </cell>
          <cell r="P2442" t="str">
            <v>汽车与汽车零部件</v>
          </cell>
          <cell r="Q2442" t="str">
            <v>汽车零配件</v>
          </cell>
          <cell r="BC2442">
            <v>8.9947089947090109E-2</v>
          </cell>
          <cell r="BD2442">
            <v>0.25456760048721067</v>
          </cell>
          <cell r="BE2442">
            <v>0</v>
          </cell>
          <cell r="BF2442">
            <v>0.50035198211669918</v>
          </cell>
          <cell r="BG2442">
            <v>0.48051601409912109</v>
          </cell>
        </row>
        <row r="2443">
          <cell r="D2443" t="str">
            <v>金属非金属</v>
          </cell>
          <cell r="M2443">
            <v>50.279088600000001</v>
          </cell>
          <cell r="N2443">
            <v>26.193749300627779</v>
          </cell>
          <cell r="O2443" t="str">
            <v>材料</v>
          </cell>
          <cell r="P2443" t="str">
            <v>材料Ⅱ</v>
          </cell>
          <cell r="Q2443" t="str">
            <v>金属、非金属与采矿</v>
          </cell>
          <cell r="BC2443">
            <v>9.1412742382271484E-2</v>
          </cell>
          <cell r="BD2443">
            <v>3.8664323374340906E-2</v>
          </cell>
          <cell r="BE2443">
            <v>0.18318318318318319</v>
          </cell>
          <cell r="BF2443">
            <v>0.5211360168457031</v>
          </cell>
          <cell r="BG2443">
            <v>0.27285600662231446</v>
          </cell>
        </row>
        <row r="2444">
          <cell r="D2444" t="str">
            <v>生物科技</v>
          </cell>
          <cell r="M2444">
            <v>33.090327000000002</v>
          </cell>
          <cell r="N2444">
            <v>17.237952507511572</v>
          </cell>
          <cell r="O2444" t="str">
            <v>医疗保健</v>
          </cell>
          <cell r="P2444" t="str">
            <v>制药、生物科技与生命科学</v>
          </cell>
          <cell r="Q2444" t="str">
            <v>生物科技Ⅲ</v>
          </cell>
          <cell r="BC2444">
            <v>0</v>
          </cell>
          <cell r="BD2444">
            <v>0</v>
          </cell>
          <cell r="BE2444">
            <v>0.31345578463013973</v>
          </cell>
          <cell r="BF2444">
            <v>0.48085201263427735</v>
          </cell>
          <cell r="BG2444">
            <v>0</v>
          </cell>
        </row>
        <row r="2445">
          <cell r="D2445" t="str">
            <v>通信设备</v>
          </cell>
          <cell r="M2445">
            <v>60.057600000000001</v>
          </cell>
          <cell r="N2445">
            <v>31.277355948555556</v>
          </cell>
          <cell r="O2445" t="str">
            <v>信息技术</v>
          </cell>
          <cell r="P2445" t="str">
            <v>技术硬件与设备</v>
          </cell>
          <cell r="Q2445" t="str">
            <v>通信设备Ⅲ</v>
          </cell>
          <cell r="BC2445">
            <v>-1.7587939698492421E-2</v>
          </cell>
          <cell r="BD2445">
            <v>-2.6151930261519189E-2</v>
          </cell>
          <cell r="BE2445">
            <v>8.4604715672676883E-2</v>
          </cell>
          <cell r="BF2445">
            <v>0.43930801391601565</v>
          </cell>
          <cell r="BG2445">
            <v>0.23272800445556641</v>
          </cell>
        </row>
        <row r="2446">
          <cell r="D2446" t="str">
            <v>纸制品</v>
          </cell>
          <cell r="M2446">
            <v>39.926743999999999</v>
          </cell>
          <cell r="N2446">
            <v>20.793393438214817</v>
          </cell>
          <cell r="O2446" t="str">
            <v>材料</v>
          </cell>
          <cell r="P2446" t="str">
            <v>材料Ⅱ</v>
          </cell>
          <cell r="Q2446" t="str">
            <v>纸与林木产品</v>
          </cell>
          <cell r="BC2446">
            <v>2.4657534246575425E-2</v>
          </cell>
          <cell r="BD2446">
            <v>-0.13725490196078427</v>
          </cell>
          <cell r="BE2446">
            <v>-0.10846245530393327</v>
          </cell>
          <cell r="BF2446">
            <v>0.30270000457763674</v>
          </cell>
          <cell r="BG2446">
            <v>0.18824399948120119</v>
          </cell>
        </row>
        <row r="2447">
          <cell r="D2447" t="str">
            <v>工业机械</v>
          </cell>
          <cell r="M2447">
            <v>103.13933251699999</v>
          </cell>
          <cell r="N2447">
            <v>53.705619367438132</v>
          </cell>
          <cell r="O2447" t="str">
            <v>工业</v>
          </cell>
          <cell r="P2447" t="str">
            <v>资本货物</v>
          </cell>
          <cell r="Q2447" t="str">
            <v>机械</v>
          </cell>
          <cell r="BC2447">
            <v>0.11618257261410776</v>
          </cell>
          <cell r="BD2447">
            <v>0.10563090834360873</v>
          </cell>
          <cell r="BE2447">
            <v>-0.22105505605796477</v>
          </cell>
          <cell r="BF2447">
            <v>0.57626399993896482</v>
          </cell>
          <cell r="BG2447">
            <v>0.10319999694824218</v>
          </cell>
        </row>
        <row r="2448">
          <cell r="D2448" t="str">
            <v>休闲用品</v>
          </cell>
          <cell r="M2448">
            <v>137.451126316</v>
          </cell>
          <cell r="N2448">
            <v>71.56814997125332</v>
          </cell>
          <cell r="O2448" t="str">
            <v>可选消费</v>
          </cell>
          <cell r="P2448" t="str">
            <v>耐用消费品与服装</v>
          </cell>
          <cell r="Q2448" t="str">
            <v>休闲设备与用品</v>
          </cell>
          <cell r="BC2448">
            <v>0.23583815028901722</v>
          </cell>
          <cell r="BD2448">
            <v>2.7884615384615303E-2</v>
          </cell>
          <cell r="BE2448">
            <v>0.50193185809624163</v>
          </cell>
          <cell r="BF2448">
            <v>0.63867599487304683</v>
          </cell>
          <cell r="BG2448">
            <v>0.26403600692749024</v>
          </cell>
        </row>
        <row r="2449">
          <cell r="D2449" t="str">
            <v>西药</v>
          </cell>
          <cell r="M2449">
            <v>34.864788582399996</v>
          </cell>
          <cell r="N2449">
            <v>18.152271236988266</v>
          </cell>
          <cell r="O2449" t="str">
            <v>医疗保健</v>
          </cell>
          <cell r="P2449" t="str">
            <v>制药、生物科技与生命科学</v>
          </cell>
          <cell r="Q2449" t="str">
            <v>制药</v>
          </cell>
          <cell r="BC2449">
            <v>0.11306042884990256</v>
          </cell>
          <cell r="BD2449">
            <v>6.9288389513108631E-2</v>
          </cell>
          <cell r="BE2449">
            <v>-8.0515297906602251E-2</v>
          </cell>
          <cell r="BF2449">
            <v>0.16850400924682618</v>
          </cell>
          <cell r="BG2449">
            <v>0.22438800811767579</v>
          </cell>
        </row>
        <row r="2450">
          <cell r="D2450" t="str">
            <v>环境与设施服务</v>
          </cell>
          <cell r="M2450">
            <v>120.74287706999999</v>
          </cell>
          <cell r="N2450">
            <v>62.860329206251116</v>
          </cell>
          <cell r="O2450" t="str">
            <v>工业</v>
          </cell>
          <cell r="P2450" t="str">
            <v>商业和专业服务</v>
          </cell>
          <cell r="Q2450" t="str">
            <v>商业服务与用品</v>
          </cell>
          <cell r="BC2450">
            <v>4.4083526682134666E-2</v>
          </cell>
          <cell r="BD2450">
            <v>-6.0542797494780802E-2</v>
          </cell>
          <cell r="BE2450">
            <v>-0.16743755781683631</v>
          </cell>
          <cell r="BF2450">
            <v>0.53059200286865238</v>
          </cell>
          <cell r="BG2450">
            <v>0.28218000411987304</v>
          </cell>
        </row>
        <row r="2451">
          <cell r="D2451" t="str">
            <v>煤炭与消费用燃料</v>
          </cell>
          <cell r="M2451">
            <v>46.483054399999993</v>
          </cell>
          <cell r="N2451">
            <v>24.199390592866891</v>
          </cell>
          <cell r="O2451" t="str">
            <v>能源</v>
          </cell>
          <cell r="P2451" t="str">
            <v>能源Ⅱ</v>
          </cell>
          <cell r="Q2451" t="str">
            <v>石油、天然气与供消费用燃料</v>
          </cell>
          <cell r="BC2451">
            <v>0</v>
          </cell>
          <cell r="BD2451">
            <v>0</v>
          </cell>
          <cell r="BE2451">
            <v>-8.3467094703049832E-2</v>
          </cell>
          <cell r="BF2451">
            <v>0.40647598266601564</v>
          </cell>
          <cell r="BG2451">
            <v>8.958000183105469E-2</v>
          </cell>
        </row>
        <row r="2452">
          <cell r="D2452" t="str">
            <v>综合货品商店</v>
          </cell>
          <cell r="M2452">
            <v>86.488787702399989</v>
          </cell>
          <cell r="N2452">
            <v>45.025971303982715</v>
          </cell>
          <cell r="O2452" t="str">
            <v>可选消费</v>
          </cell>
          <cell r="P2452" t="str">
            <v>零售业</v>
          </cell>
          <cell r="Q2452" t="str">
            <v>多元化零售</v>
          </cell>
          <cell r="BC2452">
            <v>-3.9867109634551437E-2</v>
          </cell>
          <cell r="BD2452">
            <v>1.9400352733685965E-2</v>
          </cell>
          <cell r="BE2452">
            <v>1.8566721581548598</v>
          </cell>
          <cell r="BF2452">
            <v>1.3778759765624999</v>
          </cell>
          <cell r="BG2452">
            <v>0.5297040176391602</v>
          </cell>
        </row>
        <row r="2453">
          <cell r="D2453" t="str">
            <v>服装、服饰与奢侈品</v>
          </cell>
          <cell r="M2453">
            <v>43.3</v>
          </cell>
          <cell r="N2453">
            <v>22.541843843681711</v>
          </cell>
          <cell r="O2453" t="str">
            <v>可选消费</v>
          </cell>
          <cell r="P2453" t="str">
            <v>耐用消费品与服装</v>
          </cell>
          <cell r="Q2453" t="str">
            <v>纺织品、服装与奢侈品</v>
          </cell>
          <cell r="BC2453">
            <v>0.11311053984575832</v>
          </cell>
          <cell r="BD2453">
            <v>0.12176165803108797</v>
          </cell>
          <cell r="BE2453">
            <v>0.23502567027952065</v>
          </cell>
          <cell r="BF2453">
            <v>0.29102399826049807</v>
          </cell>
          <cell r="BG2453">
            <v>0</v>
          </cell>
        </row>
        <row r="2454">
          <cell r="D2454" t="str">
            <v>汽车制造</v>
          </cell>
          <cell r="M2454">
            <v>45.017885838400005</v>
          </cell>
          <cell r="N2454">
            <v>23.431809793625924</v>
          </cell>
          <cell r="O2454" t="str">
            <v>可选消费</v>
          </cell>
          <cell r="P2454" t="str">
            <v>汽车与汽车零部件</v>
          </cell>
          <cell r="Q2454" t="str">
            <v>汽车</v>
          </cell>
          <cell r="BC2454">
            <v>4.5685279187817299E-2</v>
          </cell>
          <cell r="BD2454">
            <v>3.2581453634085183E-2</v>
          </cell>
          <cell r="BE2454">
            <v>-0.26428571428571423</v>
          </cell>
          <cell r="BF2454">
            <v>0.24142799377441407</v>
          </cell>
          <cell r="BG2454">
            <v>6.0563998222351076E-2</v>
          </cell>
        </row>
        <row r="2455">
          <cell r="D2455" t="str">
            <v>生物科技</v>
          </cell>
          <cell r="M2455">
            <v>201.65969496600002</v>
          </cell>
          <cell r="N2455">
            <v>104.96316925339859</v>
          </cell>
          <cell r="O2455" t="str">
            <v>医疗保健</v>
          </cell>
          <cell r="P2455" t="str">
            <v>制药、生物科技与生命科学</v>
          </cell>
          <cell r="Q2455" t="str">
            <v>生物科技Ⅲ</v>
          </cell>
          <cell r="BC2455">
            <v>4.1524846834581429E-2</v>
          </cell>
          <cell r="BD2455">
            <v>-7.3849878934624635E-2</v>
          </cell>
          <cell r="BE2455">
            <v>-1.1083815596259334E-2</v>
          </cell>
          <cell r="BF2455">
            <v>0.62901599884033199</v>
          </cell>
          <cell r="BG2455">
            <v>0.39837600708007814</v>
          </cell>
        </row>
        <row r="2456">
          <cell r="D2456" t="str">
            <v>航天航空与国防</v>
          </cell>
          <cell r="M2456">
            <v>529.9186665894</v>
          </cell>
          <cell r="N2456">
            <v>275.8000124281985</v>
          </cell>
          <cell r="O2456" t="str">
            <v>工业</v>
          </cell>
          <cell r="P2456" t="str">
            <v>资本货物</v>
          </cell>
          <cell r="Q2456" t="str">
            <v>航空航天与国防Ⅲ</v>
          </cell>
          <cell r="BC2456">
            <v>4.5901639344262286E-2</v>
          </cell>
          <cell r="BD2456">
            <v>-1.2383900928792489E-2</v>
          </cell>
          <cell r="BE2456">
            <v>-0.28635704711822474</v>
          </cell>
          <cell r="BF2456">
            <v>0.48916801452636721</v>
          </cell>
          <cell r="BG2456">
            <v>0.16488000869750977</v>
          </cell>
        </row>
        <row r="2457">
          <cell r="D2457" t="str">
            <v>煤炭与消费用燃料</v>
          </cell>
          <cell r="M2457">
            <v>159.45150000000001</v>
          </cell>
          <cell r="N2457">
            <v>82.981939365702772</v>
          </cell>
          <cell r="O2457" t="str">
            <v>能源</v>
          </cell>
          <cell r="P2457" t="str">
            <v>能源Ⅱ</v>
          </cell>
          <cell r="Q2457" t="str">
            <v>石油、天然气与供消费用燃料</v>
          </cell>
          <cell r="BC2457">
            <v>-3.3527696793002978E-2</v>
          </cell>
          <cell r="BD2457">
            <v>7.5987841945288487E-3</v>
          </cell>
          <cell r="BE2457">
            <v>-0.3129533678756477</v>
          </cell>
          <cell r="BF2457">
            <v>0.18476400375366211</v>
          </cell>
          <cell r="BG2457">
            <v>-0.16974000930786132</v>
          </cell>
        </row>
        <row r="2458">
          <cell r="D2458" t="str">
            <v>贸易公司与工业品经销商</v>
          </cell>
          <cell r="M2458">
            <v>70.031375456800006</v>
          </cell>
          <cell r="N2458">
            <v>36.434290043055555</v>
          </cell>
          <cell r="O2458" t="str">
            <v>工业</v>
          </cell>
          <cell r="P2458" t="str">
            <v>资本货物</v>
          </cell>
          <cell r="Q2458" t="str">
            <v>贸易公司与工业品经销商Ⅲ</v>
          </cell>
          <cell r="BC2458">
            <v>0.13596138374899433</v>
          </cell>
          <cell r="BD2458">
            <v>-3.0219780219780307E-2</v>
          </cell>
          <cell r="BE2458">
            <v>0.17178423236514509</v>
          </cell>
          <cell r="BF2458">
            <v>0.20860799789428711</v>
          </cell>
          <cell r="BG2458">
            <v>0.28461599349975586</v>
          </cell>
        </row>
        <row r="2459">
          <cell r="D2459" t="str">
            <v>金属非金属</v>
          </cell>
          <cell r="M2459">
            <v>176.92821042899999</v>
          </cell>
          <cell r="N2459">
            <v>92.032466146744071</v>
          </cell>
          <cell r="O2459" t="str">
            <v>材料</v>
          </cell>
          <cell r="P2459" t="str">
            <v>材料Ⅱ</v>
          </cell>
          <cell r="Q2459" t="str">
            <v>金属、非金属与采矿</v>
          </cell>
          <cell r="BC2459">
            <v>-3.0164533820840958E-2</v>
          </cell>
          <cell r="BD2459">
            <v>0.12156448202959814</v>
          </cell>
          <cell r="BE2459">
            <v>-0.21311308919398336</v>
          </cell>
          <cell r="BF2459">
            <v>0.15498000144958496</v>
          </cell>
          <cell r="BG2459">
            <v>-5.8692002296447755E-2</v>
          </cell>
        </row>
        <row r="2460">
          <cell r="D2460" t="str">
            <v>工业机械</v>
          </cell>
          <cell r="M2460">
            <v>42.367688999999999</v>
          </cell>
          <cell r="N2460">
            <v>22.03829182005833</v>
          </cell>
          <cell r="O2460" t="str">
            <v>工业</v>
          </cell>
          <cell r="P2460" t="str">
            <v>资本货物</v>
          </cell>
          <cell r="Q2460" t="str">
            <v>机械</v>
          </cell>
          <cell r="BC2460">
            <v>4.4166666666666611E-2</v>
          </cell>
          <cell r="BD2460">
            <v>8.2037996545768502E-2</v>
          </cell>
          <cell r="BE2460">
            <v>-0.10997075795204045</v>
          </cell>
          <cell r="BF2460">
            <v>0.46726799011230469</v>
          </cell>
          <cell r="BG2460">
            <v>7.6416001319885254E-2</v>
          </cell>
        </row>
        <row r="2461">
          <cell r="D2461" t="str">
            <v>纸制品</v>
          </cell>
          <cell r="M2461">
            <v>40.730178437000006</v>
          </cell>
          <cell r="N2461">
            <v>21.183952216741236</v>
          </cell>
          <cell r="O2461" t="str">
            <v>材料</v>
          </cell>
          <cell r="P2461" t="str">
            <v>材料Ⅱ</v>
          </cell>
          <cell r="Q2461" t="str">
            <v>纸与林木产品</v>
          </cell>
          <cell r="BC2461">
            <v>0</v>
          </cell>
          <cell r="BD2461">
            <v>0</v>
          </cell>
          <cell r="BE2461">
            <v>-4.8087431693989012E-2</v>
          </cell>
          <cell r="BF2461">
            <v>0.40208400726318361</v>
          </cell>
          <cell r="BG2461">
            <v>0.12887999534606934</v>
          </cell>
        </row>
        <row r="2462">
          <cell r="D2462" t="str">
            <v>海港与服务</v>
          </cell>
          <cell r="M2462">
            <v>87.299909400000018</v>
          </cell>
          <cell r="N2462">
            <v>45.404087918274314</v>
          </cell>
          <cell r="O2462" t="str">
            <v>工业</v>
          </cell>
          <cell r="P2462" t="str">
            <v>运输</v>
          </cell>
          <cell r="Q2462" t="str">
            <v>交通基础设施</v>
          </cell>
          <cell r="BC2462">
            <v>2.2988505747127989E-3</v>
          </cell>
          <cell r="BD2462">
            <v>-2.4608501118568108E-2</v>
          </cell>
          <cell r="BE2462">
            <v>-0.28908048828288285</v>
          </cell>
          <cell r="BF2462">
            <v>0.19015199661254883</v>
          </cell>
          <cell r="BG2462">
            <v>5.4215998649597169E-2</v>
          </cell>
        </row>
        <row r="2463">
          <cell r="D2463" t="str">
            <v>工业机械</v>
          </cell>
          <cell r="M2463">
            <v>56.130479999999991</v>
          </cell>
          <cell r="N2463">
            <v>29.189341432922966</v>
          </cell>
          <cell r="O2463" t="str">
            <v>工业</v>
          </cell>
          <cell r="P2463" t="str">
            <v>资本货物</v>
          </cell>
          <cell r="Q2463" t="str">
            <v>机械</v>
          </cell>
          <cell r="BC2463">
            <v>0</v>
          </cell>
          <cell r="BD2463">
            <v>-4.074074074074082E-2</v>
          </cell>
          <cell r="BE2463">
            <v>0</v>
          </cell>
          <cell r="BF2463">
            <v>0</v>
          </cell>
          <cell r="BG2463">
            <v>0</v>
          </cell>
        </row>
        <row r="2464">
          <cell r="D2464" t="str">
            <v>建筑产品</v>
          </cell>
          <cell r="M2464">
            <v>108.03456000000001</v>
          </cell>
          <cell r="N2464">
            <v>56.174703495601854</v>
          </cell>
          <cell r="O2464" t="str">
            <v>工业</v>
          </cell>
          <cell r="P2464" t="str">
            <v>资本货物</v>
          </cell>
          <cell r="Q2464" t="str">
            <v>建筑产品Ⅲ</v>
          </cell>
          <cell r="BC2464">
            <v>-8.4162203519509895E-3</v>
          </cell>
          <cell r="BD2464">
            <v>-7.7580071174377208E-2</v>
          </cell>
          <cell r="BE2464">
            <v>3.0626959247648906</v>
          </cell>
          <cell r="BF2464">
            <v>0.90367202758789067</v>
          </cell>
          <cell r="BG2464">
            <v>0.43032001495361327</v>
          </cell>
        </row>
        <row r="2465">
          <cell r="D2465" t="str">
            <v>建材</v>
          </cell>
          <cell r="M2465">
            <v>33.164208000000002</v>
          </cell>
          <cell r="N2465">
            <v>17.243814085972222</v>
          </cell>
          <cell r="O2465" t="str">
            <v>材料</v>
          </cell>
          <cell r="P2465" t="str">
            <v>材料Ⅱ</v>
          </cell>
          <cell r="Q2465" t="str">
            <v>建材Ⅲ</v>
          </cell>
          <cell r="BC2465">
            <v>-4.0241448692152062E-3</v>
          </cell>
          <cell r="BD2465">
            <v>-1.0989010989010933E-2</v>
          </cell>
          <cell r="BE2465">
            <v>-0.20883771218225147</v>
          </cell>
          <cell r="BF2465">
            <v>8.0136003494262698E-2</v>
          </cell>
          <cell r="BG2465">
            <v>-4.4628000259399413E-2</v>
          </cell>
        </row>
        <row r="2466">
          <cell r="D2466" t="str">
            <v>电子元件</v>
          </cell>
          <cell r="M2466">
            <v>60.34</v>
          </cell>
          <cell r="N2466">
            <v>31.370250371500003</v>
          </cell>
          <cell r="O2466" t="str">
            <v>信息技术</v>
          </cell>
          <cell r="P2466" t="str">
            <v>技术硬件与设备</v>
          </cell>
          <cell r="Q2466" t="str">
            <v>电子设备、仪器和元件</v>
          </cell>
          <cell r="BC2466">
            <v>0.10919117647058833</v>
          </cell>
          <cell r="BD2466">
            <v>9.5497458242556371E-2</v>
          </cell>
          <cell r="BE2466">
            <v>0.92925314743580956</v>
          </cell>
          <cell r="BF2466">
            <v>0.62272800445556642</v>
          </cell>
          <cell r="BG2466">
            <v>0</v>
          </cell>
        </row>
        <row r="2467">
          <cell r="D2467" t="str">
            <v>家用器具与特殊消费品</v>
          </cell>
          <cell r="M2467">
            <v>67.725120000000004</v>
          </cell>
          <cell r="N2467">
            <v>35.191509900405627</v>
          </cell>
          <cell r="O2467" t="str">
            <v>可选消费</v>
          </cell>
          <cell r="P2467" t="str">
            <v>耐用消费品与服装</v>
          </cell>
          <cell r="Q2467" t="str">
            <v>家庭耐用消费品</v>
          </cell>
          <cell r="BC2467">
            <v>5.4829545454545443E-2</v>
          </cell>
          <cell r="BD2467">
            <v>0.13235742604452588</v>
          </cell>
          <cell r="BE2467">
            <v>1.3004490032977631</v>
          </cell>
          <cell r="BF2467">
            <v>0.71168403625488286</v>
          </cell>
          <cell r="BG2467">
            <v>0</v>
          </cell>
        </row>
        <row r="2468">
          <cell r="D2468" t="str">
            <v>工业机械</v>
          </cell>
          <cell r="M2468">
            <v>26.698934879999999</v>
          </cell>
          <cell r="N2468">
            <v>13.872684583966048</v>
          </cell>
          <cell r="O2468" t="str">
            <v>工业</v>
          </cell>
          <cell r="P2468" t="str">
            <v>资本货物</v>
          </cell>
          <cell r="Q2468" t="str">
            <v>机械</v>
          </cell>
          <cell r="BC2468">
            <v>0</v>
          </cell>
          <cell r="BD2468">
            <v>-0.2303860523038605</v>
          </cell>
          <cell r="BE2468">
            <v>-6.8689241363548495E-2</v>
          </cell>
          <cell r="BF2468">
            <v>0.48595199584960935</v>
          </cell>
          <cell r="BG2468">
            <v>0</v>
          </cell>
        </row>
        <row r="2469">
          <cell r="D2469" t="str">
            <v>电子设备和仪器</v>
          </cell>
          <cell r="M2469">
            <v>99.366479999999981</v>
          </cell>
          <cell r="N2469">
            <v>51.627038155912494</v>
          </cell>
          <cell r="O2469" t="str">
            <v>信息技术</v>
          </cell>
          <cell r="P2469" t="str">
            <v>技术硬件与设备</v>
          </cell>
          <cell r="Q2469" t="str">
            <v>电子设备、仪器和元件</v>
          </cell>
          <cell r="BC2469">
            <v>4.6783625730993983E-2</v>
          </cell>
          <cell r="BD2469">
            <v>-1.6483516483516522E-2</v>
          </cell>
          <cell r="BE2469">
            <v>0.31912872841677004</v>
          </cell>
          <cell r="BF2469">
            <v>0.50103599548339839</v>
          </cell>
          <cell r="BG2469">
            <v>0.3575040054321289</v>
          </cell>
        </row>
        <row r="2470">
          <cell r="D2470" t="str">
            <v>半导体产品</v>
          </cell>
          <cell r="M2470">
            <v>56.684543999999995</v>
          </cell>
          <cell r="N2470">
            <v>29.448636817148149</v>
          </cell>
          <cell r="O2470" t="str">
            <v>信息技术</v>
          </cell>
          <cell r="P2470" t="str">
            <v>半导体与半导体生产设备</v>
          </cell>
          <cell r="Q2470" t="str">
            <v>半导体产品与半导体设备</v>
          </cell>
          <cell r="BC2470">
            <v>4.7748976807639787E-2</v>
          </cell>
          <cell r="BD2470">
            <v>4.0650406504065019E-2</v>
          </cell>
          <cell r="BE2470">
            <v>0.19210725177310906</v>
          </cell>
          <cell r="BF2470">
            <v>0.32051998138427734</v>
          </cell>
          <cell r="BG2470">
            <v>5.4492001533508298E-2</v>
          </cell>
        </row>
        <row r="2471">
          <cell r="D2471" t="str">
            <v>食品加工与肉类</v>
          </cell>
          <cell r="M2471">
            <v>45.480825000000003</v>
          </cell>
          <cell r="N2471">
            <v>23.627732356645062</v>
          </cell>
          <cell r="O2471" t="str">
            <v>日常消费</v>
          </cell>
          <cell r="P2471" t="str">
            <v>食品、饮料与烟草</v>
          </cell>
          <cell r="Q2471" t="str">
            <v>食品</v>
          </cell>
          <cell r="BC2471">
            <v>4.2074363992172181E-2</v>
          </cell>
          <cell r="BD2471">
            <v>5.3412462908011965E-2</v>
          </cell>
          <cell r="BE2471">
            <v>6.3936063936063992E-2</v>
          </cell>
          <cell r="BF2471">
            <v>0.28966800689697264</v>
          </cell>
          <cell r="BG2471">
            <v>0.11527199745178222</v>
          </cell>
        </row>
        <row r="2472">
          <cell r="D2472" t="str">
            <v>林木产品</v>
          </cell>
          <cell r="M2472">
            <v>29.511104000000003</v>
          </cell>
          <cell r="N2472">
            <v>15.328675424260842</v>
          </cell>
          <cell r="O2472" t="str">
            <v>材料</v>
          </cell>
          <cell r="P2472" t="str">
            <v>材料Ⅱ</v>
          </cell>
          <cell r="Q2472" t="str">
            <v>纸与林木产品</v>
          </cell>
          <cell r="BC2472">
            <v>-5.2959501557632301E-2</v>
          </cell>
          <cell r="BD2472">
            <v>-4.7874720357941845E-2</v>
          </cell>
          <cell r="BE2472">
            <v>-0.11589668894570659</v>
          </cell>
          <cell r="BF2472">
            <v>0.36392398834228518</v>
          </cell>
          <cell r="BG2472">
            <v>0</v>
          </cell>
        </row>
        <row r="2473">
          <cell r="D2473" t="str">
            <v>食品加工与肉类</v>
          </cell>
          <cell r="M2473">
            <v>51.511416320000009</v>
          </cell>
          <cell r="N2473">
            <v>26.753612816969138</v>
          </cell>
          <cell r="O2473" t="str">
            <v>日常消费</v>
          </cell>
          <cell r="P2473" t="str">
            <v>食品、饮料与烟草</v>
          </cell>
          <cell r="Q2473" t="str">
            <v>食品</v>
          </cell>
          <cell r="BC2473">
            <v>3.5460992907801567E-2</v>
          </cell>
          <cell r="BD2473">
            <v>-6.4102564102564041E-2</v>
          </cell>
          <cell r="BE2473">
            <v>-3.1176673113507417E-2</v>
          </cell>
          <cell r="BF2473">
            <v>0.35901599884033203</v>
          </cell>
          <cell r="BG2473">
            <v>0</v>
          </cell>
        </row>
        <row r="2474">
          <cell r="D2474" t="str">
            <v>软饮料</v>
          </cell>
          <cell r="M2474">
            <v>54.947133579999999</v>
          </cell>
          <cell r="N2474">
            <v>28.537905690284578</v>
          </cell>
          <cell r="O2474" t="str">
            <v>日常消费</v>
          </cell>
          <cell r="P2474" t="str">
            <v>食品、饮料与烟草</v>
          </cell>
          <cell r="Q2474" t="str">
            <v>饮料</v>
          </cell>
          <cell r="BC2474">
            <v>3.9293849658314429E-2</v>
          </cell>
          <cell r="BD2474">
            <v>-0.13548081477972523</v>
          </cell>
          <cell r="BE2474">
            <v>0.67738970588235281</v>
          </cell>
          <cell r="BF2474">
            <v>0.80711997985839845</v>
          </cell>
          <cell r="BG2474">
            <v>0.30101999282836917</v>
          </cell>
        </row>
        <row r="2475">
          <cell r="D2475" t="str">
            <v>服装、服饰与奢侈品</v>
          </cell>
          <cell r="M2475">
            <v>41.464499999999994</v>
          </cell>
          <cell r="N2475">
            <v>21.534815242498844</v>
          </cell>
          <cell r="O2475" t="str">
            <v>可选消费</v>
          </cell>
          <cell r="P2475" t="str">
            <v>耐用消费品与服装</v>
          </cell>
          <cell r="Q2475" t="str">
            <v>纺织品、服装与奢侈品</v>
          </cell>
          <cell r="BC2475">
            <v>0</v>
          </cell>
          <cell r="BD2475">
            <v>0</v>
          </cell>
          <cell r="BE2475">
            <v>0.45885448919552568</v>
          </cell>
          <cell r="BF2475">
            <v>0.68321998596191402</v>
          </cell>
          <cell r="BG2475">
            <v>0.25234800338745117</v>
          </cell>
        </row>
        <row r="2476">
          <cell r="D2476" t="str">
            <v>互联网软件与服务</v>
          </cell>
          <cell r="M2476">
            <v>320.12639810799999</v>
          </cell>
          <cell r="N2476">
            <v>166.23434512886598</v>
          </cell>
          <cell r="O2476" t="str">
            <v>信息技术</v>
          </cell>
          <cell r="P2476" t="str">
            <v>软件与服务</v>
          </cell>
          <cell r="Q2476" t="str">
            <v>互联网软件与服务Ⅲ</v>
          </cell>
          <cell r="BC2476">
            <v>1.003630151612212E-2</v>
          </cell>
          <cell r="BD2476">
            <v>6.3465199915367101E-4</v>
          </cell>
          <cell r="BE2476">
            <v>2.282442748091603</v>
          </cell>
          <cell r="BF2476">
            <v>1.3843559265136718</v>
          </cell>
          <cell r="BG2476">
            <v>0.5271720123291016</v>
          </cell>
        </row>
        <row r="2477">
          <cell r="D2477" t="str">
            <v>保健护理服务</v>
          </cell>
          <cell r="M2477">
            <v>373.75585567110005</v>
          </cell>
          <cell r="N2477">
            <v>194.04708316013193</v>
          </cell>
          <cell r="O2477" t="str">
            <v>医疗保健</v>
          </cell>
          <cell r="P2477" t="str">
            <v>医疗保健设备与服务</v>
          </cell>
          <cell r="Q2477" t="str">
            <v>医疗保健提供商与服务</v>
          </cell>
          <cell r="BC2477">
            <v>0</v>
          </cell>
          <cell r="BD2477">
            <v>0</v>
          </cell>
          <cell r="BE2477">
            <v>2.4715075943596028</v>
          </cell>
          <cell r="BF2477">
            <v>1.424927978515625</v>
          </cell>
          <cell r="BG2477">
            <v>0.51263999938964844</v>
          </cell>
        </row>
        <row r="2478">
          <cell r="D2478" t="str">
            <v>西药</v>
          </cell>
          <cell r="M2478">
            <v>38.363390000000003</v>
          </cell>
          <cell r="N2478">
            <v>19.916333061743828</v>
          </cell>
          <cell r="O2478" t="str">
            <v>医疗保健</v>
          </cell>
          <cell r="P2478" t="str">
            <v>制药、生物科技与生命科学</v>
          </cell>
          <cell r="Q2478" t="str">
            <v>制药</v>
          </cell>
          <cell r="BC2478">
            <v>7.751937984496202E-3</v>
          </cell>
          <cell r="BD2478">
            <v>-0.10453808752025925</v>
          </cell>
          <cell r="BE2478">
            <v>-0.24303277931988618</v>
          </cell>
          <cell r="BF2478">
            <v>0.36124801635742188</v>
          </cell>
          <cell r="BG2478">
            <v>0</v>
          </cell>
        </row>
        <row r="2479">
          <cell r="D2479" t="str">
            <v>白酒与葡萄酒</v>
          </cell>
          <cell r="M2479">
            <v>34.648847999999994</v>
          </cell>
          <cell r="N2479">
            <v>17.985632462190971</v>
          </cell>
          <cell r="O2479" t="str">
            <v>日常消费</v>
          </cell>
          <cell r="P2479" t="str">
            <v>食品、饮料与烟草</v>
          </cell>
          <cell r="Q2479" t="str">
            <v>饮料</v>
          </cell>
          <cell r="BC2479">
            <v>1.6965127238454263E-2</v>
          </cell>
          <cell r="BD2479">
            <v>9.7660223804679452E-2</v>
          </cell>
          <cell r="BE2479">
            <v>-3.5746201966041141E-2</v>
          </cell>
          <cell r="BF2479">
            <v>0.23605199813842773</v>
          </cell>
          <cell r="BG2479">
            <v>3.0996000766754149E-2</v>
          </cell>
        </row>
        <row r="2480">
          <cell r="D2480" t="str">
            <v>石油天然气设备与服务</v>
          </cell>
          <cell r="M2480">
            <v>46.620458036999999</v>
          </cell>
          <cell r="N2480">
            <v>24.199697963175709</v>
          </cell>
          <cell r="O2480" t="str">
            <v>能源</v>
          </cell>
          <cell r="P2480" t="str">
            <v>能源Ⅱ</v>
          </cell>
          <cell r="Q2480" t="str">
            <v>能源设备与服务</v>
          </cell>
          <cell r="BC2480">
            <v>-1.571856287425143E-2</v>
          </cell>
          <cell r="BD2480">
            <v>9.5833333333333368E-2</v>
          </cell>
          <cell r="BE2480">
            <v>-0.10390516073604626</v>
          </cell>
          <cell r="BF2480">
            <v>0.10882800102233886</v>
          </cell>
          <cell r="BG2480">
            <v>0</v>
          </cell>
        </row>
        <row r="2481">
          <cell r="D2481" t="str">
            <v>建筑机械与重型卡车</v>
          </cell>
          <cell r="M2481">
            <v>108.76957366499998</v>
          </cell>
          <cell r="N2481">
            <v>56.448425383420137</v>
          </cell>
          <cell r="O2481" t="str">
            <v>工业</v>
          </cell>
          <cell r="P2481" t="str">
            <v>资本货物</v>
          </cell>
          <cell r="Q2481" t="str">
            <v>机械</v>
          </cell>
          <cell r="BC2481">
            <v>3.6333608587943954E-2</v>
          </cell>
          <cell r="BD2481">
            <v>-8.7272727272727224E-2</v>
          </cell>
          <cell r="BE2481">
            <v>-4.614973443029477E-2</v>
          </cell>
          <cell r="BF2481">
            <v>0.11447999954223632</v>
          </cell>
          <cell r="BG2481">
            <v>8.958000183105469E-2</v>
          </cell>
        </row>
        <row r="2482">
          <cell r="D2482" t="str">
            <v>医疗保健设备</v>
          </cell>
          <cell r="M2482">
            <v>37.603051199999996</v>
          </cell>
          <cell r="N2482">
            <v>19.511858422072532</v>
          </cell>
          <cell r="O2482" t="str">
            <v>医疗保健</v>
          </cell>
          <cell r="P2482" t="str">
            <v>医疗保健设备与服务</v>
          </cell>
          <cell r="Q2482" t="str">
            <v>医疗保健设备与用品</v>
          </cell>
          <cell r="BC2482">
            <v>3.0424339471577182E-2</v>
          </cell>
          <cell r="BD2482">
            <v>-0.10157068062827226</v>
          </cell>
          <cell r="BE2482">
            <v>-0.32386943265142371</v>
          </cell>
          <cell r="BF2482">
            <v>0.32935199737548826</v>
          </cell>
          <cell r="BG2482">
            <v>0</v>
          </cell>
        </row>
        <row r="2483">
          <cell r="D2483" t="str">
            <v>建筑机械与重型卡车</v>
          </cell>
          <cell r="M2483">
            <v>57.953000000000003</v>
          </cell>
          <cell r="N2483">
            <v>30.07019605666666</v>
          </cell>
          <cell r="O2483" t="str">
            <v>工业</v>
          </cell>
          <cell r="P2483" t="str">
            <v>资本货物</v>
          </cell>
          <cell r="Q2483" t="str">
            <v>机械</v>
          </cell>
          <cell r="BC2483">
            <v>-7.28013977868375E-3</v>
          </cell>
          <cell r="BD2483">
            <v>-4.8031276179837996E-2</v>
          </cell>
          <cell r="BE2483">
            <v>0.3267110235339028</v>
          </cell>
          <cell r="BF2483">
            <v>0.63779998779296876</v>
          </cell>
          <cell r="BG2483">
            <v>0.23157600402832032</v>
          </cell>
        </row>
        <row r="2484">
          <cell r="D2484" t="str">
            <v>信息科技咨询与其它服务</v>
          </cell>
          <cell r="M2484">
            <v>68.932000000000002</v>
          </cell>
          <cell r="N2484">
            <v>35.765957302412502</v>
          </cell>
          <cell r="O2484" t="str">
            <v>信息技术</v>
          </cell>
          <cell r="P2484" t="str">
            <v>软件与服务</v>
          </cell>
          <cell r="Q2484" t="str">
            <v>信息技术服务</v>
          </cell>
          <cell r="BC2484">
            <v>-1.5411712901805435E-3</v>
          </cell>
          <cell r="BD2484">
            <v>0.11206473761647867</v>
          </cell>
          <cell r="BE2484">
            <v>-0.49597400029239758</v>
          </cell>
          <cell r="BF2484">
            <v>0</v>
          </cell>
          <cell r="BG2484">
            <v>0</v>
          </cell>
        </row>
        <row r="2485">
          <cell r="D2485" t="str">
            <v>工业机械</v>
          </cell>
          <cell r="M2485">
            <v>126.42552000000002</v>
          </cell>
          <cell r="N2485">
            <v>65.59529358424669</v>
          </cell>
          <cell r="O2485" t="str">
            <v>工业</v>
          </cell>
          <cell r="P2485" t="str">
            <v>资本货物</v>
          </cell>
          <cell r="Q2485" t="str">
            <v>机械</v>
          </cell>
          <cell r="BC2485">
            <v>3.043753963221309E-2</v>
          </cell>
          <cell r="BD2485">
            <v>-6.9301260022909553E-2</v>
          </cell>
          <cell r="BE2485">
            <v>-0.37376912070038909</v>
          </cell>
          <cell r="BF2485">
            <v>0.26338800430297854</v>
          </cell>
          <cell r="BG2485">
            <v>0.15565199851989747</v>
          </cell>
        </row>
        <row r="2486">
          <cell r="D2486" t="str">
            <v>房地产开发</v>
          </cell>
          <cell r="M2486">
            <v>42.215040000000002</v>
          </cell>
          <cell r="N2486">
            <v>21.901867504092589</v>
          </cell>
          <cell r="O2486" t="str">
            <v>金融</v>
          </cell>
          <cell r="P2486" t="str">
            <v>房地产</v>
          </cell>
          <cell r="Q2486" t="str">
            <v>房地产管理与开发</v>
          </cell>
          <cell r="BC2486">
            <v>-5.3238385893523123E-2</v>
          </cell>
          <cell r="BD2486">
            <v>-0.15265553869499243</v>
          </cell>
          <cell r="BE2486">
            <v>0.91890034364261175</v>
          </cell>
          <cell r="BF2486">
            <v>1.0562039947509765</v>
          </cell>
          <cell r="BG2486">
            <v>0.45108001708984374</v>
          </cell>
        </row>
        <row r="2487">
          <cell r="D2487" t="str">
            <v>服装、服饰与奢侈品</v>
          </cell>
          <cell r="M2487">
            <v>54.052551989100003</v>
          </cell>
          <cell r="N2487">
            <v>28.042358889084081</v>
          </cell>
          <cell r="O2487" t="str">
            <v>可选消费</v>
          </cell>
          <cell r="P2487" t="str">
            <v>耐用消费品与服装</v>
          </cell>
          <cell r="Q2487" t="str">
            <v>纺织品、服装与奢侈品</v>
          </cell>
          <cell r="BC2487">
            <v>0.16248967226659317</v>
          </cell>
          <cell r="BD2487">
            <v>3.4558823529411857E-2</v>
          </cell>
          <cell r="BE2487">
            <v>1.0677578597104027</v>
          </cell>
          <cell r="BF2487">
            <v>0.68005203247070312</v>
          </cell>
          <cell r="BG2487">
            <v>0</v>
          </cell>
        </row>
        <row r="2488">
          <cell r="D2488" t="str">
            <v>广告</v>
          </cell>
          <cell r="M2488">
            <v>1262.7555115864</v>
          </cell>
          <cell r="N2488">
            <v>655.09412647745</v>
          </cell>
          <cell r="O2488" t="str">
            <v>可选消费</v>
          </cell>
          <cell r="P2488" t="str">
            <v>媒体Ⅱ</v>
          </cell>
          <cell r="Q2488" t="str">
            <v>媒体Ⅲ</v>
          </cell>
          <cell r="BC2488">
            <v>-7.7619663648124827E-3</v>
          </cell>
          <cell r="BD2488">
            <v>-6.9174757281553437E-2</v>
          </cell>
          <cell r="BE2488">
            <v>1.5460580912863069</v>
          </cell>
          <cell r="BF2488">
            <v>0.96309600830078124</v>
          </cell>
          <cell r="BG2488">
            <v>0.48984001159667967</v>
          </cell>
        </row>
        <row r="2489">
          <cell r="D2489" t="str">
            <v>工业机械</v>
          </cell>
          <cell r="M2489">
            <v>46.656000000000006</v>
          </cell>
          <cell r="N2489">
            <v>24.20306984827624</v>
          </cell>
          <cell r="O2489" t="str">
            <v>工业</v>
          </cell>
          <cell r="P2489" t="str">
            <v>资本货物</v>
          </cell>
          <cell r="Q2489" t="str">
            <v>机械</v>
          </cell>
          <cell r="BC2489">
            <v>-1.9852524106636297E-2</v>
          </cell>
          <cell r="BD2489">
            <v>-9.9531005732152164E-2</v>
          </cell>
          <cell r="BE2489">
            <v>-0.3777902298173722</v>
          </cell>
          <cell r="BF2489">
            <v>0.31899599075317381</v>
          </cell>
          <cell r="BG2489">
            <v>0</v>
          </cell>
        </row>
        <row r="2490">
          <cell r="D2490" t="str">
            <v>互联网零售</v>
          </cell>
          <cell r="M2490">
            <v>129.82910450079999</v>
          </cell>
          <cell r="N2490">
            <v>67.348264238647019</v>
          </cell>
          <cell r="O2490" t="str">
            <v>可选消费</v>
          </cell>
          <cell r="P2490" t="str">
            <v>零售业</v>
          </cell>
          <cell r="Q2490" t="str">
            <v>互联网与售货目录零售</v>
          </cell>
          <cell r="BC2490">
            <v>1.1384062312761995E-2</v>
          </cell>
          <cell r="BD2490">
            <v>-1.1834319526626968E-3</v>
          </cell>
          <cell r="BE2490">
            <v>0.69648241206030148</v>
          </cell>
          <cell r="BF2490">
            <v>0.6029159927368164</v>
          </cell>
          <cell r="BG2490">
            <v>0.16666799545288086</v>
          </cell>
        </row>
        <row r="2491">
          <cell r="D2491" t="str">
            <v>服装、服饰与奢侈品</v>
          </cell>
          <cell r="M2491">
            <v>61.994236200000003</v>
          </cell>
          <cell r="N2491">
            <v>32.145261029171955</v>
          </cell>
          <cell r="O2491" t="str">
            <v>可选消费</v>
          </cell>
          <cell r="P2491" t="str">
            <v>耐用消费品与服装</v>
          </cell>
          <cell r="Q2491" t="str">
            <v>纺织品、服装与奢侈品</v>
          </cell>
          <cell r="BC2491">
            <v>0.12737642585551329</v>
          </cell>
          <cell r="BD2491">
            <v>-0.13219512195121955</v>
          </cell>
          <cell r="BE2491">
            <v>0.77899999999999991</v>
          </cell>
          <cell r="BF2491">
            <v>0.85470001220703129</v>
          </cell>
          <cell r="BG2491">
            <v>0.28466400146484377</v>
          </cell>
        </row>
        <row r="2492">
          <cell r="D2492" t="str">
            <v>工业机械</v>
          </cell>
          <cell r="M2492">
            <v>40.199291582400001</v>
          </cell>
          <cell r="N2492">
            <v>20.843935699624691</v>
          </cell>
          <cell r="O2492" t="str">
            <v>工业</v>
          </cell>
          <cell r="P2492" t="str">
            <v>资本货物</v>
          </cell>
          <cell r="Q2492" t="str">
            <v>机械</v>
          </cell>
          <cell r="BC2492">
            <v>2.5474756831866639E-2</v>
          </cell>
          <cell r="BD2492">
            <v>-2.0570670205706694E-2</v>
          </cell>
          <cell r="BE2492">
            <v>0.48756924983255201</v>
          </cell>
          <cell r="BF2492">
            <v>0</v>
          </cell>
          <cell r="BG2492">
            <v>0</v>
          </cell>
        </row>
        <row r="2493">
          <cell r="D2493" t="str">
            <v>医疗保健设备</v>
          </cell>
          <cell r="M2493">
            <v>45.627162351599999</v>
          </cell>
          <cell r="N2493">
            <v>23.656991916393402</v>
          </cell>
          <cell r="O2493" t="str">
            <v>医疗保健</v>
          </cell>
          <cell r="P2493" t="str">
            <v>医疗保健设备与服务</v>
          </cell>
          <cell r="Q2493" t="str">
            <v>医疗保健设备与用品</v>
          </cell>
          <cell r="BC2493">
            <v>-2.7616279069767369E-2</v>
          </cell>
          <cell r="BD2493">
            <v>1.9040365575019039E-2</v>
          </cell>
          <cell r="BE2493">
            <v>-0.26925177498634617</v>
          </cell>
          <cell r="BF2493">
            <v>0.37934398651123047</v>
          </cell>
          <cell r="BG2493">
            <v>0.32054401397705079</v>
          </cell>
        </row>
        <row r="2494">
          <cell r="D2494" t="str">
            <v>基础化工</v>
          </cell>
          <cell r="M2494">
            <v>211.15279988660001</v>
          </cell>
          <cell r="N2494">
            <v>109.46722119598893</v>
          </cell>
          <cell r="O2494" t="str">
            <v>材料</v>
          </cell>
          <cell r="P2494" t="str">
            <v>材料Ⅱ</v>
          </cell>
          <cell r="Q2494" t="str">
            <v>化工</v>
          </cell>
          <cell r="BC2494">
            <v>3.2772364924712229E-2</v>
          </cell>
          <cell r="BD2494">
            <v>-0.14138438880706922</v>
          </cell>
          <cell r="BE2494">
            <v>0.37445431891174674</v>
          </cell>
          <cell r="BF2494">
            <v>0.5532600021362305</v>
          </cell>
          <cell r="BG2494">
            <v>9.3696002960205083E-2</v>
          </cell>
        </row>
        <row r="2495">
          <cell r="D2495" t="str">
            <v>电气部件与设备</v>
          </cell>
          <cell r="M2495">
            <v>28.644000000000002</v>
          </cell>
          <cell r="N2495">
            <v>14.848540522274696</v>
          </cell>
          <cell r="O2495" t="str">
            <v>工业</v>
          </cell>
          <cell r="P2495" t="str">
            <v>资本货物</v>
          </cell>
          <cell r="Q2495" t="str">
            <v>电气设备</v>
          </cell>
          <cell r="BC2495">
            <v>3.3333333333333409E-2</v>
          </cell>
          <cell r="BD2495">
            <v>-4.8106448311156486E-2</v>
          </cell>
          <cell r="BE2495">
            <v>0.21061816596668353</v>
          </cell>
          <cell r="BF2495">
            <v>0.45086399078369138</v>
          </cell>
          <cell r="BG2495">
            <v>0.13291199684143065</v>
          </cell>
        </row>
        <row r="2496">
          <cell r="D2496" t="str">
            <v>建筑产品</v>
          </cell>
          <cell r="M2496">
            <v>34.230014000000004</v>
          </cell>
          <cell r="N2496">
            <v>17.743838216035879</v>
          </cell>
          <cell r="O2496" t="str">
            <v>工业</v>
          </cell>
          <cell r="P2496" t="str">
            <v>资本货物</v>
          </cell>
          <cell r="Q2496" t="str">
            <v>建筑产品Ⅲ</v>
          </cell>
          <cell r="BC2496">
            <v>2.5818181818181848E-2</v>
          </cell>
          <cell r="BD2496">
            <v>1.6210374639769425E-2</v>
          </cell>
          <cell r="BE2496">
            <v>-1.2817623208668234E-2</v>
          </cell>
          <cell r="BF2496">
            <v>0</v>
          </cell>
          <cell r="BG2496">
            <v>0</v>
          </cell>
        </row>
        <row r="2497">
          <cell r="D2497" t="str">
            <v>电气部件与设备</v>
          </cell>
          <cell r="M2497">
            <v>51.983590399999997</v>
          </cell>
          <cell r="N2497">
            <v>26.941658721799225</v>
          </cell>
          <cell r="O2497" t="str">
            <v>工业</v>
          </cell>
          <cell r="P2497" t="str">
            <v>资本货物</v>
          </cell>
          <cell r="Q2497" t="str">
            <v>电气设备</v>
          </cell>
          <cell r="BC2497">
            <v>-4.7333333333333387E-2</v>
          </cell>
          <cell r="BD2497">
            <v>1.1681415929203479E-2</v>
          </cell>
          <cell r="BE2497">
            <v>0.57813362782992817</v>
          </cell>
          <cell r="BF2497">
            <v>0.79875602722167971</v>
          </cell>
          <cell r="BG2497">
            <v>0.33302398681640627</v>
          </cell>
        </row>
        <row r="2498">
          <cell r="D2498" t="str">
            <v>广告</v>
          </cell>
          <cell r="M2498">
            <v>125.90431897399999</v>
          </cell>
          <cell r="N2498">
            <v>65.246791095027007</v>
          </cell>
          <cell r="O2498" t="str">
            <v>可选消费</v>
          </cell>
          <cell r="P2498" t="str">
            <v>媒体Ⅱ</v>
          </cell>
          <cell r="Q2498" t="str">
            <v>媒体Ⅲ</v>
          </cell>
          <cell r="BC2498">
            <v>0</v>
          </cell>
          <cell r="BD2498">
            <v>0</v>
          </cell>
          <cell r="BE2498">
            <v>1.4430756408289522</v>
          </cell>
          <cell r="BF2498">
            <v>1.2344400024414062</v>
          </cell>
          <cell r="BG2498">
            <v>0.50474399566650385</v>
          </cell>
        </row>
        <row r="2499">
          <cell r="D2499" t="str">
            <v>纺织品</v>
          </cell>
          <cell r="M2499">
            <v>39.2224</v>
          </cell>
          <cell r="N2499">
            <v>20.324259508475929</v>
          </cell>
          <cell r="O2499" t="str">
            <v>可选消费</v>
          </cell>
          <cell r="P2499" t="str">
            <v>耐用消费品与服装</v>
          </cell>
          <cell r="Q2499" t="str">
            <v>纺织品、服装与奢侈品</v>
          </cell>
          <cell r="BC2499">
            <v>3.2211882605583338E-2</v>
          </cell>
          <cell r="BD2499">
            <v>8.8301886792452822E-2</v>
          </cell>
          <cell r="BE2499">
            <v>0.23729664079612198</v>
          </cell>
          <cell r="BF2499">
            <v>0.64555198669433589</v>
          </cell>
          <cell r="BG2499">
            <v>0.23406000137329103</v>
          </cell>
        </row>
        <row r="2500">
          <cell r="D2500" t="str">
            <v>纺织品</v>
          </cell>
          <cell r="M2500">
            <v>107.10452510159999</v>
          </cell>
          <cell r="N2500">
            <v>55.496343309250612</v>
          </cell>
          <cell r="O2500" t="str">
            <v>可选消费</v>
          </cell>
          <cell r="P2500" t="str">
            <v>耐用消费品与服装</v>
          </cell>
          <cell r="Q2500" t="str">
            <v>纺织品、服装与奢侈品</v>
          </cell>
          <cell r="BC2500">
            <v>0</v>
          </cell>
          <cell r="BD2500">
            <v>0</v>
          </cell>
          <cell r="BE2500">
            <v>0.46736292428198428</v>
          </cell>
          <cell r="BF2500">
            <v>0.58840801239013674</v>
          </cell>
          <cell r="BG2500">
            <v>0.41919601440429688</v>
          </cell>
        </row>
        <row r="2501">
          <cell r="D2501" t="str">
            <v>机动车零配件与设备</v>
          </cell>
          <cell r="M2501">
            <v>97.880426720000003</v>
          </cell>
          <cell r="N2501">
            <v>50.715337608460125</v>
          </cell>
          <cell r="O2501" t="str">
            <v>可选消费</v>
          </cell>
          <cell r="P2501" t="str">
            <v>汽车与汽车零部件</v>
          </cell>
          <cell r="Q2501" t="str">
            <v>汽车零配件</v>
          </cell>
          <cell r="BC2501">
            <v>5.3078556263269641E-2</v>
          </cell>
          <cell r="BD2501">
            <v>-4.4315992292870983E-2</v>
          </cell>
          <cell r="BE2501">
            <v>7.6060000000000424E-3</v>
          </cell>
          <cell r="BF2501">
            <v>0</v>
          </cell>
          <cell r="BG2501">
            <v>0</v>
          </cell>
        </row>
        <row r="2502">
          <cell r="D2502" t="str">
            <v>航天航空与国防</v>
          </cell>
          <cell r="M2502">
            <v>65.679454562700002</v>
          </cell>
          <cell r="N2502">
            <v>34.027677223594388</v>
          </cell>
          <cell r="O2502" t="str">
            <v>工业</v>
          </cell>
          <cell r="P2502" t="str">
            <v>资本货物</v>
          </cell>
          <cell r="Q2502" t="str">
            <v>航空航天与国防Ⅲ</v>
          </cell>
          <cell r="BC2502">
            <v>7.9512893982807975E-2</v>
          </cell>
          <cell r="BD2502">
            <v>3.1485284052019225E-2</v>
          </cell>
          <cell r="BE2502">
            <v>-0.19839053065666318</v>
          </cell>
          <cell r="BF2502">
            <v>8.7156000137329104E-2</v>
          </cell>
          <cell r="BG2502">
            <v>0.25044000625610352</v>
          </cell>
        </row>
        <row r="2503">
          <cell r="D2503" t="str">
            <v>电子设备和仪器</v>
          </cell>
          <cell r="M2503">
            <v>54.351999920999994</v>
          </cell>
          <cell r="N2503">
            <v>28.157141000992095</v>
          </cell>
          <cell r="O2503" t="str">
            <v>信息技术</v>
          </cell>
          <cell r="P2503" t="str">
            <v>技术硬件与设备</v>
          </cell>
          <cell r="Q2503" t="str">
            <v>电子设备、仪器和元件</v>
          </cell>
          <cell r="BC2503">
            <v>1.4554794520547939E-2</v>
          </cell>
          <cell r="BD2503">
            <v>-2.7093596059113306E-2</v>
          </cell>
          <cell r="BE2503">
            <v>-0.15973705287461279</v>
          </cell>
          <cell r="BF2503">
            <v>0.31352399826049804</v>
          </cell>
          <cell r="BG2503">
            <v>0.14758799552917481</v>
          </cell>
        </row>
        <row r="2504">
          <cell r="D2504" t="str">
            <v>工业机械</v>
          </cell>
          <cell r="M2504">
            <v>70.350000000000009</v>
          </cell>
          <cell r="N2504">
            <v>36.442863991844085</v>
          </cell>
          <cell r="O2504" t="str">
            <v>工业</v>
          </cell>
          <cell r="P2504" t="str">
            <v>资本货物</v>
          </cell>
          <cell r="Q2504" t="str">
            <v>机械</v>
          </cell>
          <cell r="BC2504">
            <v>2.8653295128939216E-3</v>
          </cell>
          <cell r="BD2504">
            <v>-0.13151364764267995</v>
          </cell>
          <cell r="BE2504">
            <v>0.37336755755660095</v>
          </cell>
          <cell r="BF2504">
            <v>1.021343994140625</v>
          </cell>
          <cell r="BG2504">
            <v>0.44515201568603513</v>
          </cell>
        </row>
        <row r="2505">
          <cell r="D2505" t="str">
            <v>建筑机械与重型卡车</v>
          </cell>
          <cell r="M2505">
            <v>47.790577214999992</v>
          </cell>
          <cell r="N2505">
            <v>24.753684401419747</v>
          </cell>
          <cell r="O2505" t="str">
            <v>工业</v>
          </cell>
          <cell r="P2505" t="str">
            <v>资本货物</v>
          </cell>
          <cell r="Q2505" t="str">
            <v>机械</v>
          </cell>
          <cell r="BC2505">
            <v>7.0576540755467099E-2</v>
          </cell>
          <cell r="BD2505">
            <v>-6.5915004336513427E-2</v>
          </cell>
          <cell r="BE2505">
            <v>-0.26488735544944003</v>
          </cell>
          <cell r="BF2505">
            <v>5.8151998519897462E-2</v>
          </cell>
          <cell r="BG2505">
            <v>2.164799928665161E-2</v>
          </cell>
        </row>
        <row r="2506">
          <cell r="D2506" t="str">
            <v>综合类行业</v>
          </cell>
          <cell r="M2506">
            <v>35.807196247500002</v>
          </cell>
          <cell r="N2506">
            <v>18.545730505792672</v>
          </cell>
          <cell r="O2506" t="str">
            <v>工业</v>
          </cell>
          <cell r="P2506" t="str">
            <v>资本货物</v>
          </cell>
          <cell r="Q2506" t="str">
            <v>综合类Ⅲ</v>
          </cell>
          <cell r="BC2506">
            <v>2.6376146788990668E-2</v>
          </cell>
          <cell r="BD2506">
            <v>2.2396416573347787E-3</v>
          </cell>
          <cell r="BE2506">
            <v>-0.29365983515371191</v>
          </cell>
          <cell r="BF2506">
            <v>-5.3880000114440918E-3</v>
          </cell>
          <cell r="BG2506">
            <v>5.0819997787475583E-2</v>
          </cell>
        </row>
        <row r="2507">
          <cell r="D2507" t="str">
            <v>金属非金属</v>
          </cell>
          <cell r="M2507">
            <v>242.7252847986</v>
          </cell>
          <cell r="N2507">
            <v>125.69518680482322</v>
          </cell>
          <cell r="O2507" t="str">
            <v>材料</v>
          </cell>
          <cell r="P2507" t="str">
            <v>材料Ⅱ</v>
          </cell>
          <cell r="Q2507" t="str">
            <v>金属、非金属与采矿</v>
          </cell>
          <cell r="BC2507">
            <v>-4.1921397379912545E-2</v>
          </cell>
          <cell r="BD2507">
            <v>-3.8562664329535451E-2</v>
          </cell>
          <cell r="BE2507">
            <v>-0.11432705362509397</v>
          </cell>
          <cell r="BF2507">
            <v>0.53269199371337894</v>
          </cell>
          <cell r="BG2507">
            <v>5.9183998107910155E-2</v>
          </cell>
        </row>
        <row r="2508">
          <cell r="D2508" t="str">
            <v>电子设备和仪器</v>
          </cell>
          <cell r="M2508">
            <v>41.950896000000007</v>
          </cell>
          <cell r="N2508">
            <v>21.722403957579679</v>
          </cell>
          <cell r="O2508" t="str">
            <v>信息技术</v>
          </cell>
          <cell r="P2508" t="str">
            <v>技术硬件与设备</v>
          </cell>
          <cell r="Q2508" t="str">
            <v>电子设备、仪器和元件</v>
          </cell>
          <cell r="BC2508">
            <v>2.8296547821165814E-2</v>
          </cell>
          <cell r="BD2508">
            <v>-5.854922279792741E-2</v>
          </cell>
          <cell r="BE2508">
            <v>6.4259885551558288E-2</v>
          </cell>
          <cell r="BF2508">
            <v>0.22996799468994142</v>
          </cell>
          <cell r="BG2508">
            <v>0.15555600166320802</v>
          </cell>
        </row>
        <row r="2509">
          <cell r="D2509" t="str">
            <v>电子设备和仪器</v>
          </cell>
          <cell r="M2509">
            <v>68.496700811300002</v>
          </cell>
          <cell r="N2509">
            <v>35.457266467508838</v>
          </cell>
          <cell r="O2509" t="str">
            <v>信息技术</v>
          </cell>
          <cell r="P2509" t="str">
            <v>技术硬件与设备</v>
          </cell>
          <cell r="Q2509" t="str">
            <v>电子设备、仪器和元件</v>
          </cell>
          <cell r="BC2509">
            <v>-1.7465475223395602E-2</v>
          </cell>
          <cell r="BD2509">
            <v>-0.17383879781420764</v>
          </cell>
          <cell r="BE2509">
            <v>0.87084300077339538</v>
          </cell>
          <cell r="BF2509">
            <v>1.1374320220947265</v>
          </cell>
          <cell r="BG2509">
            <v>0.41886001586914062</v>
          </cell>
        </row>
        <row r="2510">
          <cell r="D2510" t="str">
            <v>房地产开发</v>
          </cell>
          <cell r="M2510">
            <v>152.82827928</v>
          </cell>
          <cell r="N2510">
            <v>79.107175584222887</v>
          </cell>
          <cell r="O2510" t="str">
            <v>金融</v>
          </cell>
          <cell r="P2510" t="str">
            <v>房地产</v>
          </cell>
          <cell r="Q2510" t="str">
            <v>房地产管理与开发</v>
          </cell>
          <cell r="BC2510">
            <v>7.1428571428571286E-2</v>
          </cell>
          <cell r="BD2510">
            <v>2.5641025641025664E-2</v>
          </cell>
          <cell r="BE2510">
            <v>0.34623952116267115</v>
          </cell>
          <cell r="BF2510">
            <v>0.93351600646972654</v>
          </cell>
          <cell r="BG2510">
            <v>0.35300399780273439</v>
          </cell>
        </row>
        <row r="2511">
          <cell r="D2511" t="str">
            <v>金属非金属</v>
          </cell>
          <cell r="M2511">
            <v>126.03040175900001</v>
          </cell>
          <cell r="N2511">
            <v>65.234679569805252</v>
          </cell>
          <cell r="O2511" t="str">
            <v>材料</v>
          </cell>
          <cell r="P2511" t="str">
            <v>材料Ⅱ</v>
          </cell>
          <cell r="Q2511" t="str">
            <v>金属、非金属与采矿</v>
          </cell>
          <cell r="BC2511">
            <v>-5.6671818650180028E-3</v>
          </cell>
          <cell r="BD2511">
            <v>3.9310716208939174E-2</v>
          </cell>
          <cell r="BE2511">
            <v>2.3872679045092798E-2</v>
          </cell>
          <cell r="BF2511">
            <v>0.53903999328613283</v>
          </cell>
          <cell r="BG2511">
            <v>0.19300800323486328</v>
          </cell>
        </row>
        <row r="2512">
          <cell r="D2512" t="str">
            <v>煤炭与消费用燃料</v>
          </cell>
          <cell r="M2512">
            <v>218.07373068000001</v>
          </cell>
          <cell r="N2512">
            <v>112.86729870392995</v>
          </cell>
          <cell r="O2512" t="str">
            <v>能源</v>
          </cell>
          <cell r="P2512" t="str">
            <v>能源Ⅱ</v>
          </cell>
          <cell r="Q2512" t="str">
            <v>石油、天然气与供消费用燃料</v>
          </cell>
          <cell r="BC2512">
            <v>0</v>
          </cell>
          <cell r="BD2512">
            <v>-6.1776061776061722E-2</v>
          </cell>
          <cell r="BE2512">
            <v>-0.19429399594975977</v>
          </cell>
          <cell r="BF2512">
            <v>0.20602800369262694</v>
          </cell>
          <cell r="BG2512">
            <v>-0.11282400131225585</v>
          </cell>
        </row>
        <row r="2513">
          <cell r="D2513" t="str">
            <v>贸易公司与工业品经销商</v>
          </cell>
          <cell r="M2513">
            <v>38.391300000000001</v>
          </cell>
          <cell r="N2513">
            <v>19.86810500076173</v>
          </cell>
          <cell r="O2513" t="str">
            <v>工业</v>
          </cell>
          <cell r="P2513" t="str">
            <v>资本货物</v>
          </cell>
          <cell r="Q2513" t="str">
            <v>贸易公司与工业品经销商Ⅲ</v>
          </cell>
          <cell r="BC2513">
            <v>2.5531914893617082E-2</v>
          </cell>
          <cell r="BD2513">
            <v>-0.14478353442157552</v>
          </cell>
          <cell r="BE2513">
            <v>-0.19613075383589057</v>
          </cell>
          <cell r="BF2513">
            <v>0.3500400161743164</v>
          </cell>
          <cell r="BG2513">
            <v>0.37354801177978514</v>
          </cell>
        </row>
        <row r="2514">
          <cell r="D2514" t="str">
            <v>工业机械</v>
          </cell>
          <cell r="M2514">
            <v>41.520978214000003</v>
          </cell>
          <cell r="N2514">
            <v>21.478752228274889</v>
          </cell>
          <cell r="O2514" t="str">
            <v>工业</v>
          </cell>
          <cell r="P2514" t="str">
            <v>资本货物</v>
          </cell>
          <cell r="Q2514" t="str">
            <v>机械</v>
          </cell>
          <cell r="BC2514">
            <v>7.6266363118952754E-2</v>
          </cell>
          <cell r="BD2514">
            <v>1.588983050847518E-3</v>
          </cell>
          <cell r="BE2514">
            <v>-0.31898442608745042</v>
          </cell>
          <cell r="BF2514">
            <v>0.23129999160766601</v>
          </cell>
          <cell r="BG2514">
            <v>9.1943998336791996E-2</v>
          </cell>
        </row>
        <row r="2515">
          <cell r="D2515" t="str">
            <v>航天航空与国防</v>
          </cell>
          <cell r="M2515">
            <v>336.36059366640001</v>
          </cell>
          <cell r="N2515">
            <v>173.99228170691728</v>
          </cell>
          <cell r="O2515" t="str">
            <v>工业</v>
          </cell>
          <cell r="P2515" t="str">
            <v>资本货物</v>
          </cell>
          <cell r="Q2515" t="str">
            <v>航空航天与国防Ⅲ</v>
          </cell>
          <cell r="BC2515">
            <v>-9.4466936572200118E-3</v>
          </cell>
          <cell r="BD2515">
            <v>-0.17085569048291438</v>
          </cell>
          <cell r="BE2515">
            <v>0.36294330235379108</v>
          </cell>
          <cell r="BF2515">
            <v>0.59629199981689451</v>
          </cell>
          <cell r="BG2515">
            <v>0.2874720001220703</v>
          </cell>
        </row>
        <row r="2516">
          <cell r="D2516" t="str">
            <v>信息科技咨询与其它服务</v>
          </cell>
          <cell r="M2516">
            <v>60.121599999999994</v>
          </cell>
          <cell r="N2516">
            <v>31.094279090773146</v>
          </cell>
          <cell r="O2516" t="str">
            <v>信息技术</v>
          </cell>
          <cell r="P2516" t="str">
            <v>软件与服务</v>
          </cell>
          <cell r="Q2516" t="str">
            <v>信息技术服务</v>
          </cell>
          <cell r="BC2516">
            <v>4.2416844675007427E-2</v>
          </cell>
          <cell r="BD2516">
            <v>0.18078119599032136</v>
          </cell>
          <cell r="BE2516">
            <v>0</v>
          </cell>
          <cell r="BF2516">
            <v>0</v>
          </cell>
          <cell r="BG2516">
            <v>0</v>
          </cell>
        </row>
        <row r="2517">
          <cell r="D2517" t="str">
            <v>建筑与工程</v>
          </cell>
          <cell r="M2517">
            <v>42.452152449299994</v>
          </cell>
          <cell r="N2517">
            <v>21.954369791979996</v>
          </cell>
          <cell r="O2517" t="str">
            <v>工业</v>
          </cell>
          <cell r="P2517" t="str">
            <v>资本货物</v>
          </cell>
          <cell r="Q2517" t="str">
            <v>建筑与工程Ⅲ</v>
          </cell>
          <cell r="BC2517">
            <v>-9.5011876484560661E-3</v>
          </cell>
          <cell r="BD2517">
            <v>-9.1503267973856203E-2</v>
          </cell>
          <cell r="BE2517">
            <v>-0.19158624492905621</v>
          </cell>
          <cell r="BF2517">
            <v>0.26780399322509768</v>
          </cell>
          <cell r="BG2517">
            <v>3.119999885559082E-2</v>
          </cell>
        </row>
        <row r="2518">
          <cell r="D2518" t="str">
            <v>海港与服务</v>
          </cell>
          <cell r="M2518">
            <v>34.29</v>
          </cell>
          <cell r="N2518">
            <v>17.725121986902778</v>
          </cell>
          <cell r="O2518" t="str">
            <v>工业</v>
          </cell>
          <cell r="P2518" t="str">
            <v>运输</v>
          </cell>
          <cell r="Q2518" t="str">
            <v>交通基础设施</v>
          </cell>
          <cell r="BC2518">
            <v>0</v>
          </cell>
          <cell r="BD2518">
            <v>0</v>
          </cell>
          <cell r="BE2518">
            <v>-4.0932008856592629E-2</v>
          </cell>
          <cell r="BF2518">
            <v>0.33104400634765624</v>
          </cell>
          <cell r="BG2518">
            <v>0.15471599578857423</v>
          </cell>
        </row>
        <row r="2519">
          <cell r="D2519" t="str">
            <v>酒店、度假村与豪华游轮</v>
          </cell>
          <cell r="M2519">
            <v>86.675519673600007</v>
          </cell>
          <cell r="N2519">
            <v>44.788315257691636</v>
          </cell>
          <cell r="O2519" t="str">
            <v>可选消费</v>
          </cell>
          <cell r="P2519" t="str">
            <v>消费者服务Ⅱ</v>
          </cell>
          <cell r="Q2519" t="str">
            <v>酒店、餐馆与休闲Ⅲ</v>
          </cell>
          <cell r="BC2519">
            <v>2.9243483788938388E-2</v>
          </cell>
          <cell r="BD2519">
            <v>-0.10005558643690925</v>
          </cell>
          <cell r="BE2519">
            <v>-0.31154352072089347</v>
          </cell>
          <cell r="BF2519">
            <v>-7.4088001251220698E-2</v>
          </cell>
          <cell r="BG2519">
            <v>0.16144800186157227</v>
          </cell>
        </row>
        <row r="2520">
          <cell r="D2520" t="str">
            <v>房地产开发</v>
          </cell>
          <cell r="M2520">
            <v>149.63592640530004</v>
          </cell>
          <cell r="N2520">
            <v>77.317814966596316</v>
          </cell>
          <cell r="O2520" t="str">
            <v>金融</v>
          </cell>
          <cell r="P2520" t="str">
            <v>房地产</v>
          </cell>
          <cell r="Q2520" t="str">
            <v>房地产管理与开发</v>
          </cell>
          <cell r="BC2520">
            <v>0.11033163265306126</v>
          </cell>
          <cell r="BD2520">
            <v>-7.3936170212765981E-2</v>
          </cell>
          <cell r="BE2520">
            <v>1.1860596938301688</v>
          </cell>
          <cell r="BF2520">
            <v>1.1222760009765624</v>
          </cell>
          <cell r="BG2520">
            <v>0.49508399963378907</v>
          </cell>
        </row>
        <row r="2521">
          <cell r="D2521" t="str">
            <v>电子设备和仪器</v>
          </cell>
          <cell r="M2521">
            <v>71.429483613599999</v>
          </cell>
          <cell r="N2521">
            <v>36.903610240943898</v>
          </cell>
          <cell r="O2521" t="str">
            <v>信息技术</v>
          </cell>
          <cell r="P2521" t="str">
            <v>技术硬件与设备</v>
          </cell>
          <cell r="Q2521" t="str">
            <v>电子设备、仪器和元件</v>
          </cell>
          <cell r="BC2521">
            <v>6.4669843430905814E-3</v>
          </cell>
          <cell r="BD2521">
            <v>-7.4491392801251929E-2</v>
          </cell>
          <cell r="BE2521">
            <v>-0.14169637452691788</v>
          </cell>
          <cell r="BF2521">
            <v>0.79354797363281249</v>
          </cell>
          <cell r="BG2521">
            <v>0.37009201049804685</v>
          </cell>
        </row>
        <row r="2522">
          <cell r="D2522" t="str">
            <v>电子设备和仪器</v>
          </cell>
          <cell r="M2522">
            <v>136.85999999999999</v>
          </cell>
          <cell r="N2522">
            <v>70.699704778509272</v>
          </cell>
          <cell r="O2522" t="str">
            <v>信息技术</v>
          </cell>
          <cell r="P2522" t="str">
            <v>技术硬件与设备</v>
          </cell>
          <cell r="Q2522" t="str">
            <v>电子设备、仪器和元件</v>
          </cell>
          <cell r="BC2522">
            <v>8.8263358778625844E-2</v>
          </cell>
          <cell r="BD2522">
            <v>7.1395021136683876E-2</v>
          </cell>
          <cell r="BE2522">
            <v>-0.13258854123358457</v>
          </cell>
          <cell r="BF2522">
            <v>0.11288399696350097</v>
          </cell>
          <cell r="BG2522">
            <v>0.20617200851440429</v>
          </cell>
        </row>
        <row r="2523">
          <cell r="D2523" t="str">
            <v>电气部件与设备</v>
          </cell>
          <cell r="M2523">
            <v>31.951305204000001</v>
          </cell>
          <cell r="N2523">
            <v>16.50519979127079</v>
          </cell>
          <cell r="O2523" t="str">
            <v>工业</v>
          </cell>
          <cell r="P2523" t="str">
            <v>资本货物</v>
          </cell>
          <cell r="Q2523" t="str">
            <v>电气设备</v>
          </cell>
          <cell r="BC2523">
            <v>2.0942408376963369E-2</v>
          </cell>
          <cell r="BD2523">
            <v>0.10481586402266292</v>
          </cell>
          <cell r="BE2523">
            <v>0.27543731862188586</v>
          </cell>
          <cell r="BF2523">
            <v>0.49180801391601564</v>
          </cell>
          <cell r="BG2523">
            <v>0.16300800323486328</v>
          </cell>
        </row>
        <row r="2524">
          <cell r="D2524" t="str">
            <v>基础化工</v>
          </cell>
          <cell r="M2524">
            <v>83.101650388900012</v>
          </cell>
          <cell r="N2524">
            <v>42.92682646600614</v>
          </cell>
          <cell r="O2524" t="str">
            <v>材料</v>
          </cell>
          <cell r="P2524" t="str">
            <v>材料Ⅱ</v>
          </cell>
          <cell r="Q2524" t="str">
            <v>化工</v>
          </cell>
          <cell r="BC2524">
            <v>-1.0368663594470031E-2</v>
          </cell>
          <cell r="BD2524">
            <v>-0.18962264150943395</v>
          </cell>
          <cell r="BE2524">
            <v>2.8742514970059908E-2</v>
          </cell>
          <cell r="BF2524">
            <v>0.41623199462890625</v>
          </cell>
          <cell r="BG2524">
            <v>8.7539997100830075E-2</v>
          </cell>
        </row>
        <row r="2525">
          <cell r="D2525" t="str">
            <v>商业印刷</v>
          </cell>
          <cell r="M2525">
            <v>41.695410673200001</v>
          </cell>
          <cell r="N2525">
            <v>21.537048032245742</v>
          </cell>
          <cell r="O2525" t="str">
            <v>工业</v>
          </cell>
          <cell r="P2525" t="str">
            <v>商业和专业服务</v>
          </cell>
          <cell r="Q2525" t="str">
            <v>商业服务与用品</v>
          </cell>
          <cell r="BC2525">
            <v>5.6689342403628114E-2</v>
          </cell>
          <cell r="BD2525">
            <v>2.1505376344085562E-3</v>
          </cell>
          <cell r="BE2525">
            <v>-0.25479319410580237</v>
          </cell>
          <cell r="BF2525">
            <v>0.44608798980712888</v>
          </cell>
          <cell r="BG2525">
            <v>0.19743600845336914</v>
          </cell>
        </row>
        <row r="2526">
          <cell r="D2526" t="str">
            <v>工业机械</v>
          </cell>
          <cell r="M2526">
            <v>99.434999999999988</v>
          </cell>
          <cell r="N2526">
            <v>51.357854251157704</v>
          </cell>
          <cell r="O2526" t="str">
            <v>工业</v>
          </cell>
          <cell r="P2526" t="str">
            <v>资本货物</v>
          </cell>
          <cell r="Q2526" t="str">
            <v>机械</v>
          </cell>
          <cell r="BC2526">
            <v>9.0569173244702941E-2</v>
          </cell>
          <cell r="BD2526">
            <v>-2.3800669393826721E-2</v>
          </cell>
          <cell r="BE2526">
            <v>9.5575959933222002E-2</v>
          </cell>
          <cell r="BF2526">
            <v>0.75248397827148439</v>
          </cell>
          <cell r="BG2526">
            <v>0.21072000503540039</v>
          </cell>
        </row>
        <row r="2527">
          <cell r="D2527" t="str">
            <v>电脑硬件</v>
          </cell>
          <cell r="M2527">
            <v>191.6453361312</v>
          </cell>
          <cell r="N2527">
            <v>98.957056860769143</v>
          </cell>
          <cell r="O2527" t="str">
            <v>信息技术</v>
          </cell>
          <cell r="P2527" t="str">
            <v>技术硬件与设备</v>
          </cell>
          <cell r="Q2527" t="str">
            <v>电脑与外围设备</v>
          </cell>
          <cell r="BC2527">
            <v>2.5575447570331936E-3</v>
          </cell>
          <cell r="BD2527">
            <v>-0.32568807339449546</v>
          </cell>
          <cell r="BE2527">
            <v>-4.876004774886207E-2</v>
          </cell>
          <cell r="BF2527">
            <v>0.70153198242187498</v>
          </cell>
          <cell r="BG2527">
            <v>0.53498401641845705</v>
          </cell>
        </row>
        <row r="2528">
          <cell r="D2528" t="str">
            <v>汽车制造</v>
          </cell>
          <cell r="M2528">
            <v>51.332741501400001</v>
          </cell>
          <cell r="N2528">
            <v>26.505750059597499</v>
          </cell>
          <cell r="O2528" t="str">
            <v>可选消费</v>
          </cell>
          <cell r="P2528" t="str">
            <v>汽车与汽车零部件</v>
          </cell>
          <cell r="Q2528" t="str">
            <v>汽车</v>
          </cell>
          <cell r="BC2528">
            <v>0</v>
          </cell>
          <cell r="BD2528">
            <v>-2.3809523809523774E-2</v>
          </cell>
          <cell r="BE2528">
            <v>-8.3229813664596364E-2</v>
          </cell>
          <cell r="BF2528">
            <v>0.38063999176025393</v>
          </cell>
          <cell r="BG2528">
            <v>0.15185999870300293</v>
          </cell>
        </row>
        <row r="2529">
          <cell r="D2529" t="str">
            <v>农产品</v>
          </cell>
          <cell r="M2529">
            <v>39.594280000000005</v>
          </cell>
          <cell r="N2529">
            <v>20.435359343691108</v>
          </cell>
          <cell r="O2529" t="str">
            <v>日常消费</v>
          </cell>
          <cell r="P2529" t="str">
            <v>食品、饮料与烟草</v>
          </cell>
          <cell r="Q2529" t="str">
            <v>食品</v>
          </cell>
          <cell r="BC2529">
            <v>1.3253012048192701E-2</v>
          </cell>
          <cell r="BD2529">
            <v>-5.505617977528092E-2</v>
          </cell>
          <cell r="BE2529">
            <v>-0.38742690000252683</v>
          </cell>
          <cell r="BF2529">
            <v>0.54430801391601558</v>
          </cell>
          <cell r="BG2529">
            <v>0.25917600631713866</v>
          </cell>
        </row>
        <row r="2530">
          <cell r="D2530" t="str">
            <v>房地产开发</v>
          </cell>
          <cell r="M2530">
            <v>39.200238644700001</v>
          </cell>
          <cell r="N2530">
            <v>20.231526344711114</v>
          </cell>
          <cell r="O2530" t="str">
            <v>金融</v>
          </cell>
          <cell r="P2530" t="str">
            <v>房地产</v>
          </cell>
          <cell r="Q2530" t="str">
            <v>房地产管理与开发</v>
          </cell>
          <cell r="BC2530">
            <v>1.4347202295552402E-2</v>
          </cell>
          <cell r="BD2530">
            <v>-0.11031879194630868</v>
          </cell>
          <cell r="BE2530">
            <v>0.61908396946564892</v>
          </cell>
          <cell r="BF2530">
            <v>0.71181602478027339</v>
          </cell>
          <cell r="BG2530">
            <v>0.30711599349975588</v>
          </cell>
        </row>
        <row r="2531">
          <cell r="D2531" t="str">
            <v>铝</v>
          </cell>
          <cell r="M2531">
            <v>40.415950000000002</v>
          </cell>
          <cell r="N2531">
            <v>20.858597318111109</v>
          </cell>
          <cell r="O2531" t="str">
            <v>材料</v>
          </cell>
          <cell r="P2531" t="str">
            <v>材料Ⅱ</v>
          </cell>
          <cell r="Q2531" t="str">
            <v>金属、非金属与采矿</v>
          </cell>
          <cell r="BC2531">
            <v>6.4171122994652937E-3</v>
          </cell>
          <cell r="BD2531">
            <v>0</v>
          </cell>
          <cell r="BE2531">
            <v>-2.7603267989914887E-2</v>
          </cell>
          <cell r="BF2531">
            <v>0.53759998321533198</v>
          </cell>
          <cell r="BG2531">
            <v>0</v>
          </cell>
        </row>
        <row r="2532">
          <cell r="D2532" t="str">
            <v>中药</v>
          </cell>
          <cell r="M2532">
            <v>50.807863242500005</v>
          </cell>
          <cell r="N2532">
            <v>26.221814557246301</v>
          </cell>
          <cell r="O2532" t="str">
            <v>医疗保健</v>
          </cell>
          <cell r="P2532" t="str">
            <v>制药、生物科技与生命科学</v>
          </cell>
          <cell r="Q2532" t="str">
            <v>制药</v>
          </cell>
          <cell r="BC2532">
            <v>0.11519607843137263</v>
          </cell>
          <cell r="BD2532">
            <v>0.15365111561866132</v>
          </cell>
          <cell r="BE2532">
            <v>0.35095011876484561</v>
          </cell>
          <cell r="BF2532">
            <v>0.2818680000305176</v>
          </cell>
          <cell r="BG2532">
            <v>0.1622760009765625</v>
          </cell>
        </row>
        <row r="2533">
          <cell r="D2533" t="str">
            <v>应用软件</v>
          </cell>
          <cell r="M2533">
            <v>42.324480000000001</v>
          </cell>
          <cell r="N2533">
            <v>21.842441560906249</v>
          </cell>
          <cell r="O2533" t="str">
            <v>信息技术</v>
          </cell>
          <cell r="P2533" t="str">
            <v>软件与服务</v>
          </cell>
          <cell r="Q2533" t="str">
            <v>软件</v>
          </cell>
          <cell r="BC2533">
            <v>1.2121212121212133E-2</v>
          </cell>
          <cell r="BD2533">
            <v>-0.186110265001523</v>
          </cell>
          <cell r="BE2533">
            <v>-0.12548550066869563</v>
          </cell>
          <cell r="BF2533">
            <v>0.73981201171875</v>
          </cell>
          <cell r="BG2533">
            <v>0</v>
          </cell>
        </row>
        <row r="2534">
          <cell r="D2534" t="str">
            <v>百货商店</v>
          </cell>
          <cell r="M2534">
            <v>63.594623678400005</v>
          </cell>
          <cell r="N2534">
            <v>32.814444078171341</v>
          </cell>
          <cell r="O2534" t="str">
            <v>可选消费</v>
          </cell>
          <cell r="P2534" t="str">
            <v>零售业</v>
          </cell>
          <cell r="Q2534" t="str">
            <v>多元化零售</v>
          </cell>
          <cell r="BC2534">
            <v>8.0091533180778093E-2</v>
          </cell>
          <cell r="BD2534">
            <v>-0.1088735053492763</v>
          </cell>
          <cell r="BE2534">
            <v>0.15526019996240703</v>
          </cell>
          <cell r="BF2534">
            <v>0.40740001678466797</v>
          </cell>
          <cell r="BG2534">
            <v>9.5556001663208004E-2</v>
          </cell>
        </row>
        <row r="2535">
          <cell r="D2535" t="str">
            <v>工业机械</v>
          </cell>
          <cell r="M2535">
            <v>34.118825000000001</v>
          </cell>
          <cell r="N2535">
            <v>17.604988420593241</v>
          </cell>
          <cell r="O2535" t="str">
            <v>工业</v>
          </cell>
          <cell r="P2535" t="str">
            <v>资本货物</v>
          </cell>
          <cell r="Q2535" t="str">
            <v>机械</v>
          </cell>
          <cell r="BC2535">
            <v>7.0216500877706848E-3</v>
          </cell>
          <cell r="BD2535">
            <v>-4.3888888888888838E-2</v>
          </cell>
          <cell r="BE2535">
            <v>-0.27726208953974879</v>
          </cell>
          <cell r="BF2535">
            <v>0</v>
          </cell>
          <cell r="BG2535">
            <v>0</v>
          </cell>
        </row>
        <row r="2536">
          <cell r="D2536" t="str">
            <v>建筑与工程</v>
          </cell>
          <cell r="M2536">
            <v>70.555467539999995</v>
          </cell>
          <cell r="N2536">
            <v>36.405815140578149</v>
          </cell>
          <cell r="O2536" t="str">
            <v>工业</v>
          </cell>
          <cell r="P2536" t="str">
            <v>资本货物</v>
          </cell>
          <cell r="Q2536" t="str">
            <v>建筑与工程Ⅲ</v>
          </cell>
          <cell r="BC2536">
            <v>1.4659685863874217E-2</v>
          </cell>
          <cell r="BD2536">
            <v>-9.0140845070422609E-2</v>
          </cell>
          <cell r="BE2536">
            <v>0.23101578092584379</v>
          </cell>
          <cell r="BF2536">
            <v>0.38465999603271483</v>
          </cell>
          <cell r="BG2536">
            <v>0</v>
          </cell>
        </row>
        <row r="2537">
          <cell r="D2537" t="str">
            <v>白酒与葡萄酒</v>
          </cell>
          <cell r="M2537">
            <v>24.2516736</v>
          </cell>
          <cell r="N2537">
            <v>12.513289641666667</v>
          </cell>
          <cell r="O2537" t="str">
            <v>日常消费</v>
          </cell>
          <cell r="P2537" t="str">
            <v>食品、饮料与烟草</v>
          </cell>
          <cell r="Q2537" t="str">
            <v>饮料</v>
          </cell>
          <cell r="BC2537">
            <v>0.10777957860615885</v>
          </cell>
          <cell r="BD2537">
            <v>0.20866489832007068</v>
          </cell>
          <cell r="BE2537">
            <v>0.10330912025827274</v>
          </cell>
          <cell r="BF2537">
            <v>0.37694400787353516</v>
          </cell>
          <cell r="BG2537">
            <v>9.3587999343872075E-2</v>
          </cell>
        </row>
        <row r="2538">
          <cell r="D2538" t="str">
            <v>化纤</v>
          </cell>
          <cell r="M2538">
            <v>137.38794433559997</v>
          </cell>
          <cell r="N2538">
            <v>70.856284590448197</v>
          </cell>
          <cell r="O2538" t="str">
            <v>材料</v>
          </cell>
          <cell r="P2538" t="str">
            <v>材料Ⅱ</v>
          </cell>
          <cell r="Q2538" t="str">
            <v>化工</v>
          </cell>
          <cell r="BC2538">
            <v>5.1282051282051273E-2</v>
          </cell>
          <cell r="BD2538">
            <v>-0.17765042979942705</v>
          </cell>
          <cell r="BE2538">
            <v>4.1112454655380881E-2</v>
          </cell>
          <cell r="BF2538">
            <v>0.65872802734375002</v>
          </cell>
          <cell r="BG2538">
            <v>0.18866399765014649</v>
          </cell>
        </row>
        <row r="2539">
          <cell r="D2539" t="str">
            <v>食品加工与肉类</v>
          </cell>
          <cell r="M2539">
            <v>70.851564569200022</v>
          </cell>
          <cell r="N2539">
            <v>36.539583994675844</v>
          </cell>
          <cell r="O2539" t="str">
            <v>日常消费</v>
          </cell>
          <cell r="P2539" t="str">
            <v>食品、饮料与烟草</v>
          </cell>
          <cell r="Q2539" t="str">
            <v>食品</v>
          </cell>
          <cell r="BC2539">
            <v>3.8915094339622647E-2</v>
          </cell>
          <cell r="BD2539">
            <v>-2.6519337016574607E-2</v>
          </cell>
          <cell r="BE2539">
            <v>-0.38309820309249532</v>
          </cell>
          <cell r="BF2539">
            <v>4.9524002075195313E-2</v>
          </cell>
          <cell r="BG2539">
            <v>8.4527997970581054E-2</v>
          </cell>
        </row>
        <row r="2540">
          <cell r="D2540" t="str">
            <v>机动车零配件与设备</v>
          </cell>
          <cell r="M2540">
            <v>129.7649616384</v>
          </cell>
          <cell r="N2540">
            <v>66.892535529802331</v>
          </cell>
          <cell r="O2540" t="str">
            <v>可选消费</v>
          </cell>
          <cell r="P2540" t="str">
            <v>汽车与汽车零部件</v>
          </cell>
          <cell r="Q2540" t="str">
            <v>汽车零配件</v>
          </cell>
          <cell r="BC2540">
            <v>0.46246418338108886</v>
          </cell>
          <cell r="BD2540">
            <v>0.43370786516853926</v>
          </cell>
          <cell r="BE2540">
            <v>0.26862202526463108</v>
          </cell>
          <cell r="BF2540">
            <v>1.0694039916992188</v>
          </cell>
          <cell r="BG2540">
            <v>0.39169200897216799</v>
          </cell>
        </row>
        <row r="2541">
          <cell r="D2541" t="str">
            <v>建筑与工程</v>
          </cell>
          <cell r="M2541">
            <v>204.87168</v>
          </cell>
          <cell r="N2541">
            <v>105.60422699466051</v>
          </cell>
          <cell r="O2541" t="str">
            <v>工业</v>
          </cell>
          <cell r="P2541" t="str">
            <v>资本货物</v>
          </cell>
          <cell r="Q2541" t="str">
            <v>建筑与工程Ⅲ</v>
          </cell>
          <cell r="BC2541">
            <v>4.3090638930163315E-2</v>
          </cell>
          <cell r="BD2541">
            <v>-6.9582504970178968E-2</v>
          </cell>
          <cell r="BE2541">
            <v>-0.39368533539947448</v>
          </cell>
          <cell r="BF2541">
            <v>0.7188120269775391</v>
          </cell>
          <cell r="BG2541">
            <v>0.16798799514770507</v>
          </cell>
        </row>
        <row r="2542">
          <cell r="D2542" t="str">
            <v>金属非金属</v>
          </cell>
          <cell r="M2542">
            <v>487.89857316450002</v>
          </cell>
          <cell r="N2542">
            <v>251.48231700275531</v>
          </cell>
          <cell r="O2542" t="str">
            <v>材料</v>
          </cell>
          <cell r="P2542" t="str">
            <v>材料Ⅱ</v>
          </cell>
          <cell r="Q2542" t="str">
            <v>金属、非金属与采矿</v>
          </cell>
          <cell r="BC2542">
            <v>-6.1292471685542971E-2</v>
          </cell>
          <cell r="BD2542">
            <v>4.7583643122676628E-2</v>
          </cell>
          <cell r="BE2542">
            <v>-0.31363699423093394</v>
          </cell>
          <cell r="BF2542">
            <v>8.524800300598144E-2</v>
          </cell>
          <cell r="BG2542">
            <v>-0.14985600471496582</v>
          </cell>
        </row>
        <row r="2543">
          <cell r="D2543" t="str">
            <v>西药</v>
          </cell>
          <cell r="M2543">
            <v>63.362142925499995</v>
          </cell>
          <cell r="N2543">
            <v>32.659157546831565</v>
          </cell>
          <cell r="O2543" t="str">
            <v>医疗保健</v>
          </cell>
          <cell r="P2543" t="str">
            <v>制药、生物科技与生命科学</v>
          </cell>
          <cell r="Q2543" t="str">
            <v>制药</v>
          </cell>
          <cell r="BC2543">
            <v>0</v>
          </cell>
          <cell r="BD2543">
            <v>0</v>
          </cell>
          <cell r="BE2543">
            <v>0.24082435276377154</v>
          </cell>
          <cell r="BF2543">
            <v>0.53932800292968752</v>
          </cell>
          <cell r="BG2543">
            <v>0.32737201690673828</v>
          </cell>
        </row>
        <row r="2544">
          <cell r="D2544" t="str">
            <v>百货商店</v>
          </cell>
          <cell r="M2544">
            <v>33.099493185600004</v>
          </cell>
          <cell r="N2544">
            <v>17.059174882414915</v>
          </cell>
          <cell r="O2544" t="str">
            <v>可选消费</v>
          </cell>
          <cell r="P2544" t="str">
            <v>零售业</v>
          </cell>
          <cell r="Q2544" t="str">
            <v>多元化零售</v>
          </cell>
          <cell r="BC2544">
            <v>3.0434782608695778E-2</v>
          </cell>
          <cell r="BD2544">
            <v>-6.4165844027640695E-2</v>
          </cell>
          <cell r="BE2544">
            <v>-4.3872919818456757E-2</v>
          </cell>
          <cell r="BF2544">
            <v>0.59096401214599614</v>
          </cell>
          <cell r="BG2544">
            <v>0.26010000228881835</v>
          </cell>
        </row>
        <row r="2545">
          <cell r="D2545" t="str">
            <v>电子元件</v>
          </cell>
          <cell r="M2545">
            <v>63.949327199999999</v>
          </cell>
          <cell r="N2545">
            <v>32.957585517917991</v>
          </cell>
          <cell r="O2545" t="str">
            <v>信息技术</v>
          </cell>
          <cell r="P2545" t="str">
            <v>技术硬件与设备</v>
          </cell>
          <cell r="Q2545" t="str">
            <v>电子设备、仪器和元件</v>
          </cell>
          <cell r="BC2545">
            <v>-1.6534391534391537E-2</v>
          </cell>
          <cell r="BD2545">
            <v>-6.1829652996845452E-2</v>
          </cell>
          <cell r="BE2545">
            <v>-0.33025624148505212</v>
          </cell>
          <cell r="BF2545">
            <v>0.25879199981689455</v>
          </cell>
          <cell r="BG2545">
            <v>0</v>
          </cell>
        </row>
        <row r="2546">
          <cell r="D2546" t="str">
            <v>铁路运输</v>
          </cell>
          <cell r="M2546">
            <v>277.82612001690001</v>
          </cell>
          <cell r="N2546">
            <v>143.15828580293751</v>
          </cell>
          <cell r="O2546" t="str">
            <v>工业</v>
          </cell>
          <cell r="P2546" t="str">
            <v>运输</v>
          </cell>
          <cell r="Q2546" t="str">
            <v>公路与铁路运输</v>
          </cell>
          <cell r="BC2546">
            <v>3.8922155688622811E-2</v>
          </cell>
          <cell r="BD2546">
            <v>0.18161180476730981</v>
          </cell>
          <cell r="BE2546">
            <v>0.16182547112494178</v>
          </cell>
          <cell r="BF2546">
            <v>0.91092002868652344</v>
          </cell>
          <cell r="BG2546">
            <v>0.49129199981689453</v>
          </cell>
        </row>
        <row r="2547">
          <cell r="D2547" t="str">
            <v>电气部件与设备</v>
          </cell>
          <cell r="M2547">
            <v>45.342399999999998</v>
          </cell>
          <cell r="N2547">
            <v>23.362514851658943</v>
          </cell>
          <cell r="O2547" t="str">
            <v>工业</v>
          </cell>
          <cell r="P2547" t="str">
            <v>资本货物</v>
          </cell>
          <cell r="Q2547" t="str">
            <v>电气设备</v>
          </cell>
          <cell r="BC2547">
            <v>-4.4943820224719142E-2</v>
          </cell>
          <cell r="BD2547">
            <v>0.14593865857768784</v>
          </cell>
          <cell r="BE2547">
            <v>0.35952047808764936</v>
          </cell>
          <cell r="BF2547">
            <v>0</v>
          </cell>
          <cell r="BG2547">
            <v>0</v>
          </cell>
        </row>
        <row r="2548">
          <cell r="D2548" t="str">
            <v>电子元件</v>
          </cell>
          <cell r="M2548">
            <v>73.195145236000002</v>
          </cell>
          <cell r="N2548">
            <v>37.713343286768826</v>
          </cell>
          <cell r="O2548" t="str">
            <v>信息技术</v>
          </cell>
          <cell r="P2548" t="str">
            <v>技术硬件与设备</v>
          </cell>
          <cell r="Q2548" t="str">
            <v>电子设备、仪器和元件</v>
          </cell>
          <cell r="BC2548">
            <v>0.16078574026918888</v>
          </cell>
          <cell r="BD2548">
            <v>4.246978111728196E-2</v>
          </cell>
          <cell r="BE2548">
            <v>0.97941881249777107</v>
          </cell>
          <cell r="BF2548">
            <v>0.49301998138427733</v>
          </cell>
          <cell r="BG2548">
            <v>0</v>
          </cell>
        </row>
        <row r="2549">
          <cell r="D2549" t="str">
            <v>服装、服饰与奢侈品</v>
          </cell>
          <cell r="M2549">
            <v>64.62</v>
          </cell>
          <cell r="N2549">
            <v>33.289932955623613</v>
          </cell>
          <cell r="O2549" t="str">
            <v>可选消费</v>
          </cell>
          <cell r="P2549" t="str">
            <v>耐用消费品与服装</v>
          </cell>
          <cell r="Q2549" t="str">
            <v>纺织品、服装与奢侈品</v>
          </cell>
          <cell r="BC2549">
            <v>-1.1019283746556436E-2</v>
          </cell>
          <cell r="BD2549">
            <v>4.7257876312718709E-2</v>
          </cell>
          <cell r="BE2549">
            <v>0.41005498821681058</v>
          </cell>
          <cell r="BF2549">
            <v>0.60974399566650395</v>
          </cell>
          <cell r="BG2549">
            <v>0.16432800292968749</v>
          </cell>
        </row>
        <row r="2550">
          <cell r="D2550" t="str">
            <v>农产品</v>
          </cell>
          <cell r="M2550">
            <v>30.246247961599995</v>
          </cell>
          <cell r="N2550">
            <v>15.574854337700616</v>
          </cell>
          <cell r="O2550" t="str">
            <v>日常消费</v>
          </cell>
          <cell r="P2550" t="str">
            <v>食品、饮料与烟草</v>
          </cell>
          <cell r="Q2550" t="str">
            <v>食品</v>
          </cell>
          <cell r="BC2550">
            <v>6.4143007360672924E-2</v>
          </cell>
          <cell r="BD2550">
            <v>-2.955665024630654E-3</v>
          </cell>
          <cell r="BE2550">
            <v>-0.13741968270618302</v>
          </cell>
          <cell r="BF2550">
            <v>0.10489199638366699</v>
          </cell>
          <cell r="BG2550">
            <v>-9.5256004333496097E-2</v>
          </cell>
        </row>
        <row r="2551">
          <cell r="D2551" t="str">
            <v>建筑与工程</v>
          </cell>
          <cell r="M2551">
            <v>29.792825019000002</v>
          </cell>
          <cell r="N2551">
            <v>15.340972903118937</v>
          </cell>
          <cell r="O2551" t="str">
            <v>工业</v>
          </cell>
          <cell r="P2551" t="str">
            <v>资本货物</v>
          </cell>
          <cell r="Q2551" t="str">
            <v>建筑与工程Ⅲ</v>
          </cell>
          <cell r="BC2551">
            <v>4.716981132075472E-2</v>
          </cell>
          <cell r="BD2551">
            <v>1.2773722627737115E-2</v>
          </cell>
          <cell r="BE2551">
            <v>-8.8931206964346213E-2</v>
          </cell>
          <cell r="BF2551">
            <v>0.4697159957885742</v>
          </cell>
          <cell r="BG2551">
            <v>9.5760002136230468E-2</v>
          </cell>
        </row>
        <row r="2552">
          <cell r="D2552" t="str">
            <v>建筑与工程</v>
          </cell>
          <cell r="M2552">
            <v>41.58</v>
          </cell>
          <cell r="N2552">
            <v>21.408075680214505</v>
          </cell>
          <cell r="O2552" t="str">
            <v>工业</v>
          </cell>
          <cell r="P2552" t="str">
            <v>资本货物</v>
          </cell>
          <cell r="Q2552" t="str">
            <v>建筑与工程Ⅲ</v>
          </cell>
          <cell r="BC2552">
            <v>2.2123893805309654E-2</v>
          </cell>
          <cell r="BD2552">
            <v>-4.873026767330136E-2</v>
          </cell>
          <cell r="BE2552">
            <v>5.4224333847759251E-2</v>
          </cell>
          <cell r="BF2552">
            <v>0.31456800460815432</v>
          </cell>
          <cell r="BG2552">
            <v>0.20660400390625</v>
          </cell>
        </row>
        <row r="2553">
          <cell r="D2553" t="str">
            <v>公路与铁路</v>
          </cell>
          <cell r="M2553">
            <v>56.264330270000002</v>
          </cell>
          <cell r="N2553">
            <v>28.963133803125</v>
          </cell>
          <cell r="O2553" t="str">
            <v>工业</v>
          </cell>
          <cell r="P2553" t="str">
            <v>运输</v>
          </cell>
          <cell r="Q2553" t="str">
            <v>交通基础设施</v>
          </cell>
          <cell r="BC2553">
            <v>5.7620817843866266E-2</v>
          </cell>
          <cell r="BD2553">
            <v>3.6429872495446297E-2</v>
          </cell>
          <cell r="BE2553">
            <v>-3.0664395229982915E-2</v>
          </cell>
          <cell r="BF2553">
            <v>0.25491600036621093</v>
          </cell>
          <cell r="BG2553">
            <v>4.0163998603820798E-2</v>
          </cell>
        </row>
        <row r="2554">
          <cell r="D2554" t="str">
            <v>纺织品</v>
          </cell>
          <cell r="M2554">
            <v>49.313649789999999</v>
          </cell>
          <cell r="N2554">
            <v>25.383760485277779</v>
          </cell>
          <cell r="O2554" t="str">
            <v>可选消费</v>
          </cell>
          <cell r="P2554" t="str">
            <v>耐用消费品与服装</v>
          </cell>
          <cell r="Q2554" t="str">
            <v>纺织品、服装与奢侈品</v>
          </cell>
          <cell r="BC2554">
            <v>-4.5815295815295802E-2</v>
          </cell>
          <cell r="BD2554">
            <v>4.2981072555205044E-2</v>
          </cell>
          <cell r="BE2554">
            <v>0.72537508153946506</v>
          </cell>
          <cell r="BF2554">
            <v>0.69721199035644532</v>
          </cell>
          <cell r="BG2554">
            <v>0.31388399124145505</v>
          </cell>
        </row>
        <row r="2555">
          <cell r="D2555" t="str">
            <v>化肥与农用化工</v>
          </cell>
          <cell r="M2555">
            <v>32.817033169200002</v>
          </cell>
          <cell r="N2555">
            <v>16.892218747555557</v>
          </cell>
          <cell r="O2555" t="str">
            <v>材料</v>
          </cell>
          <cell r="P2555" t="str">
            <v>材料Ⅱ</v>
          </cell>
          <cell r="Q2555" t="str">
            <v>化工</v>
          </cell>
          <cell r="BC2555">
            <v>0</v>
          </cell>
          <cell r="BD2555">
            <v>-4.7781569965870345E-2</v>
          </cell>
          <cell r="BE2555">
            <v>0.15170278637770906</v>
          </cell>
          <cell r="BF2555">
            <v>0.65474403381347657</v>
          </cell>
          <cell r="BG2555">
            <v>0.20799600601196289</v>
          </cell>
        </row>
        <row r="2556">
          <cell r="D2556" t="str">
            <v>食品加工与肉类</v>
          </cell>
          <cell r="M2556">
            <v>34.826579181900001</v>
          </cell>
          <cell r="N2556">
            <v>17.924540194027774</v>
          </cell>
          <cell r="O2556" t="str">
            <v>日常消费</v>
          </cell>
          <cell r="P2556" t="str">
            <v>食品、饮料与烟草</v>
          </cell>
          <cell r="Q2556" t="str">
            <v>食品</v>
          </cell>
          <cell r="BC2556">
            <v>-1.9395322304620641E-2</v>
          </cell>
          <cell r="BD2556">
            <v>3.4296028880866442E-2</v>
          </cell>
          <cell r="BE2556">
            <v>7.6354391479534905E-3</v>
          </cell>
          <cell r="BF2556">
            <v>0.2211479949951172</v>
          </cell>
          <cell r="BG2556">
            <v>9.1356000900268561E-2</v>
          </cell>
        </row>
        <row r="2557">
          <cell r="D2557" t="str">
            <v>信息科技咨询与其它服务</v>
          </cell>
          <cell r="M2557">
            <v>65.916224</v>
          </cell>
          <cell r="N2557">
            <v>33.92434375277778</v>
          </cell>
          <cell r="O2557" t="str">
            <v>信息技术</v>
          </cell>
          <cell r="P2557" t="str">
            <v>软件与服务</v>
          </cell>
          <cell r="Q2557" t="str">
            <v>信息技术服务</v>
          </cell>
          <cell r="BC2557">
            <v>3.0954428202923424E-2</v>
          </cell>
          <cell r="BD2557">
            <v>-1.801801801801807E-2</v>
          </cell>
          <cell r="BE2557">
            <v>-0.44747471080817675</v>
          </cell>
          <cell r="BF2557">
            <v>0.97818000793457027</v>
          </cell>
          <cell r="BG2557">
            <v>0</v>
          </cell>
        </row>
        <row r="2558">
          <cell r="D2558" t="str">
            <v>综合类行业</v>
          </cell>
          <cell r="M2558">
            <v>184.52666898259994</v>
          </cell>
          <cell r="N2558">
            <v>94.948001025434223</v>
          </cell>
          <cell r="O2558" t="str">
            <v>工业</v>
          </cell>
          <cell r="P2558" t="str">
            <v>资本货物</v>
          </cell>
          <cell r="Q2558" t="str">
            <v>综合类Ⅲ</v>
          </cell>
          <cell r="BC2558">
            <v>8.1333875559170109E-3</v>
          </cell>
          <cell r="BD2558">
            <v>-0.11622103386809274</v>
          </cell>
          <cell r="BE2558">
            <v>-0.28387816680695444</v>
          </cell>
          <cell r="BF2558">
            <v>0.47482799530029296</v>
          </cell>
          <cell r="BG2558">
            <v>0.21923999786376952</v>
          </cell>
        </row>
        <row r="2559">
          <cell r="D2559" t="str">
            <v>摄影用品</v>
          </cell>
          <cell r="M2559">
            <v>68.399091999999996</v>
          </cell>
          <cell r="N2559">
            <v>35.193254683645833</v>
          </cell>
          <cell r="O2559" t="str">
            <v>可选消费</v>
          </cell>
          <cell r="P2559" t="str">
            <v>耐用消费品与服装</v>
          </cell>
          <cell r="Q2559" t="str">
            <v>休闲设备与用品</v>
          </cell>
          <cell r="BC2559">
            <v>-4.061502756019744E-3</v>
          </cell>
          <cell r="BD2559">
            <v>6.6811684275947747E-2</v>
          </cell>
          <cell r="BE2559">
            <v>9.7901533345660596E-2</v>
          </cell>
          <cell r="BF2559">
            <v>1.0610399627685547</v>
          </cell>
          <cell r="BG2559">
            <v>0.36016799926757814</v>
          </cell>
        </row>
        <row r="2560">
          <cell r="D2560" t="str">
            <v>服装、服饰与奢侈品</v>
          </cell>
          <cell r="M2560">
            <v>106.171138677</v>
          </cell>
          <cell r="N2560">
            <v>54.625356149372948</v>
          </cell>
          <cell r="O2560" t="str">
            <v>可选消费</v>
          </cell>
          <cell r="P2560" t="str">
            <v>耐用消费品与服装</v>
          </cell>
          <cell r="Q2560" t="str">
            <v>纺织品、服装与奢侈品</v>
          </cell>
          <cell r="BC2560">
            <v>-8.5158150851581856E-3</v>
          </cell>
          <cell r="BD2560">
            <v>8.4257206208425653E-2</v>
          </cell>
          <cell r="BE2560">
            <v>0.41205254289410082</v>
          </cell>
          <cell r="BF2560">
            <v>0.56388000488281254</v>
          </cell>
          <cell r="BG2560">
            <v>0.19885200500488281</v>
          </cell>
        </row>
        <row r="2561">
          <cell r="D2561" t="str">
            <v>电子元件</v>
          </cell>
          <cell r="M2561">
            <v>104.89516654880001</v>
          </cell>
          <cell r="N2561">
            <v>53.96598788379999</v>
          </cell>
          <cell r="O2561" t="str">
            <v>信息技术</v>
          </cell>
          <cell r="P2561" t="str">
            <v>技术硬件与设备</v>
          </cell>
          <cell r="Q2561" t="str">
            <v>电子设备、仪器和元件</v>
          </cell>
          <cell r="BC2561">
            <v>6.0020345879959296E-2</v>
          </cell>
          <cell r="BD2561">
            <v>3.4756703078450808E-2</v>
          </cell>
          <cell r="BE2561">
            <v>3.270564915758177E-2</v>
          </cell>
          <cell r="BF2561">
            <v>0.19060800552368165</v>
          </cell>
          <cell r="BG2561">
            <v>0.12456000328063965</v>
          </cell>
        </row>
        <row r="2562">
          <cell r="D2562" t="str">
            <v>消费电子产品</v>
          </cell>
          <cell r="M2562">
            <v>59.623200000000004</v>
          </cell>
          <cell r="N2562">
            <v>30.671271707257336</v>
          </cell>
          <cell r="O2562" t="str">
            <v>可选消费</v>
          </cell>
          <cell r="P2562" t="str">
            <v>耐用消费品与服装</v>
          </cell>
          <cell r="Q2562" t="str">
            <v>家庭耐用消费品</v>
          </cell>
          <cell r="BC2562">
            <v>0.29007633587786263</v>
          </cell>
          <cell r="BD2562">
            <v>0.60189573459715651</v>
          </cell>
          <cell r="BE2562">
            <v>0.53071793618068952</v>
          </cell>
          <cell r="BF2562">
            <v>0.4644599914550781</v>
          </cell>
          <cell r="BG2562">
            <v>0.23346000671386719</v>
          </cell>
        </row>
        <row r="2563">
          <cell r="D2563" t="str">
            <v>工业机械</v>
          </cell>
          <cell r="M2563">
            <v>36.088009999999997</v>
          </cell>
          <cell r="N2563">
            <v>18.560030881131794</v>
          </cell>
          <cell r="O2563" t="str">
            <v>工业</v>
          </cell>
          <cell r="P2563" t="str">
            <v>资本货物</v>
          </cell>
          <cell r="Q2563" t="str">
            <v>机械</v>
          </cell>
          <cell r="BC2563">
            <v>1.1187607573149809E-2</v>
          </cell>
          <cell r="BD2563">
            <v>-0.06</v>
          </cell>
          <cell r="BE2563">
            <v>-3.163065548627432E-2</v>
          </cell>
          <cell r="BF2563">
            <v>0.9916560363769531</v>
          </cell>
          <cell r="BG2563">
            <v>0.3870719909667969</v>
          </cell>
        </row>
        <row r="2564">
          <cell r="D2564" t="str">
            <v>铝</v>
          </cell>
          <cell r="M2564">
            <v>196.2754757655</v>
          </cell>
          <cell r="N2564">
            <v>100.9375282067941</v>
          </cell>
          <cell r="O2564" t="str">
            <v>材料</v>
          </cell>
          <cell r="P2564" t="str">
            <v>材料Ⅱ</v>
          </cell>
          <cell r="Q2564" t="str">
            <v>金属、非金属与采矿</v>
          </cell>
          <cell r="BC2564">
            <v>6.5683646112600566E-2</v>
          </cell>
          <cell r="BD2564">
            <v>-1.3647642679900783E-2</v>
          </cell>
          <cell r="BE2564">
            <v>3.602508635277895E-2</v>
          </cell>
          <cell r="BF2564">
            <v>0.41605201721191404</v>
          </cell>
          <cell r="BG2564">
            <v>0.1088640022277832</v>
          </cell>
        </row>
        <row r="2565">
          <cell r="D2565" t="str">
            <v>工业机械</v>
          </cell>
          <cell r="M2565">
            <v>34.958358508400003</v>
          </cell>
          <cell r="N2565">
            <v>17.976609967011264</v>
          </cell>
          <cell r="O2565" t="str">
            <v>工业</v>
          </cell>
          <cell r="P2565" t="str">
            <v>资本货物</v>
          </cell>
          <cell r="Q2565" t="str">
            <v>机械</v>
          </cell>
          <cell r="BC2565">
            <v>0.15442918048318341</v>
          </cell>
          <cell r="BD2565">
            <v>0.2345491388044581</v>
          </cell>
          <cell r="BE2565">
            <v>0.57335823180516743</v>
          </cell>
          <cell r="BF2565">
            <v>0.47086799621582032</v>
          </cell>
          <cell r="BG2565">
            <v>0.20026800155639649</v>
          </cell>
        </row>
        <row r="2566">
          <cell r="D2566" t="str">
            <v>信息科技咨询与其它服务</v>
          </cell>
          <cell r="M2566">
            <v>92.244983999999988</v>
          </cell>
          <cell r="N2566">
            <v>47.431171851713202</v>
          </cell>
          <cell r="O2566" t="str">
            <v>信息技术</v>
          </cell>
          <cell r="P2566" t="str">
            <v>软件与服务</v>
          </cell>
          <cell r="Q2566" t="str">
            <v>信息技术服务</v>
          </cell>
          <cell r="BC2566">
            <v>4.8508011171541719E-3</v>
          </cell>
          <cell r="BD2566">
            <v>0.28520398571159999</v>
          </cell>
          <cell r="BE2566">
            <v>0</v>
          </cell>
          <cell r="BF2566">
            <v>0</v>
          </cell>
          <cell r="BG2566">
            <v>0</v>
          </cell>
        </row>
        <row r="2567">
          <cell r="D2567" t="str">
            <v>工业机械</v>
          </cell>
          <cell r="M2567">
            <v>39.742977693599997</v>
          </cell>
          <cell r="N2567">
            <v>20.433030134638891</v>
          </cell>
          <cell r="O2567" t="str">
            <v>工业</v>
          </cell>
          <cell r="P2567" t="str">
            <v>资本货物</v>
          </cell>
          <cell r="Q2567" t="str">
            <v>机械</v>
          </cell>
          <cell r="BC2567">
            <v>0</v>
          </cell>
          <cell r="BD2567">
            <v>0</v>
          </cell>
          <cell r="BE2567">
            <v>0.27407407407407419</v>
          </cell>
          <cell r="BF2567">
            <v>0.6924120330810547</v>
          </cell>
          <cell r="BG2567">
            <v>0.22172399520874023</v>
          </cell>
        </row>
        <row r="2568">
          <cell r="D2568" t="str">
            <v>航天航空与国防</v>
          </cell>
          <cell r="M2568">
            <v>67.656000000000006</v>
          </cell>
          <cell r="N2568">
            <v>34.77764395877778</v>
          </cell>
          <cell r="O2568" t="str">
            <v>工业</v>
          </cell>
          <cell r="P2568" t="str">
            <v>资本货物</v>
          </cell>
          <cell r="Q2568" t="str">
            <v>航空航天与国防Ⅲ</v>
          </cell>
          <cell r="BC2568">
            <v>-7.3943661971830037E-3</v>
          </cell>
          <cell r="BD2568">
            <v>-3.4589041095890345E-2</v>
          </cell>
          <cell r="BE2568">
            <v>-0.39381871192266371</v>
          </cell>
          <cell r="BF2568">
            <v>0</v>
          </cell>
          <cell r="BG2568">
            <v>0</v>
          </cell>
        </row>
        <row r="2569">
          <cell r="D2569" t="str">
            <v>电力</v>
          </cell>
          <cell r="M2569">
            <v>106.5937932926</v>
          </cell>
          <cell r="N2569">
            <v>54.790239802309792</v>
          </cell>
          <cell r="O2569" t="str">
            <v>公用事业</v>
          </cell>
          <cell r="P2569" t="str">
            <v>公用事业Ⅱ</v>
          </cell>
          <cell r="Q2569" t="str">
            <v>电力Ⅲ</v>
          </cell>
          <cell r="BC2569">
            <v>-5.5045871559633482E-3</v>
          </cell>
          <cell r="BD2569">
            <v>-2.6929982046678697E-2</v>
          </cell>
          <cell r="BE2569">
            <v>5.8593749999999965E-2</v>
          </cell>
          <cell r="BF2569">
            <v>0.65392799377441402</v>
          </cell>
          <cell r="BG2569">
            <v>0.20545200347900391</v>
          </cell>
        </row>
        <row r="2570">
          <cell r="D2570" t="str">
            <v>房地产开发</v>
          </cell>
          <cell r="M2570">
            <v>32.366288447999999</v>
          </cell>
          <cell r="N2570">
            <v>16.635989822240738</v>
          </cell>
          <cell r="O2570" t="str">
            <v>金融</v>
          </cell>
          <cell r="P2570" t="str">
            <v>房地产</v>
          </cell>
          <cell r="Q2570" t="str">
            <v>房地产管理与开发</v>
          </cell>
          <cell r="BC2570">
            <v>0</v>
          </cell>
          <cell r="BD2570">
            <v>-6.3257065948855953E-2</v>
          </cell>
          <cell r="BE2570">
            <v>-0.16268031613217235</v>
          </cell>
          <cell r="BF2570">
            <v>0.45098400115966797</v>
          </cell>
          <cell r="BG2570">
            <v>6.9636001586914062E-2</v>
          </cell>
        </row>
        <row r="2571">
          <cell r="D2571" t="str">
            <v>综合类行业</v>
          </cell>
          <cell r="M2571">
            <v>100.05360191449999</v>
          </cell>
          <cell r="N2571">
            <v>51.425487613698373</v>
          </cell>
          <cell r="O2571" t="str">
            <v>工业</v>
          </cell>
          <cell r="P2571" t="str">
            <v>资本货物</v>
          </cell>
          <cell r="Q2571" t="str">
            <v>综合类Ⅲ</v>
          </cell>
          <cell r="BC2571">
            <v>0</v>
          </cell>
          <cell r="BD2571">
            <v>0</v>
          </cell>
          <cell r="BE2571">
            <v>2.0380434782608696</v>
          </cell>
          <cell r="BF2571">
            <v>1.1063639831542968</v>
          </cell>
          <cell r="BG2571">
            <v>0.33556800842285156</v>
          </cell>
        </row>
        <row r="2572">
          <cell r="D2572" t="str">
            <v>钢铁</v>
          </cell>
          <cell r="M2572">
            <v>30.120511860000001</v>
          </cell>
          <cell r="N2572">
            <v>15.480337344792208</v>
          </cell>
          <cell r="O2572" t="str">
            <v>材料</v>
          </cell>
          <cell r="P2572" t="str">
            <v>材料Ⅱ</v>
          </cell>
          <cell r="Q2572" t="str">
            <v>金属、非金属与采矿</v>
          </cell>
          <cell r="BC2572">
            <v>5.2631578947368383E-2</v>
          </cell>
          <cell r="BD2572">
            <v>7.2765072765072769E-2</v>
          </cell>
          <cell r="BE2572">
            <v>0.36269628416220628</v>
          </cell>
          <cell r="BF2572">
            <v>0.35979598999023438</v>
          </cell>
          <cell r="BG2572">
            <v>0.14374799728393556</v>
          </cell>
        </row>
        <row r="2573">
          <cell r="D2573" t="str">
            <v>房地产经营公司</v>
          </cell>
          <cell r="M2573">
            <v>95.58851941799999</v>
          </cell>
          <cell r="N2573">
            <v>49.119843274050623</v>
          </cell>
          <cell r="O2573" t="str">
            <v>金融</v>
          </cell>
          <cell r="P2573" t="str">
            <v>房地产</v>
          </cell>
          <cell r="Q2573" t="str">
            <v>房地产管理与开发</v>
          </cell>
          <cell r="BC2573">
            <v>8.2666666666666638E-2</v>
          </cell>
          <cell r="BD2573">
            <v>2.7848101265822791E-2</v>
          </cell>
          <cell r="BE2573">
            <v>0.15340909090909083</v>
          </cell>
          <cell r="BF2573">
            <v>0.57662399291992184</v>
          </cell>
          <cell r="BG2573">
            <v>0.2363759994506836</v>
          </cell>
        </row>
        <row r="2574">
          <cell r="D2574" t="str">
            <v>建材</v>
          </cell>
          <cell r="M2574">
            <v>84.391756248600004</v>
          </cell>
          <cell r="N2574">
            <v>43.358014010139598</v>
          </cell>
          <cell r="O2574" t="str">
            <v>材料</v>
          </cell>
          <cell r="P2574" t="str">
            <v>材料Ⅱ</v>
          </cell>
          <cell r="Q2574" t="str">
            <v>建材Ⅲ</v>
          </cell>
          <cell r="BC2574">
            <v>0</v>
          </cell>
          <cell r="BD2574">
            <v>-8.7368421052631526E-2</v>
          </cell>
          <cell r="BE2574">
            <v>1.0324144329303837</v>
          </cell>
          <cell r="BF2574">
            <v>0.7391639709472656</v>
          </cell>
          <cell r="BG2574">
            <v>0</v>
          </cell>
        </row>
        <row r="2575">
          <cell r="D2575" t="str">
            <v>海港与服务</v>
          </cell>
          <cell r="M2575">
            <v>64.702476725099999</v>
          </cell>
          <cell r="N2575">
            <v>33.238414786245563</v>
          </cell>
          <cell r="O2575" t="str">
            <v>工业</v>
          </cell>
          <cell r="P2575" t="str">
            <v>运输</v>
          </cell>
          <cell r="Q2575" t="str">
            <v>交通基础设施</v>
          </cell>
          <cell r="BC2575">
            <v>-3.0357142857142846E-2</v>
          </cell>
          <cell r="BD2575">
            <v>-3.8938053097345243E-2</v>
          </cell>
          <cell r="BE2575">
            <v>-0.53310404127257094</v>
          </cell>
          <cell r="BF2575">
            <v>0.2331839942932129</v>
          </cell>
          <cell r="BG2575">
            <v>0.23344800949096681</v>
          </cell>
        </row>
        <row r="2576">
          <cell r="D2576" t="str">
            <v>农产品</v>
          </cell>
          <cell r="M2576">
            <v>42.597360000000002</v>
          </cell>
          <cell r="N2576">
            <v>21.882351457175922</v>
          </cell>
          <cell r="O2576" t="str">
            <v>日常消费</v>
          </cell>
          <cell r="P2576" t="str">
            <v>食品、饮料与烟草</v>
          </cell>
          <cell r="Q2576" t="str">
            <v>食品</v>
          </cell>
          <cell r="BC2576">
            <v>-7.7955271565495241E-2</v>
          </cell>
          <cell r="BD2576">
            <v>0.67986030267753206</v>
          </cell>
          <cell r="BE2576">
            <v>0.15293267655548962</v>
          </cell>
          <cell r="BF2576">
            <v>0.28752000808715822</v>
          </cell>
          <cell r="BG2576">
            <v>0</v>
          </cell>
        </row>
        <row r="2577">
          <cell r="D2577" t="str">
            <v>电气部件与设备</v>
          </cell>
          <cell r="M2577">
            <v>38.545920000000002</v>
          </cell>
          <cell r="N2577">
            <v>19.797828262737777</v>
          </cell>
          <cell r="O2577" t="str">
            <v>工业</v>
          </cell>
          <cell r="P2577" t="str">
            <v>资本货物</v>
          </cell>
          <cell r="Q2577" t="str">
            <v>电气设备</v>
          </cell>
          <cell r="BC2577">
            <v>0</v>
          </cell>
          <cell r="BD2577">
            <v>0</v>
          </cell>
          <cell r="BE2577">
            <v>0.34263129376599089</v>
          </cell>
          <cell r="BF2577">
            <v>0.62163600921630857</v>
          </cell>
          <cell r="BG2577">
            <v>0.24410400390625001</v>
          </cell>
        </row>
        <row r="2578">
          <cell r="D2578" t="str">
            <v>半导体产品</v>
          </cell>
          <cell r="M2578">
            <v>94.483785552000001</v>
          </cell>
          <cell r="N2578">
            <v>48.523336155355722</v>
          </cell>
          <cell r="O2578" t="str">
            <v>信息技术</v>
          </cell>
          <cell r="P2578" t="str">
            <v>半导体与半导体生产设备</v>
          </cell>
          <cell r="Q2578" t="str">
            <v>半导体产品与半导体设备</v>
          </cell>
          <cell r="BC2578">
            <v>8.4348641049672005E-2</v>
          </cell>
          <cell r="BD2578">
            <v>-2.8547439126784202E-2</v>
          </cell>
          <cell r="BE2578">
            <v>-0.13656716417910447</v>
          </cell>
          <cell r="BF2578">
            <v>5.7360000610351562E-2</v>
          </cell>
          <cell r="BG2578">
            <v>0.34820400238037108</v>
          </cell>
        </row>
        <row r="2579">
          <cell r="D2579" t="str">
            <v>工业机械</v>
          </cell>
          <cell r="M2579">
            <v>54.664716800000001</v>
          </cell>
          <cell r="N2579">
            <v>28.069832583624617</v>
          </cell>
          <cell r="O2579" t="str">
            <v>工业</v>
          </cell>
          <cell r="P2579" t="str">
            <v>资本货物</v>
          </cell>
          <cell r="Q2579" t="str">
            <v>机械</v>
          </cell>
          <cell r="BC2579">
            <v>2.0718232044198821E-2</v>
          </cell>
          <cell r="BD2579">
            <v>-1.989389920424408E-2</v>
          </cell>
          <cell r="BE2579">
            <v>-0.40306946688206791</v>
          </cell>
          <cell r="BF2579">
            <v>0.18788400650024414</v>
          </cell>
          <cell r="BG2579">
            <v>0</v>
          </cell>
        </row>
        <row r="2580">
          <cell r="D2580" t="str">
            <v>中药</v>
          </cell>
          <cell r="M2580">
            <v>72.896075382199996</v>
          </cell>
          <cell r="N2580">
            <v>37.430699535939624</v>
          </cell>
          <cell r="O2580" t="str">
            <v>医疗保健</v>
          </cell>
          <cell r="P2580" t="str">
            <v>制药、生物科技与生命科学</v>
          </cell>
          <cell r="Q2580" t="str">
            <v>制药</v>
          </cell>
          <cell r="BC2580">
            <v>-1.182197496522948E-2</v>
          </cell>
          <cell r="BD2580">
            <v>-2.6712328767123206E-2</v>
          </cell>
          <cell r="BE2580">
            <v>-0.19943661971830981</v>
          </cell>
          <cell r="BF2580">
            <v>0.16951200485229492</v>
          </cell>
          <cell r="BG2580">
            <v>9.6084003448486333E-2</v>
          </cell>
        </row>
        <row r="2581">
          <cell r="D2581" t="str">
            <v>综合类行业</v>
          </cell>
          <cell r="M2581">
            <v>215.27999999999997</v>
          </cell>
          <cell r="N2581">
            <v>110.53628739018332</v>
          </cell>
          <cell r="O2581" t="str">
            <v>工业</v>
          </cell>
          <cell r="P2581" t="str">
            <v>资本货物</v>
          </cell>
          <cell r="Q2581" t="str">
            <v>综合类Ⅲ</v>
          </cell>
          <cell r="BC2581">
            <v>0</v>
          </cell>
          <cell r="BD2581">
            <v>0</v>
          </cell>
          <cell r="BE2581">
            <v>0.13114754098360643</v>
          </cell>
          <cell r="BF2581">
            <v>0.3990480041503906</v>
          </cell>
          <cell r="BG2581">
            <v>0.16138799667358397</v>
          </cell>
        </row>
        <row r="2582">
          <cell r="D2582" t="str">
            <v>电子设备和仪器</v>
          </cell>
          <cell r="M2582">
            <v>51.786000000000001</v>
          </cell>
          <cell r="N2582">
            <v>26.589460037584686</v>
          </cell>
          <cell r="O2582" t="str">
            <v>信息技术</v>
          </cell>
          <cell r="P2582" t="str">
            <v>技术硬件与设备</v>
          </cell>
          <cell r="Q2582" t="str">
            <v>电子设备、仪器和元件</v>
          </cell>
          <cell r="BC2582">
            <v>0</v>
          </cell>
          <cell r="BD2582">
            <v>0</v>
          </cell>
          <cell r="BE2582">
            <v>-4.8325267351849548E-3</v>
          </cell>
          <cell r="BF2582">
            <v>1.0424520111083984</v>
          </cell>
          <cell r="BG2582">
            <v>0</v>
          </cell>
        </row>
        <row r="2583">
          <cell r="D2583" t="str">
            <v>房地产开发</v>
          </cell>
          <cell r="M2583">
            <v>158.7909971986</v>
          </cell>
          <cell r="N2583">
            <v>81.529931675492961</v>
          </cell>
          <cell r="O2583" t="str">
            <v>金融</v>
          </cell>
          <cell r="P2583" t="str">
            <v>房地产</v>
          </cell>
          <cell r="Q2583" t="str">
            <v>房地产管理与开发</v>
          </cell>
          <cell r="BC2583">
            <v>5.8492688413948203E-2</v>
          </cell>
          <cell r="BD2583">
            <v>-5.3106744556548119E-4</v>
          </cell>
          <cell r="BE2583">
            <v>-0.16479061370980627</v>
          </cell>
          <cell r="BF2583">
            <v>0.49594799041748044</v>
          </cell>
          <cell r="BG2583">
            <v>0.30742799758911132</v>
          </cell>
        </row>
        <row r="2584">
          <cell r="D2584" t="str">
            <v>食品加工与肉类</v>
          </cell>
          <cell r="M2584">
            <v>56.984199999999994</v>
          </cell>
          <cell r="N2584">
            <v>29.256043700072524</v>
          </cell>
          <cell r="O2584" t="str">
            <v>日常消费</v>
          </cell>
          <cell r="P2584" t="str">
            <v>食品、饮料与烟草</v>
          </cell>
          <cell r="Q2584" t="str">
            <v>食品</v>
          </cell>
          <cell r="BC2584">
            <v>2.7013251783893862E-2</v>
          </cell>
          <cell r="BD2584">
            <v>-9.2342342342342371E-2</v>
          </cell>
          <cell r="BE2584">
            <v>0.19570301140787744</v>
          </cell>
          <cell r="BF2584">
            <v>0.84192001342773437</v>
          </cell>
          <cell r="BG2584">
            <v>0</v>
          </cell>
        </row>
        <row r="2585">
          <cell r="D2585" t="str">
            <v>电气部件与设备</v>
          </cell>
          <cell r="M2585">
            <v>77.904000000000011</v>
          </cell>
          <cell r="N2585">
            <v>39.989781001910103</v>
          </cell>
          <cell r="O2585" t="str">
            <v>工业</v>
          </cell>
          <cell r="P2585" t="str">
            <v>资本货物</v>
          </cell>
          <cell r="Q2585" t="str">
            <v>电气设备</v>
          </cell>
          <cell r="BC2585">
            <v>-7.3394495412844101E-3</v>
          </cell>
          <cell r="BD2585">
            <v>-5.5846422338568978E-2</v>
          </cell>
          <cell r="BE2585">
            <v>-3.8937867207323014E-2</v>
          </cell>
          <cell r="BF2585">
            <v>0.17810400009155272</v>
          </cell>
          <cell r="BG2585">
            <v>0</v>
          </cell>
        </row>
        <row r="2586">
          <cell r="D2586" t="str">
            <v>电子设备和仪器</v>
          </cell>
          <cell r="M2586">
            <v>84.496050926999999</v>
          </cell>
          <cell r="N2586">
            <v>43.36895923079949</v>
          </cell>
          <cell r="O2586" t="str">
            <v>信息技术</v>
          </cell>
          <cell r="P2586" t="str">
            <v>技术硬件与设备</v>
          </cell>
          <cell r="Q2586" t="str">
            <v>电子设备、仪器和元件</v>
          </cell>
          <cell r="BC2586">
            <v>2.1825396825396831E-2</v>
          </cell>
          <cell r="BD2586">
            <v>-5.1565377532228354E-2</v>
          </cell>
          <cell r="BE2586">
            <v>-0.16503877309517992</v>
          </cell>
          <cell r="BF2586">
            <v>0.58371601104736326</v>
          </cell>
          <cell r="BG2586">
            <v>0.42026401519775392</v>
          </cell>
        </row>
        <row r="2587">
          <cell r="D2587" t="str">
            <v>百货商店</v>
          </cell>
          <cell r="M2587">
            <v>52.123517952</v>
          </cell>
          <cell r="N2587">
            <v>26.750615955536471</v>
          </cell>
          <cell r="O2587" t="str">
            <v>可选消费</v>
          </cell>
          <cell r="P2587" t="str">
            <v>零售业</v>
          </cell>
          <cell r="Q2587" t="str">
            <v>多元化零售</v>
          </cell>
          <cell r="BC2587">
            <v>6.3333333333333366E-2</v>
          </cell>
          <cell r="BD2587">
            <v>-7.80346820809249E-2</v>
          </cell>
          <cell r="BE2587">
            <v>0.34134092094506019</v>
          </cell>
          <cell r="BF2587">
            <v>0.52319999694824215</v>
          </cell>
          <cell r="BG2587">
            <v>0.14590800285339356</v>
          </cell>
        </row>
        <row r="2588">
          <cell r="D2588" t="str">
            <v>生物科技</v>
          </cell>
          <cell r="M2588">
            <v>65.28586</v>
          </cell>
          <cell r="N2588">
            <v>33.503654779308654</v>
          </cell>
          <cell r="O2588" t="str">
            <v>医疗保健</v>
          </cell>
          <cell r="P2588" t="str">
            <v>制药、生物科技与生命科学</v>
          </cell>
          <cell r="Q2588" t="str">
            <v>生物科技Ⅲ</v>
          </cell>
          <cell r="BC2588">
            <v>1.1796877993269908E-2</v>
          </cell>
          <cell r="BD2588">
            <v>0.12499165371876687</v>
          </cell>
          <cell r="BE2588">
            <v>0.68614537789203101</v>
          </cell>
          <cell r="BF2588">
            <v>0</v>
          </cell>
          <cell r="BG2588">
            <v>0</v>
          </cell>
        </row>
        <row r="2589">
          <cell r="D2589" t="str">
            <v>房地产开发</v>
          </cell>
          <cell r="M2589">
            <v>41.343999999999994</v>
          </cell>
          <cell r="N2589">
            <v>21.21663797573472</v>
          </cell>
          <cell r="O2589" t="str">
            <v>金融</v>
          </cell>
          <cell r="P2589" t="str">
            <v>房地产</v>
          </cell>
          <cell r="Q2589" t="str">
            <v>房地产管理与开发</v>
          </cell>
          <cell r="BC2589">
            <v>-8.289837273564726E-3</v>
          </cell>
          <cell r="BD2589">
            <v>-9.6503496503496586E-2</v>
          </cell>
          <cell r="BE2589">
            <v>0.57869012707722367</v>
          </cell>
          <cell r="BF2589">
            <v>0.70591201782226565</v>
          </cell>
          <cell r="BG2589">
            <v>0.40927200317382811</v>
          </cell>
        </row>
        <row r="2590">
          <cell r="D2590" t="str">
            <v>电子设备和仪器</v>
          </cell>
          <cell r="M2590">
            <v>135.3072868001</v>
          </cell>
          <cell r="N2590">
            <v>69.42300000438108</v>
          </cell>
          <cell r="O2590" t="str">
            <v>信息技术</v>
          </cell>
          <cell r="P2590" t="str">
            <v>技术硬件与设备</v>
          </cell>
          <cell r="Q2590" t="str">
            <v>电子设备、仪器和元件</v>
          </cell>
          <cell r="BC2590">
            <v>0.11523072819418512</v>
          </cell>
          <cell r="BD2590">
            <v>-8.5720533566586377E-2</v>
          </cell>
          <cell r="BE2590">
            <v>0.19348009340452674</v>
          </cell>
          <cell r="BF2590">
            <v>0.76834800720214846</v>
          </cell>
          <cell r="BG2590">
            <v>0.34824001312255859</v>
          </cell>
        </row>
        <row r="2591">
          <cell r="D2591" t="str">
            <v>建筑产品</v>
          </cell>
          <cell r="M2591">
            <v>62.979023140000002</v>
          </cell>
          <cell r="N2591">
            <v>32.307627702273862</v>
          </cell>
          <cell r="O2591" t="str">
            <v>工业</v>
          </cell>
          <cell r="P2591" t="str">
            <v>资本货物</v>
          </cell>
          <cell r="Q2591" t="str">
            <v>建筑产品Ⅲ</v>
          </cell>
          <cell r="BC2591">
            <v>-9.4086021505376729E-3</v>
          </cell>
          <cell r="BD2591">
            <v>-8.8998763906056835E-2</v>
          </cell>
          <cell r="BE2591">
            <v>-0.16262567839448891</v>
          </cell>
          <cell r="BF2591">
            <v>0.47584800720214843</v>
          </cell>
          <cell r="BG2591">
            <v>0.12658800125122072</v>
          </cell>
        </row>
        <row r="2592">
          <cell r="D2592" t="str">
            <v>工业机械</v>
          </cell>
          <cell r="M2592">
            <v>103.572892088</v>
          </cell>
          <cell r="N2592">
            <v>53.124863677658809</v>
          </cell>
          <cell r="O2592" t="str">
            <v>工业</v>
          </cell>
          <cell r="P2592" t="str">
            <v>资本货物</v>
          </cell>
          <cell r="Q2592" t="str">
            <v>机械</v>
          </cell>
          <cell r="BC2592">
            <v>4.2444821731748732E-2</v>
          </cell>
          <cell r="BD2592">
            <v>-0.11844938980617375</v>
          </cell>
          <cell r="BE2592">
            <v>-0.15543328748280605</v>
          </cell>
          <cell r="BF2592">
            <v>0.30142799377441404</v>
          </cell>
          <cell r="BG2592">
            <v>6.5507998466491704E-2</v>
          </cell>
        </row>
        <row r="2593">
          <cell r="D2593" t="str">
            <v>百货商店</v>
          </cell>
          <cell r="M2593">
            <v>73.184433541200008</v>
          </cell>
          <cell r="N2593">
            <v>37.534329994878746</v>
          </cell>
          <cell r="O2593" t="str">
            <v>可选消费</v>
          </cell>
          <cell r="P2593" t="str">
            <v>零售业</v>
          </cell>
          <cell r="Q2593" t="str">
            <v>多元化零售</v>
          </cell>
          <cell r="BC2593">
            <v>-1.6194331983805682E-2</v>
          </cell>
          <cell r="BD2593">
            <v>-0.12746858168761219</v>
          </cell>
          <cell r="BE2593">
            <v>0.64466978960287125</v>
          </cell>
          <cell r="BF2593">
            <v>0.55472400665283206</v>
          </cell>
          <cell r="BG2593">
            <v>0.11963999748229981</v>
          </cell>
        </row>
        <row r="2594">
          <cell r="D2594" t="str">
            <v>消费电子产品</v>
          </cell>
          <cell r="M2594">
            <v>51.612715200000004</v>
          </cell>
          <cell r="N2594">
            <v>26.463732253055557</v>
          </cell>
          <cell r="O2594" t="str">
            <v>可选消费</v>
          </cell>
          <cell r="P2594" t="str">
            <v>耐用消费品与服装</v>
          </cell>
          <cell r="Q2594" t="str">
            <v>家庭耐用消费品</v>
          </cell>
          <cell r="BC2594">
            <v>-4.8424289008454961E-2</v>
          </cell>
          <cell r="BD2594">
            <v>-2.4174053182916488E-3</v>
          </cell>
          <cell r="BE2594">
            <v>0.32736100442910376</v>
          </cell>
          <cell r="BF2594">
            <v>0.51672000885009761</v>
          </cell>
          <cell r="BG2594">
            <v>0.14909999847412109</v>
          </cell>
        </row>
        <row r="2595">
          <cell r="D2595" t="str">
            <v>化肥与农用化工</v>
          </cell>
          <cell r="M2595">
            <v>25.990163999999996</v>
          </cell>
          <cell r="N2595">
            <v>13.32429021548611</v>
          </cell>
          <cell r="O2595" t="str">
            <v>材料</v>
          </cell>
          <cell r="P2595" t="str">
            <v>材料Ⅱ</v>
          </cell>
          <cell r="Q2595" t="str">
            <v>化工</v>
          </cell>
          <cell r="BC2595">
            <v>0</v>
          </cell>
          <cell r="BD2595">
            <v>-0.17153846153846158</v>
          </cell>
          <cell r="BE2595">
            <v>-0.34727272727272729</v>
          </cell>
          <cell r="BF2595">
            <v>6.1668000221252441E-2</v>
          </cell>
          <cell r="BG2595">
            <v>0.27526800155639647</v>
          </cell>
        </row>
        <row r="2596">
          <cell r="D2596" t="str">
            <v>房地产开发</v>
          </cell>
          <cell r="M2596">
            <v>31.551151999999998</v>
          </cell>
          <cell r="N2596">
            <v>16.173828947874071</v>
          </cell>
          <cell r="O2596" t="str">
            <v>金融</v>
          </cell>
          <cell r="P2596" t="str">
            <v>房地产</v>
          </cell>
          <cell r="Q2596" t="str">
            <v>房地产管理与开发</v>
          </cell>
          <cell r="BC2596">
            <v>0.1205510907003443</v>
          </cell>
          <cell r="BD2596">
            <v>6.3180827886710256E-2</v>
          </cell>
          <cell r="BE2596">
            <v>0.32608695652173902</v>
          </cell>
          <cell r="BF2596">
            <v>0.35504398345947263</v>
          </cell>
          <cell r="BG2596">
            <v>0.20278799057006835</v>
          </cell>
        </row>
        <row r="2597">
          <cell r="D2597" t="str">
            <v>应用软件</v>
          </cell>
          <cell r="M2597">
            <v>90.998211662999992</v>
          </cell>
          <cell r="N2597">
            <v>46.646202202174997</v>
          </cell>
          <cell r="O2597" t="str">
            <v>信息技术</v>
          </cell>
          <cell r="P2597" t="str">
            <v>软件与服务</v>
          </cell>
          <cell r="Q2597" t="str">
            <v>软件</v>
          </cell>
          <cell r="BC2597">
            <v>5.5413271245634346E-2</v>
          </cell>
          <cell r="BD2597">
            <v>-1.026200873362443E-2</v>
          </cell>
          <cell r="BE2597">
            <v>-0.34411953261432149</v>
          </cell>
          <cell r="BF2597">
            <v>0.75540000915527339</v>
          </cell>
          <cell r="BG2597">
            <v>0</v>
          </cell>
        </row>
        <row r="2598">
          <cell r="D2598" t="str">
            <v>燃气</v>
          </cell>
          <cell r="M2598">
            <v>41.681078889600002</v>
          </cell>
          <cell r="N2598">
            <v>21.364553976869935</v>
          </cell>
          <cell r="O2598" t="str">
            <v>公用事业</v>
          </cell>
          <cell r="P2598" t="str">
            <v>公用事业Ⅱ</v>
          </cell>
          <cell r="Q2598" t="str">
            <v>燃气Ⅲ</v>
          </cell>
          <cell r="BC2598">
            <v>3.6890645586297795E-2</v>
          </cell>
          <cell r="BD2598">
            <v>0.15058479532163746</v>
          </cell>
          <cell r="BE2598">
            <v>-0.17157894736842105</v>
          </cell>
          <cell r="BF2598">
            <v>2.5319999456405642E-3</v>
          </cell>
          <cell r="BG2598">
            <v>-5.6064000129699705E-2</v>
          </cell>
        </row>
        <row r="2599">
          <cell r="D2599" t="str">
            <v>电影与娱乐</v>
          </cell>
          <cell r="M2599">
            <v>71.752863000000005</v>
          </cell>
          <cell r="N2599">
            <v>36.773213530745373</v>
          </cell>
          <cell r="O2599" t="str">
            <v>可选消费</v>
          </cell>
          <cell r="P2599" t="str">
            <v>媒体Ⅱ</v>
          </cell>
          <cell r="Q2599" t="str">
            <v>媒体Ⅲ</v>
          </cell>
          <cell r="BC2599">
            <v>2.0263901979264833E-2</v>
          </cell>
          <cell r="BD2599">
            <v>-4.330534688466639E-2</v>
          </cell>
          <cell r="BE2599">
            <v>-6.0524990615527886E-2</v>
          </cell>
          <cell r="BF2599">
            <v>0.28881599426269533</v>
          </cell>
          <cell r="BG2599">
            <v>0.21922800064086914</v>
          </cell>
        </row>
        <row r="2600">
          <cell r="D2600" t="str">
            <v>化肥与农用化工</v>
          </cell>
          <cell r="M2600">
            <v>528.45596195040002</v>
          </cell>
          <cell r="N2600">
            <v>270.80434442862139</v>
          </cell>
          <cell r="O2600" t="str">
            <v>材料</v>
          </cell>
          <cell r="P2600" t="str">
            <v>材料Ⅱ</v>
          </cell>
          <cell r="Q2600" t="str">
            <v>化工</v>
          </cell>
          <cell r="BC2600">
            <v>0</v>
          </cell>
          <cell r="BD2600">
            <v>0</v>
          </cell>
          <cell r="BE2600">
            <v>1.56956995818917</v>
          </cell>
          <cell r="BF2600">
            <v>0.9174359893798828</v>
          </cell>
          <cell r="BG2600">
            <v>0.57033599853515626</v>
          </cell>
        </row>
        <row r="2601">
          <cell r="D2601" t="str">
            <v>家用器具与特殊消费品</v>
          </cell>
          <cell r="M2601">
            <v>41.025000000000006</v>
          </cell>
          <cell r="N2601">
            <v>21.020524743756575</v>
          </cell>
          <cell r="O2601" t="str">
            <v>可选消费</v>
          </cell>
          <cell r="P2601" t="str">
            <v>耐用消费品与服装</v>
          </cell>
          <cell r="Q2601" t="str">
            <v>家庭耐用消费品</v>
          </cell>
          <cell r="BC2601">
            <v>-3.6632617118703741E-2</v>
          </cell>
          <cell r="BD2601">
            <v>-0.30812041487477865</v>
          </cell>
          <cell r="BE2601">
            <v>-3.173992797350552E-2</v>
          </cell>
          <cell r="BF2601">
            <v>0.80472000122070309</v>
          </cell>
          <cell r="BG2601">
            <v>0.35247600555419922</v>
          </cell>
        </row>
        <row r="2602">
          <cell r="D2602" t="str">
            <v>食品加工与肉类</v>
          </cell>
          <cell r="M2602">
            <v>144.3287815816</v>
          </cell>
          <cell r="N2602">
            <v>73.94907200122114</v>
          </cell>
          <cell r="O2602" t="str">
            <v>日常消费</v>
          </cell>
          <cell r="P2602" t="str">
            <v>食品、饮料与烟草</v>
          </cell>
          <cell r="Q2602" t="str">
            <v>食品</v>
          </cell>
          <cell r="BC2602">
            <v>0.1147880041365046</v>
          </cell>
          <cell r="BD2602">
            <v>2.6666666666666606E-2</v>
          </cell>
          <cell r="BE2602">
            <v>1.8689288090485694</v>
          </cell>
          <cell r="BF2602">
            <v>1.095240020751953</v>
          </cell>
          <cell r="BG2602">
            <v>0.36881999969482421</v>
          </cell>
        </row>
        <row r="2603">
          <cell r="D2603" t="str">
            <v>信息科技咨询与其它服务</v>
          </cell>
          <cell r="M2603">
            <v>107.31322293119999</v>
          </cell>
          <cell r="N2603">
            <v>54.976019857218304</v>
          </cell>
          <cell r="O2603" t="str">
            <v>信息技术</v>
          </cell>
          <cell r="P2603" t="str">
            <v>软件与服务</v>
          </cell>
          <cell r="Q2603" t="str">
            <v>信息技术服务</v>
          </cell>
          <cell r="BC2603">
            <v>-1.356932153392333E-2</v>
          </cell>
          <cell r="BD2603">
            <v>-8.3036773428232843E-3</v>
          </cell>
          <cell r="BE2603">
            <v>-0.4082372008569829</v>
          </cell>
          <cell r="BF2603">
            <v>0.5535960006713867</v>
          </cell>
          <cell r="BG2603">
            <v>0.20005199432373047</v>
          </cell>
        </row>
        <row r="2604">
          <cell r="D2604" t="str">
            <v>航天航空与国防</v>
          </cell>
          <cell r="M2604">
            <v>142.48383479719999</v>
          </cell>
          <cell r="N2604">
            <v>72.967208425965737</v>
          </cell>
          <cell r="O2604" t="str">
            <v>工业</v>
          </cell>
          <cell r="P2604" t="str">
            <v>资本货物</v>
          </cell>
          <cell r="Q2604" t="str">
            <v>航空航天与国防Ⅲ</v>
          </cell>
          <cell r="BC2604">
            <v>-9.637448370812339E-3</v>
          </cell>
          <cell r="BD2604">
            <v>-8.4040747028862495E-2</v>
          </cell>
          <cell r="BE2604">
            <v>0.12035164932736989</v>
          </cell>
          <cell r="BF2604">
            <v>0.80594398498535158</v>
          </cell>
          <cell r="BG2604">
            <v>0.38279998779296875</v>
          </cell>
        </row>
        <row r="2605">
          <cell r="D2605" t="str">
            <v>工业机械</v>
          </cell>
          <cell r="M2605">
            <v>103.61075433800001</v>
          </cell>
          <cell r="N2605">
            <v>53.051329782246533</v>
          </cell>
          <cell r="O2605" t="str">
            <v>工业</v>
          </cell>
          <cell r="P2605" t="str">
            <v>资本货物</v>
          </cell>
          <cell r="Q2605" t="str">
            <v>机械</v>
          </cell>
          <cell r="BC2605">
            <v>2.7491408934707928E-2</v>
          </cell>
          <cell r="BD2605">
            <v>-0.17117117117117109</v>
          </cell>
          <cell r="BE2605">
            <v>8.9237065999682216E-2</v>
          </cell>
          <cell r="BF2605">
            <v>0.35624401092529295</v>
          </cell>
          <cell r="BG2605">
            <v>0.16576799392700195</v>
          </cell>
        </row>
        <row r="2606">
          <cell r="D2606" t="str">
            <v>半导体产品</v>
          </cell>
          <cell r="M2606">
            <v>105.92258191560001</v>
          </cell>
          <cell r="N2606">
            <v>54.231889679135243</v>
          </cell>
          <cell r="O2606" t="str">
            <v>信息技术</v>
          </cell>
          <cell r="P2606" t="str">
            <v>半导体与半导体生产设备</v>
          </cell>
          <cell r="Q2606" t="str">
            <v>半导体产品与半导体设备</v>
          </cell>
          <cell r="BC2606">
            <v>6.2880324543610658E-2</v>
          </cell>
          <cell r="BD2606">
            <v>-6.3572790845516764E-4</v>
          </cell>
          <cell r="BE2606">
            <v>-0.11077822561313394</v>
          </cell>
          <cell r="BF2606">
            <v>0.32546398162841794</v>
          </cell>
          <cell r="BG2606">
            <v>0.22724399566650391</v>
          </cell>
        </row>
        <row r="2607">
          <cell r="D2607" t="str">
            <v>通信设备</v>
          </cell>
          <cell r="M2607">
            <v>47.685960000000001</v>
          </cell>
          <cell r="N2607">
            <v>24.413027714263706</v>
          </cell>
          <cell r="O2607" t="str">
            <v>信息技术</v>
          </cell>
          <cell r="P2607" t="str">
            <v>技术硬件与设备</v>
          </cell>
          <cell r="Q2607" t="str">
            <v>通信设备Ⅲ</v>
          </cell>
          <cell r="BC2607">
            <v>-5.0083472454089681E-3</v>
          </cell>
          <cell r="BD2607">
            <v>-2.4230517354289407E-2</v>
          </cell>
          <cell r="BE2607">
            <v>-0.18712041252921494</v>
          </cell>
          <cell r="BF2607">
            <v>0.51376800537109379</v>
          </cell>
          <cell r="BG2607">
            <v>0</v>
          </cell>
        </row>
        <row r="2608">
          <cell r="D2608" t="str">
            <v>石油天然气设备与服务</v>
          </cell>
          <cell r="M2608">
            <v>52.694117030400001</v>
          </cell>
          <cell r="N2608">
            <v>26.976922555349816</v>
          </cell>
          <cell r="O2608" t="str">
            <v>能源</v>
          </cell>
          <cell r="P2608" t="str">
            <v>能源Ⅱ</v>
          </cell>
          <cell r="Q2608" t="str">
            <v>能源设备与服务</v>
          </cell>
          <cell r="BC2608">
            <v>4.8515568428674868E-2</v>
          </cell>
          <cell r="BD2608">
            <v>-0.17586795674445077</v>
          </cell>
          <cell r="BE2608">
            <v>0.19905749670830369</v>
          </cell>
          <cell r="BF2608">
            <v>0.39833999633789063</v>
          </cell>
          <cell r="BG2608">
            <v>0.18748800277709962</v>
          </cell>
        </row>
        <row r="2609">
          <cell r="D2609" t="str">
            <v>电子设备和仪器</v>
          </cell>
          <cell r="M2609">
            <v>82.565643087200002</v>
          </cell>
          <cell r="N2609">
            <v>42.2672175674074</v>
          </cell>
          <cell r="O2609" t="str">
            <v>信息技术</v>
          </cell>
          <cell r="P2609" t="str">
            <v>技术硬件与设备</v>
          </cell>
          <cell r="Q2609" t="str">
            <v>电子设备、仪器和元件</v>
          </cell>
          <cell r="BC2609">
            <v>-3.8716428322288207E-2</v>
          </cell>
          <cell r="BD2609">
            <v>-4.7355686138956132E-2</v>
          </cell>
          <cell r="BE2609">
            <v>1.4607142857142859</v>
          </cell>
          <cell r="BF2609">
            <v>0.78463203430175776</v>
          </cell>
          <cell r="BG2609">
            <v>0.30092399597167968</v>
          </cell>
        </row>
        <row r="2610">
          <cell r="D2610" t="str">
            <v>酒店、度假村与豪华游轮</v>
          </cell>
          <cell r="M2610">
            <v>62.612145840000004</v>
          </cell>
          <cell r="N2610">
            <v>32.052390895383709</v>
          </cell>
          <cell r="O2610" t="str">
            <v>可选消费</v>
          </cell>
          <cell r="P2610" t="str">
            <v>消费者服务Ⅱ</v>
          </cell>
          <cell r="Q2610" t="str">
            <v>酒店、餐馆与休闲Ⅲ</v>
          </cell>
          <cell r="BC2610">
            <v>3.9396479463537352E-2</v>
          </cell>
          <cell r="BD2610">
            <v>-3.651903651903643E-2</v>
          </cell>
          <cell r="BE2610">
            <v>2.394715111478125E-2</v>
          </cell>
          <cell r="BF2610">
            <v>0.7882080078125</v>
          </cell>
          <cell r="BG2610">
            <v>0.27862800598144533</v>
          </cell>
        </row>
        <row r="2611">
          <cell r="D2611" t="str">
            <v>电子制造服务</v>
          </cell>
          <cell r="M2611">
            <v>78.840504970499993</v>
          </cell>
          <cell r="N2611">
            <v>40.356991789847655</v>
          </cell>
          <cell r="O2611" t="str">
            <v>信息技术</v>
          </cell>
          <cell r="P2611" t="str">
            <v>技术硬件与设备</v>
          </cell>
          <cell r="Q2611" t="str">
            <v>电子设备、仪器和元件</v>
          </cell>
          <cell r="BC2611">
            <v>3.8812785388127838E-2</v>
          </cell>
          <cell r="BD2611">
            <v>-0.14258793969849243</v>
          </cell>
          <cell r="BE2611">
            <v>0.18695652173913047</v>
          </cell>
          <cell r="BF2611">
            <v>0.73227600097656254</v>
          </cell>
          <cell r="BG2611">
            <v>0.25862400054931639</v>
          </cell>
        </row>
        <row r="2612">
          <cell r="D2612" t="str">
            <v>工业机械</v>
          </cell>
          <cell r="M2612">
            <v>51.64</v>
          </cell>
          <cell r="N2612">
            <v>26.429178363565587</v>
          </cell>
          <cell r="O2612" t="str">
            <v>工业</v>
          </cell>
          <cell r="P2612" t="str">
            <v>资本货物</v>
          </cell>
          <cell r="Q2612" t="str">
            <v>机械</v>
          </cell>
          <cell r="BC2612">
            <v>0</v>
          </cell>
          <cell r="BD2612">
            <v>0</v>
          </cell>
          <cell r="BE2612">
            <v>0.69262512367477869</v>
          </cell>
          <cell r="BF2612">
            <v>0.57223201751708985</v>
          </cell>
          <cell r="BG2612">
            <v>0</v>
          </cell>
        </row>
        <row r="2613">
          <cell r="D2613" t="str">
            <v>钢铁</v>
          </cell>
          <cell r="M2613">
            <v>28.749057000000001</v>
          </cell>
          <cell r="N2613">
            <v>14.711149543395001</v>
          </cell>
          <cell r="O2613" t="str">
            <v>材料</v>
          </cell>
          <cell r="P2613" t="str">
            <v>材料Ⅱ</v>
          </cell>
          <cell r="Q2613" t="str">
            <v>金属、非金属与采矿</v>
          </cell>
          <cell r="BC2613">
            <v>2.3560209424083732E-2</v>
          </cell>
          <cell r="BD2613">
            <v>-4.009819967266777E-2</v>
          </cell>
          <cell r="BE2613">
            <v>-5.194394618606666E-2</v>
          </cell>
          <cell r="BF2613">
            <v>0.29205600738525389</v>
          </cell>
          <cell r="BG2613">
            <v>4.6751999855041505E-2</v>
          </cell>
        </row>
        <row r="2614">
          <cell r="D2614" t="str">
            <v>房地产开发</v>
          </cell>
          <cell r="M2614">
            <v>82.036605254999998</v>
          </cell>
          <cell r="N2614">
            <v>41.971969512136106</v>
          </cell>
          <cell r="O2614" t="str">
            <v>金融</v>
          </cell>
          <cell r="P2614" t="str">
            <v>房地产</v>
          </cell>
          <cell r="Q2614" t="str">
            <v>房地产管理与开发</v>
          </cell>
          <cell r="BC2614">
            <v>0</v>
          </cell>
          <cell r="BD2614">
            <v>-2.7603513174403984E-2</v>
          </cell>
          <cell r="BE2614">
            <v>0.89024390243902451</v>
          </cell>
          <cell r="BF2614">
            <v>1.5490199279785157</v>
          </cell>
          <cell r="BG2614">
            <v>0.52065601348876955</v>
          </cell>
        </row>
        <row r="2615">
          <cell r="D2615" t="str">
            <v>酒店、度假村与豪华游轮</v>
          </cell>
          <cell r="M2615">
            <v>54.946659857699998</v>
          </cell>
          <cell r="N2615">
            <v>28.102743894831175</v>
          </cell>
          <cell r="O2615" t="str">
            <v>可选消费</v>
          </cell>
          <cell r="P2615" t="str">
            <v>消费者服务Ⅱ</v>
          </cell>
          <cell r="Q2615" t="str">
            <v>酒店、餐馆与休闲Ⅲ</v>
          </cell>
          <cell r="BC2615">
            <v>0</v>
          </cell>
          <cell r="BD2615">
            <v>0</v>
          </cell>
          <cell r="BE2615">
            <v>0.29645776566757476</v>
          </cell>
          <cell r="BF2615">
            <v>0.44300399780273436</v>
          </cell>
          <cell r="BG2615">
            <v>0.31739999771118166</v>
          </cell>
        </row>
        <row r="2616">
          <cell r="D2616" t="str">
            <v>环境与设施服务</v>
          </cell>
          <cell r="M2616">
            <v>51.796127999999996</v>
          </cell>
          <cell r="N2616">
            <v>26.487661504821759</v>
          </cell>
          <cell r="O2616" t="str">
            <v>工业</v>
          </cell>
          <cell r="P2616" t="str">
            <v>商业和专业服务</v>
          </cell>
          <cell r="Q2616" t="str">
            <v>商业服务与用品</v>
          </cell>
          <cell r="BC2616">
            <v>2.9695619896065225E-2</v>
          </cell>
          <cell r="BD2616">
            <v>-0.13904407200496588</v>
          </cell>
          <cell r="BE2616">
            <v>-0.31713498057922163</v>
          </cell>
          <cell r="BF2616">
            <v>-3.6372001171112063E-2</v>
          </cell>
          <cell r="BG2616">
            <v>0.15548399925231934</v>
          </cell>
        </row>
        <row r="2617">
          <cell r="D2617" t="str">
            <v>电子设备和仪器</v>
          </cell>
          <cell r="M2617">
            <v>49.120400000000004</v>
          </cell>
          <cell r="N2617">
            <v>25.119181153459881</v>
          </cell>
          <cell r="O2617" t="str">
            <v>信息技术</v>
          </cell>
          <cell r="P2617" t="str">
            <v>技术硬件与设备</v>
          </cell>
          <cell r="Q2617" t="str">
            <v>电子设备、仪器和元件</v>
          </cell>
          <cell r="BC2617">
            <v>0.15618762475049913</v>
          </cell>
          <cell r="BD2617">
            <v>3.4836980794997814E-2</v>
          </cell>
          <cell r="BE2617">
            <v>0.22364463025779094</v>
          </cell>
          <cell r="BF2617">
            <v>0.57352798461914067</v>
          </cell>
          <cell r="BG2617">
            <v>0.28834800720214843</v>
          </cell>
        </row>
        <row r="2618">
          <cell r="D2618" t="str">
            <v>重型电气设备</v>
          </cell>
          <cell r="M2618">
            <v>264.53712165759998</v>
          </cell>
          <cell r="N2618">
            <v>135.27603716775826</v>
          </cell>
          <cell r="O2618" t="str">
            <v>工业</v>
          </cell>
          <cell r="P2618" t="str">
            <v>资本货物</v>
          </cell>
          <cell r="Q2618" t="str">
            <v>电气设备</v>
          </cell>
          <cell r="BC2618">
            <v>3.2846715328467099E-2</v>
          </cell>
          <cell r="BD2618">
            <v>2.6572187776794632E-3</v>
          </cell>
          <cell r="BE2618">
            <v>-0.46122827860688326</v>
          </cell>
          <cell r="BF2618">
            <v>4.2996001243591306E-2</v>
          </cell>
          <cell r="BG2618">
            <v>-0.16287599563598631</v>
          </cell>
        </row>
        <row r="2619">
          <cell r="D2619" t="str">
            <v>基础化工</v>
          </cell>
          <cell r="M2619">
            <v>175.56801791399997</v>
          </cell>
          <cell r="N2619">
            <v>89.779641398416487</v>
          </cell>
          <cell r="O2619" t="str">
            <v>材料</v>
          </cell>
          <cell r="P2619" t="str">
            <v>材料Ⅱ</v>
          </cell>
          <cell r="Q2619" t="str">
            <v>化工</v>
          </cell>
          <cell r="BC2619">
            <v>8.9831565814098416E-2</v>
          </cell>
          <cell r="BD2619">
            <v>2.9008982476807523E-2</v>
          </cell>
          <cell r="BE2619">
            <v>1.8574228022737249</v>
          </cell>
          <cell r="BF2619">
            <v>0.95223602294921872</v>
          </cell>
          <cell r="BG2619">
            <v>0.29642400741577146</v>
          </cell>
        </row>
        <row r="2620">
          <cell r="D2620" t="str">
            <v>电子设备和仪器</v>
          </cell>
          <cell r="M2620">
            <v>67.2</v>
          </cell>
          <cell r="N2620">
            <v>34.361523215373069</v>
          </cell>
          <cell r="O2620" t="str">
            <v>信息技术</v>
          </cell>
          <cell r="P2620" t="str">
            <v>技术硬件与设备</v>
          </cell>
          <cell r="Q2620" t="str">
            <v>电子设备、仪器和元件</v>
          </cell>
          <cell r="BC2620">
            <v>9.9188458070333125E-3</v>
          </cell>
          <cell r="BD2620">
            <v>5.3859964093356761E-3</v>
          </cell>
          <cell r="BE2620">
            <v>7.8979277732625933E-2</v>
          </cell>
          <cell r="BF2620">
            <v>0.58515598297119142</v>
          </cell>
          <cell r="BG2620">
            <v>0.29617200851440428</v>
          </cell>
        </row>
        <row r="2621">
          <cell r="D2621" t="str">
            <v>电子元件</v>
          </cell>
          <cell r="M2621">
            <v>29.22628722</v>
          </cell>
          <cell r="N2621">
            <v>14.944172460667776</v>
          </cell>
          <cell r="O2621" t="str">
            <v>信息技术</v>
          </cell>
          <cell r="P2621" t="str">
            <v>技术硬件与设备</v>
          </cell>
          <cell r="Q2621" t="str">
            <v>电子设备、仪器和元件</v>
          </cell>
          <cell r="BC2621">
            <v>0</v>
          </cell>
          <cell r="BD2621">
            <v>-6.7841409691629925E-2</v>
          </cell>
          <cell r="BE2621">
            <v>-0.14478929594970286</v>
          </cell>
          <cell r="BF2621">
            <v>0.45914398193359374</v>
          </cell>
          <cell r="BG2621">
            <v>0</v>
          </cell>
        </row>
        <row r="2622">
          <cell r="D2622" t="str">
            <v>工业机械</v>
          </cell>
          <cell r="M2622">
            <v>29.684817499999998</v>
          </cell>
          <cell r="N2622">
            <v>15.176563982767359</v>
          </cell>
          <cell r="O2622" t="str">
            <v>工业</v>
          </cell>
          <cell r="P2622" t="str">
            <v>资本货物</v>
          </cell>
          <cell r="Q2622" t="str">
            <v>机械</v>
          </cell>
          <cell r="BC2622">
            <v>2.1215596330275081E-2</v>
          </cell>
          <cell r="BD2622">
            <v>5.9488399762046403E-2</v>
          </cell>
          <cell r="BE2622">
            <v>0.10685128387096775</v>
          </cell>
          <cell r="BF2622">
            <v>0</v>
          </cell>
          <cell r="BG2622">
            <v>0</v>
          </cell>
        </row>
        <row r="2623">
          <cell r="D2623" t="str">
            <v>电子设备和仪器</v>
          </cell>
          <cell r="M2623">
            <v>42.285600000000002</v>
          </cell>
          <cell r="N2623">
            <v>21.616817871645065</v>
          </cell>
          <cell r="O2623" t="str">
            <v>信息技术</v>
          </cell>
          <cell r="P2623" t="str">
            <v>技术硬件与设备</v>
          </cell>
          <cell r="Q2623" t="str">
            <v>电子设备、仪器和元件</v>
          </cell>
          <cell r="BC2623">
            <v>0.23746312684365786</v>
          </cell>
          <cell r="BD2623">
            <v>3.9009287925696759E-2</v>
          </cell>
          <cell r="BE2623">
            <v>-0.1788049218152199</v>
          </cell>
          <cell r="BF2623">
            <v>0.78132003784179682</v>
          </cell>
          <cell r="BG2623">
            <v>0</v>
          </cell>
        </row>
        <row r="2624">
          <cell r="D2624" t="str">
            <v>机动车零配件与设备</v>
          </cell>
          <cell r="M2624">
            <v>56.512278302999995</v>
          </cell>
          <cell r="N2624">
            <v>28.888475075812501</v>
          </cell>
          <cell r="O2624" t="str">
            <v>可选消费</v>
          </cell>
          <cell r="P2624" t="str">
            <v>汽车与汽车零部件</v>
          </cell>
          <cell r="Q2624" t="str">
            <v>汽车零配件</v>
          </cell>
          <cell r="BC2624">
            <v>4.6647230320699756E-2</v>
          </cell>
          <cell r="BD2624">
            <v>-1.1926605504587228E-2</v>
          </cell>
          <cell r="BE2624">
            <v>7.3541868649302858E-2</v>
          </cell>
          <cell r="BF2624">
            <v>0.52236000061035159</v>
          </cell>
          <cell r="BG2624">
            <v>0.17058000564575196</v>
          </cell>
        </row>
        <row r="2625">
          <cell r="D2625" t="str">
            <v>休闲用品</v>
          </cell>
          <cell r="M2625">
            <v>62.846719999999998</v>
          </cell>
          <cell r="N2625">
            <v>32.126153802069048</v>
          </cell>
          <cell r="O2625" t="str">
            <v>可选消费</v>
          </cell>
          <cell r="P2625" t="str">
            <v>耐用消费品与服装</v>
          </cell>
          <cell r="Q2625" t="str">
            <v>休闲设备与用品</v>
          </cell>
          <cell r="BC2625">
            <v>2.3130300693908937E-2</v>
          </cell>
          <cell r="BD2625">
            <v>-7.2027972027972106E-2</v>
          </cell>
          <cell r="BE2625">
            <v>0.17361772531396744</v>
          </cell>
          <cell r="BF2625">
            <v>0.41487598419189453</v>
          </cell>
          <cell r="BG2625">
            <v>0.26284799575805662</v>
          </cell>
        </row>
        <row r="2626">
          <cell r="D2626" t="str">
            <v>重型电气设备</v>
          </cell>
          <cell r="M2626">
            <v>125.25296644170001</v>
          </cell>
          <cell r="N2626">
            <v>64.002769147810724</v>
          </cell>
          <cell r="O2626" t="str">
            <v>工业</v>
          </cell>
          <cell r="P2626" t="str">
            <v>资本货物</v>
          </cell>
          <cell r="Q2626" t="str">
            <v>电气设备</v>
          </cell>
          <cell r="BC2626">
            <v>4.4554455445544636E-2</v>
          </cell>
          <cell r="BD2626">
            <v>6.5656565656565594E-2</v>
          </cell>
          <cell r="BE2626">
            <v>-0.25149160706960316</v>
          </cell>
          <cell r="BF2626">
            <v>1.2311999797821044E-2</v>
          </cell>
          <cell r="BG2626">
            <v>0.15164400100708009</v>
          </cell>
        </row>
        <row r="2627">
          <cell r="D2627" t="str">
            <v>综合类行业</v>
          </cell>
          <cell r="M2627">
            <v>62.023146971499997</v>
          </cell>
          <cell r="N2627">
            <v>31.692797312058179</v>
          </cell>
          <cell r="O2627" t="str">
            <v>工业</v>
          </cell>
          <cell r="P2627" t="str">
            <v>资本货物</v>
          </cell>
          <cell r="Q2627" t="str">
            <v>综合类Ⅲ</v>
          </cell>
          <cell r="BC2627">
            <v>0</v>
          </cell>
          <cell r="BD2627">
            <v>0</v>
          </cell>
          <cell r="BE2627">
            <v>-0.31838579292201774</v>
          </cell>
          <cell r="BF2627">
            <v>0.24327600479125977</v>
          </cell>
          <cell r="BG2627">
            <v>-3.4212000370025634E-2</v>
          </cell>
        </row>
        <row r="2628">
          <cell r="D2628" t="str">
            <v>海港与服务</v>
          </cell>
          <cell r="M2628">
            <v>34.643364800000001</v>
          </cell>
          <cell r="N2628">
            <v>17.701403585138888</v>
          </cell>
          <cell r="O2628" t="str">
            <v>工业</v>
          </cell>
          <cell r="P2628" t="str">
            <v>运输</v>
          </cell>
          <cell r="Q2628" t="str">
            <v>交通基础设施</v>
          </cell>
          <cell r="BC2628">
            <v>0.17123857024106406</v>
          </cell>
          <cell r="BD2628">
            <v>4.6028210838901198E-2</v>
          </cell>
          <cell r="BE2628">
            <v>-0.17752193348588099</v>
          </cell>
          <cell r="BF2628">
            <v>0.3525600051879883</v>
          </cell>
          <cell r="BG2628">
            <v>0.11161199569702149</v>
          </cell>
        </row>
        <row r="2629">
          <cell r="D2629" t="str">
            <v>中药</v>
          </cell>
          <cell r="M2629">
            <v>74.008167883200002</v>
          </cell>
          <cell r="N2629">
            <v>37.813036756637942</v>
          </cell>
          <cell r="O2629" t="str">
            <v>医疗保健</v>
          </cell>
          <cell r="P2629" t="str">
            <v>制药、生物科技与生命科学</v>
          </cell>
          <cell r="Q2629" t="str">
            <v>制药</v>
          </cell>
          <cell r="BC2629">
            <v>4.0624999999999967E-2</v>
          </cell>
          <cell r="BD2629">
            <v>-0.16697936210131331</v>
          </cell>
          <cell r="BE2629">
            <v>-0.21253325450783322</v>
          </cell>
          <cell r="BF2629">
            <v>0.23925600051879883</v>
          </cell>
          <cell r="BG2629">
            <v>0.40673999786376952</v>
          </cell>
        </row>
        <row r="2630">
          <cell r="D2630" t="str">
            <v>西药</v>
          </cell>
          <cell r="M2630">
            <v>32.930700000000002</v>
          </cell>
          <cell r="N2630">
            <v>16.822003612447919</v>
          </cell>
          <cell r="O2630" t="str">
            <v>医疗保健</v>
          </cell>
          <cell r="P2630" t="str">
            <v>制药、生物科技与生命科学</v>
          </cell>
          <cell r="Q2630" t="str">
            <v>制药</v>
          </cell>
          <cell r="BC2630">
            <v>-7.7527501309586189E-2</v>
          </cell>
          <cell r="BD2630">
            <v>8.0368098159509127E-2</v>
          </cell>
          <cell r="BE2630">
            <v>8.7182491915713867E-2</v>
          </cell>
          <cell r="BF2630">
            <v>0.37338001251220704</v>
          </cell>
          <cell r="BG2630">
            <v>0.11335200309753418</v>
          </cell>
        </row>
        <row r="2631">
          <cell r="D2631" t="str">
            <v>工业机械</v>
          </cell>
          <cell r="M2631">
            <v>68.972507999999991</v>
          </cell>
          <cell r="N2631">
            <v>35.228267691773141</v>
          </cell>
          <cell r="O2631" t="str">
            <v>工业</v>
          </cell>
          <cell r="P2631" t="str">
            <v>资本货物</v>
          </cell>
          <cell r="Q2631" t="str">
            <v>机械</v>
          </cell>
          <cell r="BC2631">
            <v>4.5544554455444926E-3</v>
          </cell>
          <cell r="BD2631">
            <v>4.6842756912917789E-2</v>
          </cell>
          <cell r="BE2631">
            <v>1.4843346863126563</v>
          </cell>
          <cell r="BF2631">
            <v>1.0128240203857422</v>
          </cell>
          <cell r="BG2631">
            <v>0</v>
          </cell>
        </row>
        <row r="2632">
          <cell r="D2632" t="str">
            <v>食品加工与肉类</v>
          </cell>
          <cell r="M2632">
            <v>36.280095069399998</v>
          </cell>
          <cell r="N2632">
            <v>18.530168981555555</v>
          </cell>
          <cell r="O2632" t="str">
            <v>日常消费</v>
          </cell>
          <cell r="P2632" t="str">
            <v>食品、饮料与烟草</v>
          </cell>
          <cell r="Q2632" t="str">
            <v>食品</v>
          </cell>
          <cell r="BC2632">
            <v>6.5769805680119503E-2</v>
          </cell>
          <cell r="BD2632">
            <v>-8.3449235048679415E-3</v>
          </cell>
          <cell r="BE2632">
            <v>-5.687830687830684E-2</v>
          </cell>
          <cell r="BF2632">
            <v>0.60718799591064454</v>
          </cell>
          <cell r="BG2632">
            <v>0.21173999786376954</v>
          </cell>
        </row>
        <row r="2633">
          <cell r="D2633" t="str">
            <v>信息科技咨询与其它服务</v>
          </cell>
          <cell r="M2633">
            <v>152.92284000000001</v>
          </cell>
          <cell r="N2633">
            <v>78.098803255662787</v>
          </cell>
          <cell r="O2633" t="str">
            <v>信息技术</v>
          </cell>
          <cell r="P2633" t="str">
            <v>软件与服务</v>
          </cell>
          <cell r="Q2633" t="str">
            <v>信息技术服务</v>
          </cell>
          <cell r="BC2633">
            <v>0</v>
          </cell>
          <cell r="BD2633">
            <v>0</v>
          </cell>
          <cell r="BE2633">
            <v>-8.0989683319579689E-2</v>
          </cell>
          <cell r="BF2633">
            <v>0.83402397155761721</v>
          </cell>
          <cell r="BG2633">
            <v>0.47396400451660159</v>
          </cell>
        </row>
        <row r="2634">
          <cell r="D2634" t="str">
            <v>电子元件</v>
          </cell>
          <cell r="M2634">
            <v>107.5984</v>
          </cell>
          <cell r="N2634">
            <v>54.948223412969448</v>
          </cell>
          <cell r="O2634" t="str">
            <v>信息技术</v>
          </cell>
          <cell r="P2634" t="str">
            <v>技术硬件与设备</v>
          </cell>
          <cell r="Q2634" t="str">
            <v>电子设备、仪器和元件</v>
          </cell>
          <cell r="BC2634">
            <v>2.2837370242214539E-2</v>
          </cell>
          <cell r="BD2634">
            <v>-0.14615829000577699</v>
          </cell>
          <cell r="BE2634">
            <v>1.3907731666104399</v>
          </cell>
          <cell r="BF2634">
            <v>1.2337799835205079</v>
          </cell>
          <cell r="BG2634">
            <v>0</v>
          </cell>
        </row>
        <row r="2635">
          <cell r="D2635" t="str">
            <v>农产品</v>
          </cell>
          <cell r="M2635">
            <v>41.073450000000001</v>
          </cell>
          <cell r="N2635">
            <v>20.973619563707171</v>
          </cell>
          <cell r="O2635" t="str">
            <v>日常消费</v>
          </cell>
          <cell r="P2635" t="str">
            <v>食品、饮料与烟草</v>
          </cell>
          <cell r="Q2635" t="str">
            <v>食品</v>
          </cell>
          <cell r="BC2635">
            <v>4.7045324153757909E-2</v>
          </cell>
          <cell r="BD2635">
            <v>-2.5627335824879895E-2</v>
          </cell>
          <cell r="BE2635">
            <v>0.4446227116862998</v>
          </cell>
          <cell r="BF2635">
            <v>0.55426799774169921</v>
          </cell>
          <cell r="BG2635">
            <v>0.23538000106811524</v>
          </cell>
        </row>
        <row r="2636">
          <cell r="D2636" t="str">
            <v>金属非金属</v>
          </cell>
          <cell r="M2636">
            <v>126.37872000000002</v>
          </cell>
          <cell r="N2636">
            <v>64.532497933871539</v>
          </cell>
          <cell r="O2636" t="str">
            <v>材料</v>
          </cell>
          <cell r="P2636" t="str">
            <v>材料Ⅱ</v>
          </cell>
          <cell r="Q2636" t="str">
            <v>金属、非金属与采矿</v>
          </cell>
          <cell r="BC2636">
            <v>1.1500261369576709E-2</v>
          </cell>
          <cell r="BD2636">
            <v>2.70700636942676E-2</v>
          </cell>
          <cell r="BE2636">
            <v>-4.4198894913423069E-3</v>
          </cell>
          <cell r="BF2636">
            <v>0.28131599426269532</v>
          </cell>
          <cell r="BG2636">
            <v>0.13117199897766113</v>
          </cell>
        </row>
        <row r="2637">
          <cell r="D2637" t="str">
            <v>金属非金属</v>
          </cell>
          <cell r="M2637">
            <v>89.183512483200005</v>
          </cell>
          <cell r="N2637">
            <v>45.532584008588202</v>
          </cell>
          <cell r="O2637" t="str">
            <v>材料</v>
          </cell>
          <cell r="P2637" t="str">
            <v>材料Ⅱ</v>
          </cell>
          <cell r="Q2637" t="str">
            <v>金属、非金属与采矿</v>
          </cell>
          <cell r="BC2637">
            <v>5.807365439093487E-2</v>
          </cell>
          <cell r="BD2637">
            <v>5.807365439093487E-2</v>
          </cell>
          <cell r="BE2637">
            <v>3.4601090434720164E-2</v>
          </cell>
          <cell r="BF2637">
            <v>0.48307201385498044</v>
          </cell>
          <cell r="BG2637">
            <v>0.1256760025024414</v>
          </cell>
        </row>
        <row r="2638">
          <cell r="D2638" t="str">
            <v>鞋类</v>
          </cell>
          <cell r="M2638">
            <v>58.242596669999998</v>
          </cell>
          <cell r="N2638">
            <v>29.727015737872687</v>
          </cell>
          <cell r="O2638" t="str">
            <v>可选消费</v>
          </cell>
          <cell r="P2638" t="str">
            <v>耐用消费品与服装</v>
          </cell>
          <cell r="Q2638" t="str">
            <v>纺织品、服装与奢侈品</v>
          </cell>
          <cell r="BC2638">
            <v>0.28070175438596484</v>
          </cell>
          <cell r="BD2638">
            <v>0.21262458471760803</v>
          </cell>
          <cell r="BE2638">
            <v>0.48243936089824191</v>
          </cell>
          <cell r="BF2638">
            <v>0.51992401123046872</v>
          </cell>
          <cell r="BG2638">
            <v>8.0615997314453125E-2</v>
          </cell>
        </row>
        <row r="2639">
          <cell r="D2639" t="str">
            <v>房地产开发</v>
          </cell>
          <cell r="M2639">
            <v>44.192572777499997</v>
          </cell>
          <cell r="N2639">
            <v>22.553644410600615</v>
          </cell>
          <cell r="O2639" t="str">
            <v>金融</v>
          </cell>
          <cell r="P2639" t="str">
            <v>房地产</v>
          </cell>
          <cell r="Q2639" t="str">
            <v>房地产管理与开发</v>
          </cell>
          <cell r="BC2639">
            <v>0</v>
          </cell>
          <cell r="BD2639">
            <v>0</v>
          </cell>
          <cell r="BE2639">
            <v>-0.11689814814814822</v>
          </cell>
          <cell r="BF2639">
            <v>6.7596001625061033E-2</v>
          </cell>
          <cell r="BG2639">
            <v>0.1886280059814453</v>
          </cell>
        </row>
        <row r="2640">
          <cell r="D2640" t="str">
            <v>半导体产品</v>
          </cell>
          <cell r="M2640">
            <v>228.1084413822</v>
          </cell>
          <cell r="N2640">
            <v>116.4010304526479</v>
          </cell>
          <cell r="O2640" t="str">
            <v>信息技术</v>
          </cell>
          <cell r="P2640" t="str">
            <v>半导体与半导体生产设备</v>
          </cell>
          <cell r="Q2640" t="str">
            <v>半导体产品与半导体设备</v>
          </cell>
          <cell r="BC2640">
            <v>0</v>
          </cell>
          <cell r="BD2640">
            <v>0</v>
          </cell>
          <cell r="BE2640">
            <v>0.41025618605208081</v>
          </cell>
          <cell r="BF2640">
            <v>0.66202796936035158</v>
          </cell>
          <cell r="BG2640">
            <v>0.25939199447631833</v>
          </cell>
        </row>
        <row r="2641">
          <cell r="D2641" t="str">
            <v>信息科技咨询与其它服务</v>
          </cell>
          <cell r="M2641">
            <v>62.377405863999996</v>
          </cell>
          <cell r="N2641">
            <v>31.825823620189002</v>
          </cell>
          <cell r="O2641" t="str">
            <v>信息技术</v>
          </cell>
          <cell r="P2641" t="str">
            <v>软件与服务</v>
          </cell>
          <cell r="Q2641" t="str">
            <v>信息技术服务</v>
          </cell>
          <cell r="BC2641">
            <v>0</v>
          </cell>
          <cell r="BD2641">
            <v>0</v>
          </cell>
          <cell r="BE2641">
            <v>-7.3313782991202336E-2</v>
          </cell>
          <cell r="BF2641">
            <v>1.1217720031738281</v>
          </cell>
          <cell r="BG2641">
            <v>0.53833198547363281</v>
          </cell>
        </row>
        <row r="2642">
          <cell r="D2642" t="str">
            <v>特种化工</v>
          </cell>
          <cell r="M2642">
            <v>47.124000000000002</v>
          </cell>
          <cell r="N2642">
            <v>24.039191089311341</v>
          </cell>
          <cell r="O2642" t="str">
            <v>材料</v>
          </cell>
          <cell r="P2642" t="str">
            <v>材料Ⅱ</v>
          </cell>
          <cell r="Q2642" t="str">
            <v>化工</v>
          </cell>
          <cell r="BC2642">
            <v>6.5006915629322232E-2</v>
          </cell>
          <cell r="BD2642">
            <v>6.3535911602209935E-2</v>
          </cell>
          <cell r="BE2642">
            <v>-3.4227288743903385E-2</v>
          </cell>
          <cell r="BF2642">
            <v>1.8971999883651735E-2</v>
          </cell>
          <cell r="BG2642">
            <v>0.21933599472045898</v>
          </cell>
        </row>
        <row r="2643">
          <cell r="D2643" t="str">
            <v>食品加工与肉类</v>
          </cell>
          <cell r="M2643">
            <v>23.476800000000001</v>
          </cell>
          <cell r="N2643">
            <v>11.972908926728396</v>
          </cell>
          <cell r="O2643" t="str">
            <v>日常消费</v>
          </cell>
          <cell r="P2643" t="str">
            <v>食品、饮料与烟草</v>
          </cell>
          <cell r="Q2643" t="str">
            <v>食品</v>
          </cell>
          <cell r="BC2643">
            <v>4.8473967684021464E-2</v>
          </cell>
          <cell r="BD2643">
            <v>-0.1279243404678945</v>
          </cell>
          <cell r="BE2643">
            <v>-0.23191582639193334</v>
          </cell>
          <cell r="BF2643">
            <v>0.9633000183105469</v>
          </cell>
          <cell r="BG2643">
            <v>0</v>
          </cell>
        </row>
        <row r="2644">
          <cell r="D2644" t="str">
            <v>煤炭与消费用燃料</v>
          </cell>
          <cell r="M2644">
            <v>82.799880768000008</v>
          </cell>
          <cell r="N2644">
            <v>42.213830415350003</v>
          </cell>
          <cell r="O2644" t="str">
            <v>能源</v>
          </cell>
          <cell r="P2644" t="str">
            <v>能源Ⅱ</v>
          </cell>
          <cell r="Q2644" t="str">
            <v>石油、天然气与供消费用燃料</v>
          </cell>
          <cell r="BC2644">
            <v>-2.9535864978902947E-2</v>
          </cell>
          <cell r="BD2644">
            <v>-1.4285714285714235E-2</v>
          </cell>
          <cell r="BE2644">
            <v>-0.2560686053643958</v>
          </cell>
          <cell r="BF2644">
            <v>0.17908800125122071</v>
          </cell>
          <cell r="BG2644">
            <v>-9.3875999450683589E-2</v>
          </cell>
        </row>
        <row r="2645">
          <cell r="D2645" t="str">
            <v>服装、服饰与奢侈品</v>
          </cell>
          <cell r="M2645">
            <v>150.91999999999999</v>
          </cell>
          <cell r="N2645">
            <v>76.941311938234577</v>
          </cell>
          <cell r="O2645" t="str">
            <v>可选消费</v>
          </cell>
          <cell r="P2645" t="str">
            <v>耐用消费品与服装</v>
          </cell>
          <cell r="Q2645" t="str">
            <v>纺织品、服装与奢侈品</v>
          </cell>
          <cell r="BC2645">
            <v>0</v>
          </cell>
          <cell r="BD2645">
            <v>0</v>
          </cell>
          <cell r="BE2645">
            <v>0.94886363636363624</v>
          </cell>
          <cell r="BF2645">
            <v>1.0497720336914063</v>
          </cell>
          <cell r="BG2645">
            <v>0</v>
          </cell>
        </row>
        <row r="2646">
          <cell r="D2646" t="str">
            <v>信息科技咨询与其它服务</v>
          </cell>
          <cell r="M2646">
            <v>75.335999999999999</v>
          </cell>
          <cell r="N2646">
            <v>38.391331589999993</v>
          </cell>
          <cell r="O2646" t="str">
            <v>信息技术</v>
          </cell>
          <cell r="P2646" t="str">
            <v>软件与服务</v>
          </cell>
          <cell r="Q2646" t="str">
            <v>信息技术服务</v>
          </cell>
          <cell r="BC2646">
            <v>3.3628318584070817E-2</v>
          </cell>
          <cell r="BD2646">
            <v>-5.8064516129032351E-2</v>
          </cell>
          <cell r="BE2646">
            <v>-0.17514124293785308</v>
          </cell>
          <cell r="BF2646">
            <v>0.64181999206542972</v>
          </cell>
          <cell r="BG2646">
            <v>0.35888401031494138</v>
          </cell>
        </row>
        <row r="2647">
          <cell r="D2647" t="str">
            <v>农产品</v>
          </cell>
          <cell r="M2647">
            <v>36.273600000000002</v>
          </cell>
          <cell r="N2647">
            <v>18.484003797758024</v>
          </cell>
          <cell r="O2647" t="str">
            <v>日常消费</v>
          </cell>
          <cell r="P2647" t="str">
            <v>食品、饮料与烟草</v>
          </cell>
          <cell r="Q2647" t="str">
            <v>食品</v>
          </cell>
          <cell r="BC2647">
            <v>-7.0616883116883203E-2</v>
          </cell>
          <cell r="BD2647">
            <v>0.12475442043222</v>
          </cell>
          <cell r="BE2647">
            <v>0.46983311938382533</v>
          </cell>
          <cell r="BF2647">
            <v>0.79452003479003908</v>
          </cell>
          <cell r="BG2647">
            <v>0.19779600143432619</v>
          </cell>
        </row>
        <row r="2648">
          <cell r="D2648" t="str">
            <v>专卖店</v>
          </cell>
          <cell r="M2648">
            <v>28.822220804000001</v>
          </cell>
          <cell r="N2648">
            <v>14.685554084234358</v>
          </cell>
          <cell r="O2648" t="str">
            <v>可选消费</v>
          </cell>
          <cell r="P2648" t="str">
            <v>零售业</v>
          </cell>
          <cell r="Q2648" t="str">
            <v>专营零售</v>
          </cell>
          <cell r="BC2648">
            <v>-5.2493438320210016E-3</v>
          </cell>
          <cell r="BD2648">
            <v>-7.3349633251833704E-2</v>
          </cell>
          <cell r="BE2648">
            <v>-0.26336248785228372</v>
          </cell>
          <cell r="BF2648">
            <v>0.21262800216674804</v>
          </cell>
          <cell r="BG2648">
            <v>-6.514800071716309E-2</v>
          </cell>
        </row>
        <row r="2649">
          <cell r="D2649" t="str">
            <v>电影与娱乐</v>
          </cell>
          <cell r="M2649">
            <v>127.75568775240001</v>
          </cell>
          <cell r="N2649">
            <v>65.093602128174254</v>
          </cell>
          <cell r="O2649" t="str">
            <v>可选消费</v>
          </cell>
          <cell r="P2649" t="str">
            <v>媒体Ⅱ</v>
          </cell>
          <cell r="Q2649" t="str">
            <v>媒体Ⅲ</v>
          </cell>
          <cell r="BC2649">
            <v>-5.9288537549405853E-3</v>
          </cell>
          <cell r="BD2649">
            <v>8.5213032581454486E-3</v>
          </cell>
          <cell r="BE2649">
            <v>1.1407220125454685</v>
          </cell>
          <cell r="BF2649">
            <v>1.3133039855957032</v>
          </cell>
          <cell r="BG2649">
            <v>0.32908798217773438</v>
          </cell>
        </row>
        <row r="2650">
          <cell r="D2650" t="str">
            <v>房地产开发</v>
          </cell>
          <cell r="M2650">
            <v>60.540350400000001</v>
          </cell>
          <cell r="N2650">
            <v>30.83520497638542</v>
          </cell>
          <cell r="O2650" t="str">
            <v>金融</v>
          </cell>
          <cell r="P2650" t="str">
            <v>房地产</v>
          </cell>
          <cell r="Q2650" t="str">
            <v>房地产管理与开发</v>
          </cell>
          <cell r="BC2650">
            <v>3.1302591719959597E-2</v>
          </cell>
          <cell r="BD2650">
            <v>-3.5772357723577049E-3</v>
          </cell>
          <cell r="BE2650">
            <v>-0.18812930577636464</v>
          </cell>
          <cell r="BF2650">
            <v>0.36589199066162109</v>
          </cell>
          <cell r="BG2650">
            <v>0.18722400665283204</v>
          </cell>
        </row>
        <row r="2651">
          <cell r="D2651" t="str">
            <v>基础化工</v>
          </cell>
          <cell r="M2651">
            <v>60.094154249999995</v>
          </cell>
          <cell r="N2651">
            <v>30.607668111936732</v>
          </cell>
          <cell r="O2651" t="str">
            <v>材料</v>
          </cell>
          <cell r="P2651" t="str">
            <v>材料Ⅱ</v>
          </cell>
          <cell r="Q2651" t="str">
            <v>化工</v>
          </cell>
          <cell r="BC2651">
            <v>1.1196641007697702E-2</v>
          </cell>
          <cell r="BD2651">
            <v>3.9568345323740928E-2</v>
          </cell>
          <cell r="BE2651">
            <v>0.26736809700758979</v>
          </cell>
          <cell r="BF2651">
            <v>0.41060398101806639</v>
          </cell>
          <cell r="BG2651">
            <v>0</v>
          </cell>
        </row>
        <row r="2652">
          <cell r="D2652" t="str">
            <v>航天航空与国防</v>
          </cell>
          <cell r="M2652">
            <v>80.222999999999999</v>
          </cell>
          <cell r="N2652">
            <v>40.8463462616713</v>
          </cell>
          <cell r="O2652" t="str">
            <v>工业</v>
          </cell>
          <cell r="P2652" t="str">
            <v>资本货物</v>
          </cell>
          <cell r="Q2652" t="str">
            <v>航空航天与国防Ⅲ</v>
          </cell>
          <cell r="BC2652">
            <v>0.11623616236162355</v>
          </cell>
          <cell r="BD2652">
            <v>6.5891472868217088E-2</v>
          </cell>
          <cell r="BE2652">
            <v>-0.22296429488826097</v>
          </cell>
          <cell r="BF2652">
            <v>1.0712400054931641</v>
          </cell>
          <cell r="BG2652">
            <v>0.51122398376464839</v>
          </cell>
        </row>
        <row r="2653">
          <cell r="D2653" t="str">
            <v>房地产开发</v>
          </cell>
          <cell r="M2653">
            <v>79.483224903000007</v>
          </cell>
          <cell r="N2653">
            <v>40.465342277095836</v>
          </cell>
          <cell r="O2653" t="str">
            <v>金融</v>
          </cell>
          <cell r="P2653" t="str">
            <v>房地产</v>
          </cell>
          <cell r="Q2653" t="str">
            <v>房地产管理与开发</v>
          </cell>
          <cell r="BC2653">
            <v>4.2035398230088589E-2</v>
          </cell>
          <cell r="BD2653">
            <v>3.402854006586175E-2</v>
          </cell>
          <cell r="BE2653">
            <v>0.10082867335149172</v>
          </cell>
          <cell r="BF2653">
            <v>0.68867996215820315</v>
          </cell>
          <cell r="BG2653">
            <v>0.2086680030822754</v>
          </cell>
        </row>
        <row r="2654">
          <cell r="D2654" t="str">
            <v>特种化工</v>
          </cell>
          <cell r="M2654">
            <v>54.757429999999992</v>
          </cell>
          <cell r="N2654">
            <v>27.87144578674382</v>
          </cell>
          <cell r="O2654" t="str">
            <v>材料</v>
          </cell>
          <cell r="P2654" t="str">
            <v>材料Ⅱ</v>
          </cell>
          <cell r="Q2654" t="str">
            <v>化工</v>
          </cell>
          <cell r="BC2654">
            <v>1.675977653631289E-2</v>
          </cell>
          <cell r="BD2654">
            <v>-6.9529652351738219E-2</v>
          </cell>
          <cell r="BE2654">
            <v>0.10910217284816308</v>
          </cell>
          <cell r="BF2654">
            <v>0.52924800872802735</v>
          </cell>
          <cell r="BG2654">
            <v>8.6999998092651368E-2</v>
          </cell>
        </row>
        <row r="2655">
          <cell r="D2655" t="str">
            <v>环境与设施服务</v>
          </cell>
          <cell r="M2655">
            <v>52.747200000000007</v>
          </cell>
          <cell r="N2655">
            <v>26.845927101133491</v>
          </cell>
          <cell r="O2655" t="str">
            <v>工业</v>
          </cell>
          <cell r="P2655" t="str">
            <v>商业和专业服务</v>
          </cell>
          <cell r="Q2655" t="str">
            <v>商业服务与用品</v>
          </cell>
          <cell r="BC2655">
            <v>0</v>
          </cell>
          <cell r="BD2655">
            <v>-6.5656565656565608E-2</v>
          </cell>
          <cell r="BE2655">
            <v>7.3088905950866034E-2</v>
          </cell>
          <cell r="BF2655">
            <v>0.51881999969482417</v>
          </cell>
          <cell r="BG2655">
            <v>0.20421600341796875</v>
          </cell>
        </row>
        <row r="2656">
          <cell r="D2656" t="str">
            <v>食品加工与肉类</v>
          </cell>
          <cell r="M2656">
            <v>58.806699000000009</v>
          </cell>
          <cell r="N2656">
            <v>29.925674889223263</v>
          </cell>
          <cell r="O2656" t="str">
            <v>日常消费</v>
          </cell>
          <cell r="P2656" t="str">
            <v>食品、饮料与烟草</v>
          </cell>
          <cell r="Q2656" t="str">
            <v>食品</v>
          </cell>
          <cell r="BC2656">
            <v>0</v>
          </cell>
          <cell r="BD2656">
            <v>0</v>
          </cell>
          <cell r="BE2656">
            <v>-1.6924089904895495E-2</v>
          </cell>
          <cell r="BF2656">
            <v>0.82250396728515629</v>
          </cell>
          <cell r="BG2656">
            <v>0.26327999114990236</v>
          </cell>
        </row>
        <row r="2657">
          <cell r="D2657" t="str">
            <v>复合型公用事业</v>
          </cell>
          <cell r="M2657">
            <v>34.4550832989</v>
          </cell>
          <cell r="N2657">
            <v>17.533412750924366</v>
          </cell>
          <cell r="O2657" t="str">
            <v>公用事业</v>
          </cell>
          <cell r="P2657" t="str">
            <v>公用事业Ⅱ</v>
          </cell>
          <cell r="Q2657" t="str">
            <v>复合型公用事业Ⅲ</v>
          </cell>
          <cell r="BC2657">
            <v>2.3087071240105516E-2</v>
          </cell>
          <cell r="BD2657">
            <v>-0.10398613518197568</v>
          </cell>
          <cell r="BE2657">
            <v>-0.21229050279329614</v>
          </cell>
          <cell r="BF2657">
            <v>0.50689201354980473</v>
          </cell>
          <cell r="BG2657">
            <v>0.1281120014190674</v>
          </cell>
        </row>
        <row r="2658">
          <cell r="D2658" t="str">
            <v>半导体产品</v>
          </cell>
          <cell r="M2658">
            <v>85.771747584000011</v>
          </cell>
          <cell r="N2658">
            <v>43.644308902903042</v>
          </cell>
          <cell r="O2658" t="str">
            <v>信息技术</v>
          </cell>
          <cell r="P2658" t="str">
            <v>半导体与半导体生产设备</v>
          </cell>
          <cell r="Q2658" t="str">
            <v>半导体产品与半导体设备</v>
          </cell>
          <cell r="BC2658">
            <v>0.1428571428571429</v>
          </cell>
          <cell r="BD2658">
            <v>2.7104136947218315E-2</v>
          </cell>
          <cell r="BE2658">
            <v>0.36819252961610821</v>
          </cell>
          <cell r="BF2658">
            <v>0.30583200454711912</v>
          </cell>
          <cell r="BG2658">
            <v>0.17126399993896485</v>
          </cell>
        </row>
        <row r="2659">
          <cell r="D2659" t="str">
            <v>西药</v>
          </cell>
          <cell r="M2659">
            <v>66.479714924999996</v>
          </cell>
          <cell r="N2659">
            <v>33.817773058911918</v>
          </cell>
          <cell r="O2659" t="str">
            <v>医疗保健</v>
          </cell>
          <cell r="P2659" t="str">
            <v>制药、生物科技与生命科学</v>
          </cell>
          <cell r="Q2659" t="str">
            <v>制药</v>
          </cell>
          <cell r="BC2659">
            <v>1.3092269326683345E-2</v>
          </cell>
          <cell r="BD2659">
            <v>-4.2427813789039419E-2</v>
          </cell>
          <cell r="BE2659">
            <v>2.4031463055825986E-2</v>
          </cell>
          <cell r="BF2659">
            <v>0.53037601470947271</v>
          </cell>
          <cell r="BG2659">
            <v>0</v>
          </cell>
        </row>
        <row r="2660">
          <cell r="D2660" t="str">
            <v>其他多元金融服务</v>
          </cell>
          <cell r="M2660">
            <v>210.38867123799997</v>
          </cell>
          <cell r="N2660">
            <v>107.02113949691581</v>
          </cell>
          <cell r="O2660" t="str">
            <v>金融</v>
          </cell>
          <cell r="P2660" t="str">
            <v>多元金融</v>
          </cell>
          <cell r="Q2660" t="str">
            <v>多元金融服务</v>
          </cell>
          <cell r="BC2660">
            <v>0</v>
          </cell>
          <cell r="BD2660">
            <v>0</v>
          </cell>
          <cell r="BE2660">
            <v>-0.11644988746737117</v>
          </cell>
          <cell r="BF2660">
            <v>0.63105598449707034</v>
          </cell>
          <cell r="BG2660">
            <v>0.60051601409912114</v>
          </cell>
        </row>
        <row r="2661">
          <cell r="D2661" t="str">
            <v>基础化工</v>
          </cell>
          <cell r="M2661">
            <v>49.121426445200001</v>
          </cell>
          <cell r="N2661">
            <v>24.986369433504588</v>
          </cell>
          <cell r="O2661" t="str">
            <v>材料</v>
          </cell>
          <cell r="P2661" t="str">
            <v>材料Ⅱ</v>
          </cell>
          <cell r="Q2661" t="str">
            <v>化工</v>
          </cell>
          <cell r="BC2661">
            <v>8.293153326904544E-2</v>
          </cell>
          <cell r="BD2661">
            <v>9.7751710654936458E-2</v>
          </cell>
          <cell r="BE2661">
            <v>0.4002493765586036</v>
          </cell>
          <cell r="BF2661">
            <v>0.60632400512695317</v>
          </cell>
          <cell r="BG2661">
            <v>0.20762399673461915</v>
          </cell>
        </row>
        <row r="2662">
          <cell r="D2662" t="str">
            <v>出版</v>
          </cell>
          <cell r="M2662">
            <v>121.74</v>
          </cell>
          <cell r="N2662">
            <v>61.921921871148143</v>
          </cell>
          <cell r="O2662" t="str">
            <v>可选消费</v>
          </cell>
          <cell r="P2662" t="str">
            <v>媒体Ⅱ</v>
          </cell>
          <cell r="Q2662" t="str">
            <v>媒体Ⅲ</v>
          </cell>
          <cell r="BC2662">
            <v>-2.3768283294842176E-2</v>
          </cell>
          <cell r="BD2662">
            <v>-3.4636977828527933E-2</v>
          </cell>
          <cell r="BE2662">
            <v>0.36645146540118501</v>
          </cell>
          <cell r="BF2662">
            <v>0</v>
          </cell>
          <cell r="BG2662">
            <v>0</v>
          </cell>
        </row>
        <row r="2663">
          <cell r="D2663" t="str">
            <v>金属非金属</v>
          </cell>
          <cell r="M2663">
            <v>129.2646</v>
          </cell>
          <cell r="N2663">
            <v>65.747338516924785</v>
          </cell>
          <cell r="O2663" t="str">
            <v>材料</v>
          </cell>
          <cell r="P2663" t="str">
            <v>材料Ⅱ</v>
          </cell>
          <cell r="Q2663" t="str">
            <v>金属、非金属与采矿</v>
          </cell>
          <cell r="BC2663">
            <v>0.15455746367239101</v>
          </cell>
          <cell r="BD2663">
            <v>0.32223903177004537</v>
          </cell>
          <cell r="BE2663">
            <v>-0.48192056905749853</v>
          </cell>
          <cell r="BF2663">
            <v>0.19671600341796874</v>
          </cell>
          <cell r="BG2663">
            <v>0.3079800033569336</v>
          </cell>
        </row>
        <row r="2664">
          <cell r="D2664" t="str">
            <v>机动车零配件与设备</v>
          </cell>
          <cell r="M2664">
            <v>140.39205775919999</v>
          </cell>
          <cell r="N2664">
            <v>71.400849494657592</v>
          </cell>
          <cell r="O2664" t="str">
            <v>可选消费</v>
          </cell>
          <cell r="P2664" t="str">
            <v>汽车与汽车零部件</v>
          </cell>
          <cell r="Q2664" t="str">
            <v>汽车零配件</v>
          </cell>
          <cell r="BC2664">
            <v>7.1197411003235877E-3</v>
          </cell>
          <cell r="BD2664">
            <v>-7.7470355731225321E-2</v>
          </cell>
          <cell r="BE2664">
            <v>4.9846153846153847</v>
          </cell>
          <cell r="BF2664">
            <v>2.4382080078124999</v>
          </cell>
          <cell r="BG2664">
            <v>0</v>
          </cell>
        </row>
        <row r="2665">
          <cell r="D2665" t="str">
            <v>食品加工与肉类</v>
          </cell>
          <cell r="M2665">
            <v>56.123599999999996</v>
          </cell>
          <cell r="N2665">
            <v>28.540952067446757</v>
          </cell>
          <cell r="O2665" t="str">
            <v>日常消费</v>
          </cell>
          <cell r="P2665" t="str">
            <v>食品、饮料与烟草</v>
          </cell>
          <cell r="Q2665" t="str">
            <v>食品</v>
          </cell>
          <cell r="BC2665">
            <v>-3.0355594102341687E-2</v>
          </cell>
          <cell r="BD2665">
            <v>-0.1927797833935018</v>
          </cell>
          <cell r="BE2665">
            <v>0.24328469029412492</v>
          </cell>
          <cell r="BF2665">
            <v>0.54599998474121092</v>
          </cell>
          <cell r="BG2665">
            <v>0.18650400161743164</v>
          </cell>
        </row>
        <row r="2666">
          <cell r="D2666" t="str">
            <v>白酒与葡萄酒</v>
          </cell>
          <cell r="M2666">
            <v>86.7732967325</v>
          </cell>
          <cell r="N2666">
            <v>44.116663226867942</v>
          </cell>
          <cell r="O2666" t="str">
            <v>日常消费</v>
          </cell>
          <cell r="P2666" t="str">
            <v>食品、饮料与烟草</v>
          </cell>
          <cell r="Q2666" t="str">
            <v>饮料</v>
          </cell>
          <cell r="BC2666">
            <v>2.9411764705882339E-2</v>
          </cell>
          <cell r="BD2666">
            <v>-4.4943820224719135E-2</v>
          </cell>
          <cell r="BE2666">
            <v>-0.1326530612244898</v>
          </cell>
          <cell r="BF2666">
            <v>-1.2671999931335449E-2</v>
          </cell>
          <cell r="BG2666">
            <v>-5.0639998912811283E-3</v>
          </cell>
        </row>
        <row r="2667">
          <cell r="D2667" t="str">
            <v>新能源发电业者</v>
          </cell>
          <cell r="M2667">
            <v>44.709924032400004</v>
          </cell>
          <cell r="N2667">
            <v>22.72624171074018</v>
          </cell>
          <cell r="O2667" t="str">
            <v>公用事业</v>
          </cell>
          <cell r="P2667" t="str">
            <v>公用事业Ⅱ</v>
          </cell>
          <cell r="Q2667" t="str">
            <v>独立电力生产商与能源贸易商Ⅲ</v>
          </cell>
          <cell r="BC2667">
            <v>2.9077117572692848E-2</v>
          </cell>
          <cell r="BD2667">
            <v>-0.11425462459194766</v>
          </cell>
          <cell r="BE2667">
            <v>0.1384615384615385</v>
          </cell>
          <cell r="BF2667">
            <v>0.51551998138427735</v>
          </cell>
          <cell r="BG2667">
            <v>0.25799999237060545</v>
          </cell>
        </row>
        <row r="2668">
          <cell r="D2668" t="str">
            <v>工业机械</v>
          </cell>
          <cell r="M2668">
            <v>122.79090135519999</v>
          </cell>
          <cell r="N2668">
            <v>62.414582616530915</v>
          </cell>
          <cell r="O2668" t="str">
            <v>工业</v>
          </cell>
          <cell r="P2668" t="str">
            <v>资本货物</v>
          </cell>
          <cell r="Q2668" t="str">
            <v>机械</v>
          </cell>
          <cell r="BC2668">
            <v>6.8027210884353227E-3</v>
          </cell>
          <cell r="BD2668">
            <v>-6.9182389937107069E-2</v>
          </cell>
          <cell r="BE2668">
            <v>-0.12226277372262788</v>
          </cell>
          <cell r="BF2668">
            <v>0.65157600402832028</v>
          </cell>
          <cell r="BG2668">
            <v>0.21262800216674804</v>
          </cell>
        </row>
        <row r="2669">
          <cell r="D2669" t="str">
            <v>电子设备和仪器</v>
          </cell>
          <cell r="M2669">
            <v>36.058265996499998</v>
          </cell>
          <cell r="N2669">
            <v>18.327633262761911</v>
          </cell>
          <cell r="O2669" t="str">
            <v>信息技术</v>
          </cell>
          <cell r="P2669" t="str">
            <v>技术硬件与设备</v>
          </cell>
          <cell r="Q2669" t="str">
            <v>电子设备、仪器和元件</v>
          </cell>
          <cell r="BC2669">
            <v>5.242566510172144E-2</v>
          </cell>
          <cell r="BD2669">
            <v>-5.1775147928994295E-3</v>
          </cell>
          <cell r="BE2669">
            <v>-8.6276720367726989E-2</v>
          </cell>
          <cell r="BF2669">
            <v>0.31312799453735352</v>
          </cell>
          <cell r="BG2669">
            <v>0.23793600082397462</v>
          </cell>
        </row>
        <row r="2670">
          <cell r="D2670" t="str">
            <v>广告</v>
          </cell>
          <cell r="M2670">
            <v>109.284416569</v>
          </cell>
          <cell r="N2670">
            <v>55.544332863823485</v>
          </cell>
          <cell r="O2670" t="str">
            <v>可选消费</v>
          </cell>
          <cell r="P2670" t="str">
            <v>媒体Ⅱ</v>
          </cell>
          <cell r="Q2670" t="str">
            <v>媒体Ⅲ</v>
          </cell>
          <cell r="BC2670">
            <v>0</v>
          </cell>
          <cell r="BD2670">
            <v>0</v>
          </cell>
          <cell r="BE2670">
            <v>1.1042899408284024</v>
          </cell>
          <cell r="BF2670">
            <v>0.83202003479003905</v>
          </cell>
          <cell r="BG2670">
            <v>0.67621200561523442</v>
          </cell>
        </row>
        <row r="2671">
          <cell r="D2671" t="str">
            <v>房地产开发</v>
          </cell>
          <cell r="M2671">
            <v>1671.904412499</v>
          </cell>
          <cell r="N2671">
            <v>849.67541550524527</v>
          </cell>
          <cell r="O2671" t="str">
            <v>金融</v>
          </cell>
          <cell r="P2671" t="str">
            <v>房地产</v>
          </cell>
          <cell r="Q2671" t="str">
            <v>房地产管理与开发</v>
          </cell>
          <cell r="BC2671">
            <v>-1.0799136069114496E-2</v>
          </cell>
          <cell r="BD2671">
            <v>3.4638554216867533E-2</v>
          </cell>
          <cell r="BE2671">
            <v>-0.20943613348676635</v>
          </cell>
          <cell r="BF2671">
            <v>0.86858398437499995</v>
          </cell>
          <cell r="BG2671">
            <v>0.43270801544189452</v>
          </cell>
        </row>
        <row r="2672">
          <cell r="D2672" t="str">
            <v>信息科技咨询与其它服务</v>
          </cell>
          <cell r="M2672">
            <v>57.163743000000004</v>
          </cell>
          <cell r="N2672">
            <v>29.047552696770843</v>
          </cell>
          <cell r="O2672" t="str">
            <v>信息技术</v>
          </cell>
          <cell r="P2672" t="str">
            <v>软件与服务</v>
          </cell>
          <cell r="Q2672" t="str">
            <v>信息技术服务</v>
          </cell>
          <cell r="BC2672">
            <v>-2.846975088967969E-2</v>
          </cell>
          <cell r="BD2672">
            <v>-8.6486486486486464E-2</v>
          </cell>
          <cell r="BE2672">
            <v>0.27432675044883303</v>
          </cell>
          <cell r="BF2672">
            <v>0.79110000610351561</v>
          </cell>
          <cell r="BG2672">
            <v>0.31345199584960937</v>
          </cell>
        </row>
        <row r="2673">
          <cell r="D2673" t="str">
            <v>综合类行业</v>
          </cell>
          <cell r="M2673">
            <v>26.7882362</v>
          </cell>
          <cell r="N2673">
            <v>13.611678996938272</v>
          </cell>
          <cell r="O2673" t="str">
            <v>工业</v>
          </cell>
          <cell r="P2673" t="str">
            <v>资本货物</v>
          </cell>
          <cell r="Q2673" t="str">
            <v>综合类Ⅲ</v>
          </cell>
          <cell r="BC2673">
            <v>5.122549019607852E-2</v>
          </cell>
          <cell r="BD2673">
            <v>2.1433674684448643E-2</v>
          </cell>
          <cell r="BE2673">
            <v>0.32622139764996894</v>
          </cell>
          <cell r="BF2673">
            <v>0.59880001068115229</v>
          </cell>
          <cell r="BG2673">
            <v>0.37156799316406253</v>
          </cell>
        </row>
        <row r="2674">
          <cell r="D2674" t="str">
            <v>铝</v>
          </cell>
          <cell r="M2674">
            <v>30.079745279999997</v>
          </cell>
          <cell r="N2674">
            <v>15.280165061318701</v>
          </cell>
          <cell r="O2674" t="str">
            <v>材料</v>
          </cell>
          <cell r="P2674" t="str">
            <v>材料Ⅱ</v>
          </cell>
          <cell r="Q2674" t="str">
            <v>金属、非金属与采矿</v>
          </cell>
          <cell r="BC2674">
            <v>4.8973880597014789E-2</v>
          </cell>
          <cell r="BD2674">
            <v>0.18931782125859326</v>
          </cell>
          <cell r="BE2674">
            <v>0.43982074263764404</v>
          </cell>
          <cell r="BF2674">
            <v>0.54151199340820311</v>
          </cell>
          <cell r="BG2674">
            <v>0.24178800582885743</v>
          </cell>
        </row>
        <row r="2675">
          <cell r="D2675" t="str">
            <v>特种化工</v>
          </cell>
          <cell r="M2675">
            <v>55.701750000000004</v>
          </cell>
          <cell r="N2675">
            <v>28.291924925571756</v>
          </cell>
          <cell r="O2675" t="str">
            <v>材料</v>
          </cell>
          <cell r="P2675" t="str">
            <v>材料Ⅱ</v>
          </cell>
          <cell r="Q2675" t="str">
            <v>化工</v>
          </cell>
          <cell r="BC2675">
            <v>0</v>
          </cell>
          <cell r="BD2675">
            <v>-1.713709677419354E-2</v>
          </cell>
          <cell r="BE2675">
            <v>0.1579555533170855</v>
          </cell>
          <cell r="BF2675">
            <v>0.44485198974609375</v>
          </cell>
          <cell r="BG2675">
            <v>0.14953200340270997</v>
          </cell>
        </row>
        <row r="2676">
          <cell r="D2676" t="str">
            <v>纺织品</v>
          </cell>
          <cell r="M2676">
            <v>39.846400000000003</v>
          </cell>
          <cell r="N2676">
            <v>20.237413715916666</v>
          </cell>
          <cell r="O2676" t="str">
            <v>可选消费</v>
          </cell>
          <cell r="P2676" t="str">
            <v>耐用消费品与服装</v>
          </cell>
          <cell r="Q2676" t="str">
            <v>纺织品、服装与奢侈品</v>
          </cell>
          <cell r="BC2676">
            <v>0</v>
          </cell>
          <cell r="BD2676">
            <v>0</v>
          </cell>
          <cell r="BE2676">
            <v>-7.7424612876935556E-2</v>
          </cell>
          <cell r="BF2676">
            <v>0.89239196777343754</v>
          </cell>
          <cell r="BG2676">
            <v>0.36134399414062501</v>
          </cell>
        </row>
        <row r="2677">
          <cell r="D2677" t="str">
            <v>汽车零售</v>
          </cell>
          <cell r="M2677">
            <v>228.01498720000001</v>
          </cell>
          <cell r="N2677">
            <v>115.7761590656426</v>
          </cell>
          <cell r="O2677" t="str">
            <v>可选消费</v>
          </cell>
          <cell r="P2677" t="str">
            <v>零售业</v>
          </cell>
          <cell r="Q2677" t="str">
            <v>专营零售</v>
          </cell>
          <cell r="BC2677">
            <v>0.13831997625408146</v>
          </cell>
          <cell r="BD2677">
            <v>4.0423223005968581E-2</v>
          </cell>
          <cell r="BE2677">
            <v>2.9013224821973553</v>
          </cell>
          <cell r="BF2677">
            <v>1.4444760131835936</v>
          </cell>
          <cell r="BG2677">
            <v>0.5959199905395508</v>
          </cell>
        </row>
        <row r="2678">
          <cell r="D2678" t="str">
            <v>纺织品</v>
          </cell>
          <cell r="M2678">
            <v>29.697432622499999</v>
          </cell>
          <cell r="N2678">
            <v>15.076840798077285</v>
          </cell>
          <cell r="O2678" t="str">
            <v>可选消费</v>
          </cell>
          <cell r="P2678" t="str">
            <v>耐用消费品与服装</v>
          </cell>
          <cell r="Q2678" t="str">
            <v>纺织品、服装与奢侈品</v>
          </cell>
          <cell r="BC2678">
            <v>9.1549295774647849E-2</v>
          </cell>
          <cell r="BD2678">
            <v>8.8483146067415766E-2</v>
          </cell>
          <cell r="BE2678">
            <v>0.49903288201160545</v>
          </cell>
          <cell r="BF2678">
            <v>0.74199600219726558</v>
          </cell>
          <cell r="BG2678">
            <v>0.29756399154663088</v>
          </cell>
        </row>
        <row r="2679">
          <cell r="D2679" t="str">
            <v>工业机械</v>
          </cell>
          <cell r="M2679">
            <v>146.79385771829999</v>
          </cell>
          <cell r="N2679">
            <v>74.505741868059729</v>
          </cell>
          <cell r="O2679" t="str">
            <v>工业</v>
          </cell>
          <cell r="P2679" t="str">
            <v>资本货物</v>
          </cell>
          <cell r="Q2679" t="str">
            <v>机械</v>
          </cell>
          <cell r="BC2679">
            <v>1.9759450171821191E-2</v>
          </cell>
          <cell r="BD2679">
            <v>-5.7936507936507974E-2</v>
          </cell>
          <cell r="BE2679">
            <v>0.65993619996252939</v>
          </cell>
          <cell r="BF2679">
            <v>0.4290959930419922</v>
          </cell>
          <cell r="BG2679">
            <v>0.2529360008239746</v>
          </cell>
        </row>
        <row r="2680">
          <cell r="D2680" t="str">
            <v>煤炭与消费用燃料</v>
          </cell>
          <cell r="M2680">
            <v>239.17608000000001</v>
          </cell>
          <cell r="N2680">
            <v>121.38526845706413</v>
          </cell>
          <cell r="O2680" t="str">
            <v>能源</v>
          </cell>
          <cell r="P2680" t="str">
            <v>能源Ⅱ</v>
          </cell>
          <cell r="Q2680" t="str">
            <v>石油、天然气与供消费用燃料</v>
          </cell>
          <cell r="BC2680">
            <v>-1.9379844961240355E-2</v>
          </cell>
          <cell r="BD2680">
            <v>-5.3615960099750594E-2</v>
          </cell>
          <cell r="BE2680">
            <v>-8.2224909310761762E-2</v>
          </cell>
          <cell r="BF2680">
            <v>0.26650800704956057</v>
          </cell>
          <cell r="BG2680">
            <v>-0.16507200241088868</v>
          </cell>
        </row>
        <row r="2681">
          <cell r="D2681" t="str">
            <v>贸易公司与工业品经销商</v>
          </cell>
          <cell r="M2681">
            <v>35.120368800000001</v>
          </cell>
          <cell r="N2681">
            <v>17.823197278924074</v>
          </cell>
          <cell r="O2681" t="str">
            <v>工业</v>
          </cell>
          <cell r="P2681" t="str">
            <v>资本货物</v>
          </cell>
          <cell r="Q2681" t="str">
            <v>贸易公司与工业品经销商Ⅲ</v>
          </cell>
          <cell r="BC2681">
            <v>5.0541516245487571E-3</v>
          </cell>
          <cell r="BD2681">
            <v>-7.5083056478405366E-2</v>
          </cell>
          <cell r="BE2681">
            <v>-1.5558698727015603E-2</v>
          </cell>
          <cell r="BF2681">
            <v>0.64364402770996099</v>
          </cell>
          <cell r="BG2681">
            <v>0.20857200622558594</v>
          </cell>
        </row>
        <row r="2682">
          <cell r="D2682" t="str">
            <v>商业印刷</v>
          </cell>
          <cell r="M2682">
            <v>88.941462262400009</v>
          </cell>
          <cell r="N2682">
            <v>45.136472000092901</v>
          </cell>
          <cell r="O2682" t="str">
            <v>工业</v>
          </cell>
          <cell r="P2682" t="str">
            <v>商业和专业服务</v>
          </cell>
          <cell r="Q2682" t="str">
            <v>商业服务与用品</v>
          </cell>
          <cell r="BC2682">
            <v>0.10000000000000006</v>
          </cell>
          <cell r="BD2682">
            <v>4.2330097087378636E-2</v>
          </cell>
          <cell r="BE2682">
            <v>0.47449292731032988</v>
          </cell>
          <cell r="BF2682">
            <v>0.57070800781249997</v>
          </cell>
          <cell r="BG2682">
            <v>0.19665599822998048</v>
          </cell>
        </row>
        <row r="2683">
          <cell r="D2683" t="str">
            <v>综合类行业</v>
          </cell>
          <cell r="M2683">
            <v>155.55878206100002</v>
          </cell>
          <cell r="N2683">
            <v>78.941460193832825</v>
          </cell>
          <cell r="O2683" t="str">
            <v>工业</v>
          </cell>
          <cell r="P2683" t="str">
            <v>资本货物</v>
          </cell>
          <cell r="Q2683" t="str">
            <v>综合类Ⅲ</v>
          </cell>
          <cell r="BC2683">
            <v>4.9232158988256544E-2</v>
          </cell>
          <cell r="BD2683">
            <v>-0.16708497669415562</v>
          </cell>
          <cell r="BE2683">
            <v>0.27637244548310064</v>
          </cell>
          <cell r="BF2683">
            <v>0.67334396362304683</v>
          </cell>
          <cell r="BG2683">
            <v>0.45118801116943358</v>
          </cell>
        </row>
        <row r="2684">
          <cell r="D2684" t="str">
            <v>机动车零配件与设备</v>
          </cell>
          <cell r="M2684">
            <v>44.528399999999998</v>
          </cell>
          <cell r="N2684">
            <v>22.591823985460646</v>
          </cell>
          <cell r="O2684" t="str">
            <v>可选消费</v>
          </cell>
          <cell r="P2684" t="str">
            <v>汽车与汽车零部件</v>
          </cell>
          <cell r="Q2684" t="str">
            <v>汽车零配件</v>
          </cell>
          <cell r="BC2684">
            <v>0.13618827160493818</v>
          </cell>
          <cell r="BD2684">
            <v>0.18749999999999994</v>
          </cell>
          <cell r="BE2684">
            <v>0.68478260869565211</v>
          </cell>
          <cell r="BF2684">
            <v>0.75239997863769537</v>
          </cell>
          <cell r="BG2684">
            <v>0.25804800033569336</v>
          </cell>
        </row>
        <row r="2685">
          <cell r="D2685" t="str">
            <v>金属非金属</v>
          </cell>
          <cell r="M2685">
            <v>36.475978552000001</v>
          </cell>
          <cell r="N2685">
            <v>18.505718289073059</v>
          </cell>
          <cell r="O2685" t="str">
            <v>材料</v>
          </cell>
          <cell r="P2685" t="str">
            <v>材料Ⅱ</v>
          </cell>
          <cell r="Q2685" t="str">
            <v>金属、非金属与采矿</v>
          </cell>
          <cell r="BC2685">
            <v>-2.5706940874036356E-3</v>
          </cell>
          <cell r="BD2685">
            <v>6.7462376751426575E-3</v>
          </cell>
          <cell r="BE2685">
            <v>-4.1067761806982466E-3</v>
          </cell>
          <cell r="BF2685">
            <v>0.46069198608398437</v>
          </cell>
          <cell r="BG2685">
            <v>0.26129999160766604</v>
          </cell>
        </row>
        <row r="2686">
          <cell r="D2686" t="str">
            <v>基础化工</v>
          </cell>
          <cell r="M2686">
            <v>43.531036967700004</v>
          </cell>
          <cell r="N2686">
            <v>22.083841397739825</v>
          </cell>
          <cell r="O2686" t="str">
            <v>材料</v>
          </cell>
          <cell r="P2686" t="str">
            <v>材料Ⅱ</v>
          </cell>
          <cell r="Q2686" t="str">
            <v>化工</v>
          </cell>
          <cell r="BC2686">
            <v>1.0769230769230812E-2</v>
          </cell>
          <cell r="BD2686">
            <v>-2.2321428571428492E-2</v>
          </cell>
          <cell r="BE2686">
            <v>-0.29308448857348091</v>
          </cell>
          <cell r="BF2686">
            <v>0.24398399353027345</v>
          </cell>
          <cell r="BG2686">
            <v>6.2568001747131341E-2</v>
          </cell>
        </row>
        <row r="2687">
          <cell r="D2687" t="str">
            <v>半导体产品</v>
          </cell>
          <cell r="M2687">
            <v>62.023170692400001</v>
          </cell>
          <cell r="N2687">
            <v>31.451746082088533</v>
          </cell>
          <cell r="O2687" t="str">
            <v>信息技术</v>
          </cell>
          <cell r="P2687" t="str">
            <v>半导体与半导体生产设备</v>
          </cell>
          <cell r="Q2687" t="str">
            <v>半导体产品与半导体设备</v>
          </cell>
          <cell r="BC2687">
            <v>1.1750881316098458E-3</v>
          </cell>
          <cell r="BD2687">
            <v>-4.8044692737430138E-2</v>
          </cell>
          <cell r="BE2687">
            <v>-0.23824004622579806</v>
          </cell>
          <cell r="BF2687">
            <v>0.24711599349975585</v>
          </cell>
          <cell r="BG2687">
            <v>0.13473600387573242</v>
          </cell>
        </row>
        <row r="2688">
          <cell r="D2688" t="str">
            <v>信息科技咨询与其它服务</v>
          </cell>
          <cell r="M2688">
            <v>99.302000000000007</v>
          </cell>
          <cell r="N2688">
            <v>50.353658784402782</v>
          </cell>
          <cell r="O2688" t="str">
            <v>信息技术</v>
          </cell>
          <cell r="P2688" t="str">
            <v>软件与服务</v>
          </cell>
          <cell r="Q2688" t="str">
            <v>信息技术服务</v>
          </cell>
          <cell r="BC2688">
            <v>0.13550939663699318</v>
          </cell>
          <cell r="BD2688">
            <v>0.11673151750972774</v>
          </cell>
          <cell r="BE2688">
            <v>-0.10873890813456487</v>
          </cell>
          <cell r="BF2688">
            <v>0.69339599609375002</v>
          </cell>
          <cell r="BG2688">
            <v>0.23263200759887695</v>
          </cell>
        </row>
        <row r="2689">
          <cell r="D2689" t="str">
            <v>电气部件与设备</v>
          </cell>
          <cell r="M2689">
            <v>64.978728000000004</v>
          </cell>
          <cell r="N2689">
            <v>32.946862989313892</v>
          </cell>
          <cell r="O2689" t="str">
            <v>工业</v>
          </cell>
          <cell r="P2689" t="str">
            <v>资本货物</v>
          </cell>
          <cell r="Q2689" t="str">
            <v>电气设备</v>
          </cell>
          <cell r="BC2689">
            <v>0</v>
          </cell>
          <cell r="BD2689">
            <v>0</v>
          </cell>
          <cell r="BE2689">
            <v>0.17908082408874815</v>
          </cell>
          <cell r="BF2689">
            <v>0.71516403198242184</v>
          </cell>
          <cell r="BG2689">
            <v>0.19473600387573242</v>
          </cell>
        </row>
        <row r="2690">
          <cell r="D2690" t="str">
            <v>工业机械</v>
          </cell>
          <cell r="M2690">
            <v>73.756799999999998</v>
          </cell>
          <cell r="N2690">
            <v>37.388777082496524</v>
          </cell>
          <cell r="O2690" t="str">
            <v>工业</v>
          </cell>
          <cell r="P2690" t="str">
            <v>资本货物</v>
          </cell>
          <cell r="Q2690" t="str">
            <v>机械</v>
          </cell>
          <cell r="BC2690">
            <v>-2.2332506203473913E-2</v>
          </cell>
          <cell r="BD2690">
            <v>-6.8557919621749383E-2</v>
          </cell>
          <cell r="BE2690">
            <v>0.6092536546311389</v>
          </cell>
          <cell r="BF2690">
            <v>1.1492639923095702</v>
          </cell>
          <cell r="BG2690">
            <v>0</v>
          </cell>
        </row>
        <row r="2691">
          <cell r="D2691" t="str">
            <v>贸易公司与工业品经销商</v>
          </cell>
          <cell r="M2691">
            <v>48.394368</v>
          </cell>
          <cell r="N2691">
            <v>24.526723120442441</v>
          </cell>
          <cell r="O2691" t="str">
            <v>工业</v>
          </cell>
          <cell r="P2691" t="str">
            <v>资本货物</v>
          </cell>
          <cell r="Q2691" t="str">
            <v>贸易公司与工业品经销商Ⅲ</v>
          </cell>
          <cell r="BC2691">
            <v>8.8034188034188138E-2</v>
          </cell>
          <cell r="BD2691">
            <v>2.495974235104674E-2</v>
          </cell>
          <cell r="BE2691">
            <v>-0.41092086996760757</v>
          </cell>
          <cell r="BF2691">
            <v>0.43593601226806639</v>
          </cell>
          <cell r="BG2691">
            <v>0.30034799575805665</v>
          </cell>
        </row>
        <row r="2692">
          <cell r="D2692" t="str">
            <v>金属非金属</v>
          </cell>
          <cell r="M2692">
            <v>459.94615560000005</v>
          </cell>
          <cell r="N2692">
            <v>233.1009566127222</v>
          </cell>
          <cell r="O2692" t="str">
            <v>材料</v>
          </cell>
          <cell r="P2692" t="str">
            <v>材料Ⅱ</v>
          </cell>
          <cell r="Q2692" t="str">
            <v>金属、非金属与采矿</v>
          </cell>
          <cell r="BC2692">
            <v>-1.3250194855806698E-2</v>
          </cell>
          <cell r="BD2692">
            <v>1.6051364365971051E-2</v>
          </cell>
          <cell r="BE2692">
            <v>-0.28422866584586526</v>
          </cell>
          <cell r="BF2692">
            <v>-4.3499999046325684E-2</v>
          </cell>
          <cell r="BG2692">
            <v>2.1263999938964842E-2</v>
          </cell>
        </row>
        <row r="2693">
          <cell r="D2693" t="str">
            <v>西药</v>
          </cell>
          <cell r="M2693">
            <v>33.123856719999992</v>
          </cell>
          <cell r="N2693">
            <v>16.776471794550925</v>
          </cell>
          <cell r="O2693" t="str">
            <v>医疗保健</v>
          </cell>
          <cell r="P2693" t="str">
            <v>制药、生物科技与生命科学</v>
          </cell>
          <cell r="Q2693" t="str">
            <v>制药</v>
          </cell>
          <cell r="BC2693">
            <v>9.1492776886035215E-2</v>
          </cell>
          <cell r="BD2693">
            <v>-1.6274864376130176E-2</v>
          </cell>
          <cell r="BE2693">
            <v>0.3920163766632549</v>
          </cell>
          <cell r="BF2693">
            <v>0.31841999053955078</v>
          </cell>
          <cell r="BG2693">
            <v>0.19076400756835937</v>
          </cell>
        </row>
        <row r="2694">
          <cell r="D2694" t="str">
            <v>食品加工与肉类</v>
          </cell>
          <cell r="M2694">
            <v>56.818300638499998</v>
          </cell>
          <cell r="N2694">
            <v>28.772873139407402</v>
          </cell>
          <cell r="O2694" t="str">
            <v>日常消费</v>
          </cell>
          <cell r="P2694" t="str">
            <v>食品、饮料与烟草</v>
          </cell>
          <cell r="Q2694" t="str">
            <v>食品</v>
          </cell>
          <cell r="BC2694">
            <v>-2.3722627737226418E-2</v>
          </cell>
          <cell r="BD2694">
            <v>-8.5470085470085472E-2</v>
          </cell>
          <cell r="BE2694">
            <v>-0.14400000000000004</v>
          </cell>
          <cell r="BF2694">
            <v>0.55332000732421871</v>
          </cell>
          <cell r="BG2694">
            <v>9.5340003967285161E-2</v>
          </cell>
        </row>
        <row r="2695">
          <cell r="D2695" t="str">
            <v>机动车零配件与设备</v>
          </cell>
          <cell r="M2695">
            <v>49.156125599999996</v>
          </cell>
          <cell r="N2695">
            <v>24.890572058986105</v>
          </cell>
          <cell r="O2695" t="str">
            <v>可选消费</v>
          </cell>
          <cell r="P2695" t="str">
            <v>汽车与汽车零部件</v>
          </cell>
          <cell r="Q2695" t="str">
            <v>汽车零配件</v>
          </cell>
          <cell r="BC2695">
            <v>9.6069868995634251E-3</v>
          </cell>
          <cell r="BD2695">
            <v>-8.1810961080222344E-2</v>
          </cell>
          <cell r="BE2695">
            <v>0.1724137931034484</v>
          </cell>
          <cell r="BF2695">
            <v>0.74150398254394534</v>
          </cell>
          <cell r="BG2695">
            <v>8.8092002868652347E-2</v>
          </cell>
        </row>
        <row r="2696">
          <cell r="D2696" t="str">
            <v>纸制品</v>
          </cell>
          <cell r="M2696">
            <v>27.725489999999997</v>
          </cell>
          <cell r="N2696">
            <v>14.038420617282405</v>
          </cell>
          <cell r="O2696" t="str">
            <v>材料</v>
          </cell>
          <cell r="P2696" t="str">
            <v>材料Ⅱ</v>
          </cell>
          <cell r="Q2696" t="str">
            <v>纸与林木产品</v>
          </cell>
          <cell r="BC2696">
            <v>5.7854560064282752E-2</v>
          </cell>
          <cell r="BD2696">
            <v>0.11190878378378373</v>
          </cell>
          <cell r="BE2696">
            <v>0.77545515846257573</v>
          </cell>
          <cell r="BF2696">
            <v>0.48945598602294921</v>
          </cell>
          <cell r="BG2696">
            <v>0.24039600372314454</v>
          </cell>
        </row>
        <row r="2697">
          <cell r="D2697" t="str">
            <v>电子设备和仪器</v>
          </cell>
          <cell r="M2697">
            <v>32.447812134499998</v>
          </cell>
          <cell r="N2697">
            <v>16.429296002609735</v>
          </cell>
          <cell r="O2697" t="str">
            <v>信息技术</v>
          </cell>
          <cell r="P2697" t="str">
            <v>技术硬件与设备</v>
          </cell>
          <cell r="Q2697" t="str">
            <v>电子设备、仪器和元件</v>
          </cell>
          <cell r="BC2697">
            <v>8.5360648740928614E-4</v>
          </cell>
          <cell r="BD2697">
            <v>-0.11442598187311183</v>
          </cell>
          <cell r="BE2697">
            <v>-0.40039788669765808</v>
          </cell>
          <cell r="BF2697">
            <v>0.7477559661865234</v>
          </cell>
          <cell r="BG2697">
            <v>0</v>
          </cell>
        </row>
        <row r="2698">
          <cell r="D2698" t="str">
            <v>公路运输</v>
          </cell>
          <cell r="M2698">
            <v>46.023000000000003</v>
          </cell>
          <cell r="N2698">
            <v>23.29965574091435</v>
          </cell>
          <cell r="O2698" t="str">
            <v>工业</v>
          </cell>
          <cell r="P2698" t="str">
            <v>运输</v>
          </cell>
          <cell r="Q2698" t="str">
            <v>公路与铁路运输</v>
          </cell>
          <cell r="BC2698">
            <v>3.0381050463439741E-2</v>
          </cell>
          <cell r="BD2698">
            <v>-1.3799901429275386E-2</v>
          </cell>
          <cell r="BE2698">
            <v>-0.30034965034965033</v>
          </cell>
          <cell r="BF2698">
            <v>0.10107600212097168</v>
          </cell>
          <cell r="BG2698">
            <v>2.603999972343445E-3</v>
          </cell>
        </row>
        <row r="2699">
          <cell r="D2699" t="str">
            <v>房地产经营公司</v>
          </cell>
          <cell r="M2699">
            <v>34.572800000000001</v>
          </cell>
          <cell r="N2699">
            <v>17.501866177803084</v>
          </cell>
          <cell r="O2699" t="str">
            <v>金融</v>
          </cell>
          <cell r="P2699" t="str">
            <v>房地产</v>
          </cell>
          <cell r="Q2699" t="str">
            <v>房地产管理与开发</v>
          </cell>
          <cell r="BC2699">
            <v>6.1818181818181793E-2</v>
          </cell>
          <cell r="BD2699">
            <v>-3.3112582781456956E-2</v>
          </cell>
          <cell r="BE2699">
            <v>1.0679886685552409</v>
          </cell>
          <cell r="BF2699">
            <v>0.9982920074462891</v>
          </cell>
          <cell r="BG2699">
            <v>0.49812000274658202</v>
          </cell>
        </row>
        <row r="2700">
          <cell r="D2700" t="str">
            <v>百货商店</v>
          </cell>
          <cell r="M2700">
            <v>123.8109618172</v>
          </cell>
          <cell r="N2700">
            <v>62.650795468790612</v>
          </cell>
          <cell r="O2700" t="str">
            <v>可选消费</v>
          </cell>
          <cell r="P2700" t="str">
            <v>零售业</v>
          </cell>
          <cell r="Q2700" t="str">
            <v>多元化零售</v>
          </cell>
          <cell r="BC2700">
            <v>0.10438413361169102</v>
          </cell>
          <cell r="BD2700">
            <v>0.10438413361169102</v>
          </cell>
          <cell r="BE2700">
            <v>5.1155688434201423E-2</v>
          </cell>
          <cell r="BF2700">
            <v>0.76215599060058592</v>
          </cell>
          <cell r="BG2700">
            <v>0.28797599792480466</v>
          </cell>
        </row>
        <row r="2701">
          <cell r="D2701" t="str">
            <v>水务</v>
          </cell>
          <cell r="M2701">
            <v>37.460222280000004</v>
          </cell>
          <cell r="N2701">
            <v>18.95488243784537</v>
          </cell>
          <cell r="O2701" t="str">
            <v>公用事业</v>
          </cell>
          <cell r="P2701" t="str">
            <v>公用事业Ⅱ</v>
          </cell>
          <cell r="Q2701" t="str">
            <v>水务Ⅲ</v>
          </cell>
          <cell r="BC2701">
            <v>0</v>
          </cell>
          <cell r="BD2701">
            <v>-1.0891089108910835E-2</v>
          </cell>
          <cell r="BE2701">
            <v>1.3184584178499065E-2</v>
          </cell>
          <cell r="BF2701">
            <v>0.49212001800537108</v>
          </cell>
          <cell r="BG2701">
            <v>0.16575599670410157</v>
          </cell>
        </row>
        <row r="2702">
          <cell r="D2702" t="str">
            <v>休闲用品</v>
          </cell>
          <cell r="M2702">
            <v>69.139032553799993</v>
          </cell>
          <cell r="N2702">
            <v>34.983125158358</v>
          </cell>
          <cell r="O2702" t="str">
            <v>可选消费</v>
          </cell>
          <cell r="P2702" t="str">
            <v>耐用消费品与服装</v>
          </cell>
          <cell r="Q2702" t="str">
            <v>休闲设备与用品</v>
          </cell>
          <cell r="BC2702">
            <v>3.1249999999999917E-2</v>
          </cell>
          <cell r="BD2702">
            <v>-0.10428571428571434</v>
          </cell>
          <cell r="BE2702">
            <v>0.33974358974358976</v>
          </cell>
          <cell r="BF2702">
            <v>0.73689598083496088</v>
          </cell>
          <cell r="BG2702">
            <v>0.32891998291015623</v>
          </cell>
        </row>
        <row r="2703">
          <cell r="D2703" t="str">
            <v>工业机械</v>
          </cell>
          <cell r="M2703">
            <v>44.82</v>
          </cell>
          <cell r="N2703">
            <v>22.677990190868055</v>
          </cell>
          <cell r="O2703" t="str">
            <v>工业</v>
          </cell>
          <cell r="P2703" t="str">
            <v>资本货物</v>
          </cell>
          <cell r="Q2703" t="str">
            <v>机械</v>
          </cell>
          <cell r="BC2703">
            <v>0.26610169491525409</v>
          </cell>
          <cell r="BD2703">
            <v>3.319502074688787E-2</v>
          </cell>
          <cell r="BE2703">
            <v>0.25722170784754927</v>
          </cell>
          <cell r="BF2703">
            <v>0.576515998840332</v>
          </cell>
          <cell r="BG2703">
            <v>0.20036399841308594</v>
          </cell>
        </row>
        <row r="2704">
          <cell r="D2704" t="str">
            <v>信息科技咨询与其它服务</v>
          </cell>
          <cell r="M2704">
            <v>81.635248390499996</v>
          </cell>
          <cell r="N2704">
            <v>41.303229720316665</v>
          </cell>
          <cell r="O2704" t="str">
            <v>信息技术</v>
          </cell>
          <cell r="P2704" t="str">
            <v>软件与服务</v>
          </cell>
          <cell r="Q2704" t="str">
            <v>信息技术服务</v>
          </cell>
          <cell r="BC2704">
            <v>3.9247096515819001E-2</v>
          </cell>
          <cell r="BD2704">
            <v>-4.595588235294118E-2</v>
          </cell>
          <cell r="BE2704">
            <v>2.1801470588235294</v>
          </cell>
          <cell r="BF2704">
            <v>1.6862879943847657</v>
          </cell>
          <cell r="BG2704">
            <v>0.63578399658203122</v>
          </cell>
        </row>
        <row r="2705">
          <cell r="D2705" t="str">
            <v>电子元件</v>
          </cell>
          <cell r="M2705">
            <v>65.772000000000006</v>
          </cell>
          <cell r="N2705">
            <v>33.271003082090274</v>
          </cell>
          <cell r="O2705" t="str">
            <v>信息技术</v>
          </cell>
          <cell r="P2705" t="str">
            <v>技术硬件与设备</v>
          </cell>
          <cell r="Q2705" t="str">
            <v>电子设备、仪器和元件</v>
          </cell>
          <cell r="BC2705">
            <v>2.295632698768198E-2</v>
          </cell>
          <cell r="BD2705">
            <v>-0.10485056344928959</v>
          </cell>
          <cell r="BE2705">
            <v>0.56925336274683835</v>
          </cell>
          <cell r="BF2705">
            <v>0.46658401489257811</v>
          </cell>
          <cell r="BG2705">
            <v>0</v>
          </cell>
        </row>
        <row r="2706">
          <cell r="D2706" t="str">
            <v>机动车零配件与设备</v>
          </cell>
          <cell r="M2706">
            <v>98.630409599999993</v>
          </cell>
          <cell r="N2706">
            <v>49.879958922137341</v>
          </cell>
          <cell r="O2706" t="str">
            <v>可选消费</v>
          </cell>
          <cell r="P2706" t="str">
            <v>汽车与汽车零部件</v>
          </cell>
          <cell r="Q2706" t="str">
            <v>汽车零配件</v>
          </cell>
          <cell r="BC2706">
            <v>-1.386748844375961E-2</v>
          </cell>
          <cell r="BD2706">
            <v>-0.10739191073919117</v>
          </cell>
          <cell r="BE2706">
            <v>1.3259847277615258</v>
          </cell>
          <cell r="BF2706">
            <v>0.63727199554443359</v>
          </cell>
          <cell r="BG2706">
            <v>0.27008399963378904</v>
          </cell>
        </row>
        <row r="2707">
          <cell r="D2707" t="str">
            <v>基础化工</v>
          </cell>
          <cell r="M2707">
            <v>32.58</v>
          </cell>
          <cell r="N2707">
            <v>16.474461871186342</v>
          </cell>
          <cell r="O2707" t="str">
            <v>材料</v>
          </cell>
          <cell r="P2707" t="str">
            <v>材料Ⅱ</v>
          </cell>
          <cell r="Q2707" t="str">
            <v>化工</v>
          </cell>
          <cell r="BC2707">
            <v>7.0302233902759428E-2</v>
          </cell>
          <cell r="BD2707">
            <v>-3.3807829181494678E-2</v>
          </cell>
          <cell r="BE2707">
            <v>0.57292981905732132</v>
          </cell>
          <cell r="BF2707">
            <v>0.51830398559570312</v>
          </cell>
          <cell r="BG2707">
            <v>0.28165199279785158</v>
          </cell>
        </row>
        <row r="2708">
          <cell r="D2708" t="str">
            <v>电子设备和仪器</v>
          </cell>
          <cell r="M2708">
            <v>132.78645329999998</v>
          </cell>
          <cell r="N2708">
            <v>67.123535831393511</v>
          </cell>
          <cell r="O2708" t="str">
            <v>信息技术</v>
          </cell>
          <cell r="P2708" t="str">
            <v>技术硬件与设备</v>
          </cell>
          <cell r="Q2708" t="str">
            <v>电子设备、仪器和元件</v>
          </cell>
          <cell r="BC2708">
            <v>0.11008039579468135</v>
          </cell>
          <cell r="BD2708">
            <v>0.21283783783783772</v>
          </cell>
          <cell r="BE2708">
            <v>0.16636880425043765</v>
          </cell>
          <cell r="BF2708">
            <v>0.50279998779296875</v>
          </cell>
          <cell r="BG2708">
            <v>0.17930400848388672</v>
          </cell>
        </row>
        <row r="2709">
          <cell r="D2709" t="str">
            <v>互联网软件与服务</v>
          </cell>
          <cell r="M2709">
            <v>218.5036777924</v>
          </cell>
          <cell r="N2709">
            <v>110.42360644943919</v>
          </cell>
          <cell r="O2709" t="str">
            <v>信息技术</v>
          </cell>
          <cell r="P2709" t="str">
            <v>软件与服务</v>
          </cell>
          <cell r="Q2709" t="str">
            <v>互联网软件与服务Ⅲ</v>
          </cell>
          <cell r="BC2709">
            <v>2.573839662447255E-2</v>
          </cell>
          <cell r="BD2709">
            <v>-4.2913385826771649E-2</v>
          </cell>
          <cell r="BE2709">
            <v>-0.47186617423419513</v>
          </cell>
          <cell r="BF2709">
            <v>9.6155996322631831E-2</v>
          </cell>
          <cell r="BG2709">
            <v>0.27085199356079104</v>
          </cell>
        </row>
        <row r="2710">
          <cell r="D2710" t="str">
            <v>环境与设施服务</v>
          </cell>
          <cell r="M2710">
            <v>187.68731079599999</v>
          </cell>
          <cell r="N2710">
            <v>94.835235126107946</v>
          </cell>
          <cell r="O2710" t="str">
            <v>工业</v>
          </cell>
          <cell r="P2710" t="str">
            <v>商业和专业服务</v>
          </cell>
          <cell r="Q2710" t="str">
            <v>商业服务与用品</v>
          </cell>
          <cell r="BC2710">
            <v>0.11097019657577679</v>
          </cell>
          <cell r="BD2710">
            <v>-9.5975232198142385E-2</v>
          </cell>
          <cell r="BE2710">
            <v>0.64717948717948737</v>
          </cell>
          <cell r="BF2710">
            <v>0.89617202758789061</v>
          </cell>
          <cell r="BG2710">
            <v>0.43552799224853517</v>
          </cell>
        </row>
        <row r="2711">
          <cell r="D2711" t="str">
            <v>互联网软件与服务</v>
          </cell>
          <cell r="M2711">
            <v>71.479200000000006</v>
          </cell>
          <cell r="N2711">
            <v>36.103806190888882</v>
          </cell>
          <cell r="O2711" t="str">
            <v>信息技术</v>
          </cell>
          <cell r="P2711" t="str">
            <v>软件与服务</v>
          </cell>
          <cell r="Q2711" t="str">
            <v>互联网软件与服务Ⅲ</v>
          </cell>
          <cell r="BC2711">
            <v>0</v>
          </cell>
          <cell r="BD2711">
            <v>0</v>
          </cell>
          <cell r="BE2711">
            <v>-0.61715720912897709</v>
          </cell>
          <cell r="BF2711">
            <v>0.32443199157714842</v>
          </cell>
          <cell r="BG2711">
            <v>0</v>
          </cell>
        </row>
        <row r="2712">
          <cell r="D2712" t="str">
            <v>电气部件与设备</v>
          </cell>
          <cell r="M2712">
            <v>66.497242240000006</v>
          </cell>
          <cell r="N2712">
            <v>33.572535731798652</v>
          </cell>
          <cell r="O2712" t="str">
            <v>工业</v>
          </cell>
          <cell r="P2712" t="str">
            <v>资本货物</v>
          </cell>
          <cell r="Q2712" t="str">
            <v>电气设备</v>
          </cell>
          <cell r="BC2712">
            <v>0</v>
          </cell>
          <cell r="BD2712">
            <v>0</v>
          </cell>
          <cell r="BE2712">
            <v>-5.2964426877470348E-2</v>
          </cell>
          <cell r="BF2712">
            <v>0.70957199096679691</v>
          </cell>
          <cell r="BG2712">
            <v>0</v>
          </cell>
        </row>
        <row r="2713">
          <cell r="D2713" t="str">
            <v>综合类行业</v>
          </cell>
          <cell r="M2713">
            <v>44.745040640399999</v>
          </cell>
          <cell r="N2713">
            <v>22.588183721873186</v>
          </cell>
          <cell r="O2713" t="str">
            <v>工业</v>
          </cell>
          <cell r="P2713" t="str">
            <v>资本货物</v>
          </cell>
          <cell r="Q2713" t="str">
            <v>综合类Ⅲ</v>
          </cell>
          <cell r="BC2713">
            <v>4.1152263374485938E-3</v>
          </cell>
          <cell r="BD2713">
            <v>-2.0080321285140493E-2</v>
          </cell>
          <cell r="BE2713">
            <v>-0.19824753559693323</v>
          </cell>
          <cell r="BF2713">
            <v>0.24239999771118165</v>
          </cell>
          <cell r="BG2713">
            <v>0.20299200057983399</v>
          </cell>
        </row>
        <row r="2714">
          <cell r="D2714" t="str">
            <v>消费电子产品</v>
          </cell>
          <cell r="M2714">
            <v>119.47465529999999</v>
          </cell>
          <cell r="N2714">
            <v>60.313116406665742</v>
          </cell>
          <cell r="O2714" t="str">
            <v>可选消费</v>
          </cell>
          <cell r="P2714" t="str">
            <v>耐用消费品与服装</v>
          </cell>
          <cell r="Q2714" t="str">
            <v>家庭耐用消费品</v>
          </cell>
          <cell r="BC2714">
            <v>0</v>
          </cell>
          <cell r="BD2714">
            <v>0</v>
          </cell>
          <cell r="BE2714">
            <v>0.44348084215342082</v>
          </cell>
          <cell r="BF2714">
            <v>0.69788398742675783</v>
          </cell>
          <cell r="BG2714">
            <v>0.47348400115966799</v>
          </cell>
        </row>
        <row r="2715">
          <cell r="D2715" t="str">
            <v>电脑存储与外围设备</v>
          </cell>
          <cell r="M2715">
            <v>49.323642678199995</v>
          </cell>
          <cell r="N2715">
            <v>24.890373000634582</v>
          </cell>
          <cell r="O2715" t="str">
            <v>信息技术</v>
          </cell>
          <cell r="P2715" t="str">
            <v>技术硬件与设备</v>
          </cell>
          <cell r="Q2715" t="str">
            <v>电脑与外围设备</v>
          </cell>
          <cell r="BC2715">
            <v>7.2629969418960189E-2</v>
          </cell>
          <cell r="BD2715">
            <v>-3.9041095890410979E-2</v>
          </cell>
          <cell r="BE2715">
            <v>0.91405184174624821</v>
          </cell>
          <cell r="BF2715">
            <v>0.85130401611328121</v>
          </cell>
          <cell r="BG2715">
            <v>0.35844001770019529</v>
          </cell>
        </row>
        <row r="2716">
          <cell r="D2716" t="str">
            <v>复合型公用事业</v>
          </cell>
          <cell r="M2716">
            <v>140.65823982880002</v>
          </cell>
          <cell r="N2716">
            <v>70.973313718534442</v>
          </cell>
          <cell r="O2716" t="str">
            <v>公用事业</v>
          </cell>
          <cell r="P2716" t="str">
            <v>公用事业Ⅱ</v>
          </cell>
          <cell r="Q2716" t="str">
            <v>复合型公用事业Ⅲ</v>
          </cell>
          <cell r="BC2716">
            <v>1.5488867376573102E-2</v>
          </cell>
          <cell r="BD2716">
            <v>8.8174273858921126E-2</v>
          </cell>
          <cell r="BE2716">
            <v>-4.1138804955493817E-2</v>
          </cell>
          <cell r="BF2716">
            <v>0.24333599090576172</v>
          </cell>
          <cell r="BG2716">
            <v>4.1795997619628905E-2</v>
          </cell>
        </row>
        <row r="2717">
          <cell r="D2717" t="str">
            <v>工业机械</v>
          </cell>
          <cell r="M2717">
            <v>39.530760000000001</v>
          </cell>
          <cell r="N2717">
            <v>19.945318924712577</v>
          </cell>
          <cell r="O2717" t="str">
            <v>工业</v>
          </cell>
          <cell r="P2717" t="str">
            <v>资本货物</v>
          </cell>
          <cell r="Q2717" t="str">
            <v>机械</v>
          </cell>
          <cell r="BC2717">
            <v>-7.4209803023362234E-2</v>
          </cell>
          <cell r="BD2717">
            <v>9.0075512405609584E-2</v>
          </cell>
          <cell r="BE2717">
            <v>0.82565492321589884</v>
          </cell>
          <cell r="BF2717">
            <v>0.56108398437499996</v>
          </cell>
          <cell r="BG2717">
            <v>0.31927200317382814</v>
          </cell>
        </row>
        <row r="2718">
          <cell r="D2718" t="str">
            <v>房地产开发</v>
          </cell>
          <cell r="M2718">
            <v>48.568909524300004</v>
          </cell>
          <cell r="N2718">
            <v>24.500866829689738</v>
          </cell>
          <cell r="O2718" t="str">
            <v>金融</v>
          </cell>
          <cell r="P2718" t="str">
            <v>房地产</v>
          </cell>
          <cell r="Q2718" t="str">
            <v>房地产管理与开发</v>
          </cell>
          <cell r="BC2718">
            <v>-9.9999999999999603E-3</v>
          </cell>
          <cell r="BD2718">
            <v>-0.1369230769230769</v>
          </cell>
          <cell r="BE2718">
            <v>1.2641255605381165</v>
          </cell>
          <cell r="BF2718">
            <v>0.63509998321533201</v>
          </cell>
          <cell r="BG2718">
            <v>0.43311599731445311</v>
          </cell>
        </row>
        <row r="2719">
          <cell r="D2719" t="str">
            <v>石油与天然气的炼制和销售</v>
          </cell>
          <cell r="M2719">
            <v>48.079332000000001</v>
          </cell>
          <cell r="N2719">
            <v>24.252735035661569</v>
          </cell>
          <cell r="O2719" t="str">
            <v>能源</v>
          </cell>
          <cell r="P2719" t="str">
            <v>能源Ⅱ</v>
          </cell>
          <cell r="Q2719" t="str">
            <v>石油、天然气与供消费用燃料</v>
          </cell>
          <cell r="BC2719">
            <v>-4.0307101727447212E-2</v>
          </cell>
          <cell r="BD2719">
            <v>-2.534113060428848E-2</v>
          </cell>
          <cell r="BE2719">
            <v>-0.11442847862970343</v>
          </cell>
          <cell r="BF2719">
            <v>0.24231599807739257</v>
          </cell>
          <cell r="BG2719">
            <v>0.19424400329589844</v>
          </cell>
        </row>
        <row r="2720">
          <cell r="D2720" t="str">
            <v>建材</v>
          </cell>
          <cell r="M2720">
            <v>55.641600000000004</v>
          </cell>
          <cell r="N2720">
            <v>28.064789933072916</v>
          </cell>
          <cell r="O2720" t="str">
            <v>材料</v>
          </cell>
          <cell r="P2720" t="str">
            <v>材料Ⅱ</v>
          </cell>
          <cell r="Q2720" t="str">
            <v>建材Ⅲ</v>
          </cell>
          <cell r="BC2720">
            <v>7.5574112734864404E-2</v>
          </cell>
          <cell r="BD2720">
            <v>-6.7342505430847188E-2</v>
          </cell>
          <cell r="BE2720">
            <v>0.54588882231137958</v>
          </cell>
          <cell r="BF2720">
            <v>0.71672401428222654</v>
          </cell>
          <cell r="BG2720">
            <v>0.13864800453186035</v>
          </cell>
        </row>
        <row r="2721">
          <cell r="D2721" t="str">
            <v>黄金</v>
          </cell>
          <cell r="M2721">
            <v>100.8490856076</v>
          </cell>
          <cell r="N2721">
            <v>50.860156078188936</v>
          </cell>
          <cell r="O2721" t="str">
            <v>材料</v>
          </cell>
          <cell r="P2721" t="str">
            <v>材料Ⅱ</v>
          </cell>
          <cell r="Q2721" t="str">
            <v>金属、非金属与采矿</v>
          </cell>
          <cell r="BC2721">
            <v>-4.19354838709678E-2</v>
          </cell>
          <cell r="BD2721">
            <v>-3.4669555796316386E-2</v>
          </cell>
          <cell r="BE2721">
            <v>-0.23976109215017069</v>
          </cell>
          <cell r="BF2721">
            <v>6.6612000465393062E-2</v>
          </cell>
          <cell r="BG2721">
            <v>-5.6676001548767091E-2</v>
          </cell>
        </row>
        <row r="2722">
          <cell r="D2722" t="str">
            <v>农用农业机械</v>
          </cell>
          <cell r="M2722">
            <v>34.512562500000001</v>
          </cell>
          <cell r="N2722">
            <v>17.404926459840279</v>
          </cell>
          <cell r="O2722" t="str">
            <v>工业</v>
          </cell>
          <cell r="P2722" t="str">
            <v>资本货物</v>
          </cell>
          <cell r="Q2722" t="str">
            <v>机械</v>
          </cell>
          <cell r="BC2722">
            <v>4.6025104602510525E-2</v>
          </cell>
          <cell r="BD2722">
            <v>-1.8838304552590283E-2</v>
          </cell>
          <cell r="BE2722">
            <v>-0.19562419562419558</v>
          </cell>
          <cell r="BF2722">
            <v>0.27912000656127928</v>
          </cell>
          <cell r="BG2722">
            <v>-4.102799892425537E-2</v>
          </cell>
        </row>
        <row r="2723">
          <cell r="D2723" t="str">
            <v>休闲用品</v>
          </cell>
          <cell r="M2723">
            <v>81.596592000000001</v>
          </cell>
          <cell r="N2723">
            <v>41.145275750173326</v>
          </cell>
          <cell r="O2723" t="str">
            <v>可选消费</v>
          </cell>
          <cell r="P2723" t="str">
            <v>耐用消费品与服装</v>
          </cell>
          <cell r="Q2723" t="str">
            <v>休闲设备与用品</v>
          </cell>
          <cell r="BC2723">
            <v>4.288939051918738E-2</v>
          </cell>
          <cell r="BD2723">
            <v>-7.0422535211267651E-2</v>
          </cell>
          <cell r="BE2723">
            <v>0.1886792452830188</v>
          </cell>
          <cell r="BF2723">
            <v>0.47453998565673827</v>
          </cell>
          <cell r="BG2723">
            <v>0</v>
          </cell>
        </row>
        <row r="2724">
          <cell r="D2724" t="str">
            <v>摩托车制造</v>
          </cell>
          <cell r="M2724">
            <v>22.876127999999998</v>
          </cell>
          <cell r="N2724">
            <v>11.533596345414242</v>
          </cell>
          <cell r="O2724" t="str">
            <v>可选消费</v>
          </cell>
          <cell r="P2724" t="str">
            <v>汽车与汽车零部件</v>
          </cell>
          <cell r="Q2724" t="str">
            <v>汽车</v>
          </cell>
          <cell r="BC2724">
            <v>8.6956521739130297E-3</v>
          </cell>
          <cell r="BD2724">
            <v>-6.1994609164420594E-2</v>
          </cell>
          <cell r="BE2724">
            <v>-4.8313582497721157E-2</v>
          </cell>
          <cell r="BF2724">
            <v>0.37217998504638672</v>
          </cell>
          <cell r="BG2724">
            <v>5.0111999511718748E-2</v>
          </cell>
        </row>
        <row r="2725">
          <cell r="D2725" t="str">
            <v>金属非金属</v>
          </cell>
          <cell r="M2725">
            <v>24.543883577000003</v>
          </cell>
          <cell r="N2725">
            <v>12.371558742358085</v>
          </cell>
          <cell r="O2725" t="str">
            <v>材料</v>
          </cell>
          <cell r="P2725" t="str">
            <v>材料Ⅱ</v>
          </cell>
          <cell r="Q2725" t="str">
            <v>金属、非金属与采矿</v>
          </cell>
          <cell r="BC2725">
            <v>1.9884009942004989E-2</v>
          </cell>
          <cell r="BD2725">
            <v>-1.2830793905372905E-2</v>
          </cell>
          <cell r="BE2725">
            <v>-0.1263308878310857</v>
          </cell>
          <cell r="BF2725">
            <v>0.20859600067138673</v>
          </cell>
          <cell r="BG2725">
            <v>5.4851999282836912E-2</v>
          </cell>
        </row>
        <row r="2726">
          <cell r="D2726" t="str">
            <v>食品加工与肉类</v>
          </cell>
          <cell r="M2726">
            <v>57.764374999999994</v>
          </cell>
          <cell r="N2726">
            <v>29.115374161490738</v>
          </cell>
          <cell r="O2726" t="str">
            <v>日常消费</v>
          </cell>
          <cell r="P2726" t="str">
            <v>食品、饮料与烟草</v>
          </cell>
          <cell r="Q2726" t="str">
            <v>食品</v>
          </cell>
          <cell r="BC2726">
            <v>0.10316494217894098</v>
          </cell>
          <cell r="BD2726">
            <v>6.9444444444444441E-3</v>
          </cell>
          <cell r="BE2726">
            <v>0.48383135489152684</v>
          </cell>
          <cell r="BF2726">
            <v>0</v>
          </cell>
          <cell r="BG2726">
            <v>0</v>
          </cell>
        </row>
        <row r="2727">
          <cell r="D2727" t="str">
            <v>通信设备</v>
          </cell>
          <cell r="M2727">
            <v>65.972319999999996</v>
          </cell>
          <cell r="N2727">
            <v>33.242839626454241</v>
          </cell>
          <cell r="O2727" t="str">
            <v>信息技术</v>
          </cell>
          <cell r="P2727" t="str">
            <v>技术硬件与设备</v>
          </cell>
          <cell r="Q2727" t="str">
            <v>通信设备Ⅲ</v>
          </cell>
          <cell r="BC2727">
            <v>0.1138554216867468</v>
          </cell>
          <cell r="BD2727">
            <v>0.13019559902200484</v>
          </cell>
          <cell r="BE2727">
            <v>0.42496403702228513</v>
          </cell>
          <cell r="BF2727">
            <v>0.63867599487304683</v>
          </cell>
          <cell r="BG2727">
            <v>0.34790401458740233</v>
          </cell>
        </row>
        <row r="2728">
          <cell r="D2728" t="str">
            <v>公路与铁路</v>
          </cell>
          <cell r="M2728">
            <v>42.133814448400003</v>
          </cell>
          <cell r="N2728">
            <v>21.230355093404331</v>
          </cell>
          <cell r="O2728" t="str">
            <v>工业</v>
          </cell>
          <cell r="P2728" t="str">
            <v>运输</v>
          </cell>
          <cell r="Q2728" t="str">
            <v>交通基础设施</v>
          </cell>
          <cell r="BC2728">
            <v>-3.8724373576309784E-2</v>
          </cell>
          <cell r="BD2728">
            <v>-1.7462165308498295E-2</v>
          </cell>
          <cell r="BE2728">
            <v>-0.15009035806412649</v>
          </cell>
          <cell r="BF2728">
            <v>0.43937999725341798</v>
          </cell>
          <cell r="BG2728">
            <v>0.16152000427246094</v>
          </cell>
        </row>
        <row r="2729">
          <cell r="D2729" t="str">
            <v>黄金</v>
          </cell>
          <cell r="M2729">
            <v>143.22720000000001</v>
          </cell>
          <cell r="N2729">
            <v>72.164410905550625</v>
          </cell>
          <cell r="O2729" t="str">
            <v>材料</v>
          </cell>
          <cell r="P2729" t="str">
            <v>材料Ⅱ</v>
          </cell>
          <cell r="Q2729" t="str">
            <v>金属、非金属与采矿</v>
          </cell>
          <cell r="BC2729">
            <v>-3.4305317324185278E-2</v>
          </cell>
          <cell r="BD2729">
            <v>1.6704288939051966E-2</v>
          </cell>
          <cell r="BE2729">
            <v>0.39390443784786633</v>
          </cell>
          <cell r="BF2729">
            <v>0</v>
          </cell>
          <cell r="BG2729">
            <v>0</v>
          </cell>
        </row>
        <row r="2730">
          <cell r="D2730" t="str">
            <v>化纤</v>
          </cell>
          <cell r="M2730">
            <v>57.96</v>
          </cell>
          <cell r="N2730">
            <v>29.197570958083336</v>
          </cell>
          <cell r="O2730" t="str">
            <v>材料</v>
          </cell>
          <cell r="P2730" t="str">
            <v>材料Ⅱ</v>
          </cell>
          <cell r="Q2730" t="str">
            <v>化工</v>
          </cell>
          <cell r="BC2730">
            <v>7.0162481536189147E-2</v>
          </cell>
          <cell r="BD2730">
            <v>0.19161184210526316</v>
          </cell>
          <cell r="BE2730">
            <v>0.38395415472779365</v>
          </cell>
          <cell r="BF2730">
            <v>0.70885200500488277</v>
          </cell>
          <cell r="BG2730">
            <v>0.15270000457763672</v>
          </cell>
        </row>
        <row r="2731">
          <cell r="D2731" t="str">
            <v>贸易公司与工业品经销商</v>
          </cell>
          <cell r="M2731">
            <v>85.084999999999994</v>
          </cell>
          <cell r="N2731">
            <v>42.861799456806018</v>
          </cell>
          <cell r="O2731" t="str">
            <v>工业</v>
          </cell>
          <cell r="P2731" t="str">
            <v>资本货物</v>
          </cell>
          <cell r="Q2731" t="str">
            <v>贸易公司与工业品经销商Ⅲ</v>
          </cell>
          <cell r="BC2731">
            <v>0</v>
          </cell>
          <cell r="BD2731">
            <v>0</v>
          </cell>
          <cell r="BE2731">
            <v>2.5483870967741935</v>
          </cell>
          <cell r="BF2731">
            <v>1.5683279418945313</v>
          </cell>
          <cell r="BG2731">
            <v>0.68546401977539062</v>
          </cell>
        </row>
        <row r="2732">
          <cell r="D2732" t="str">
            <v>酒店、度假村与豪华游轮</v>
          </cell>
          <cell r="M2732">
            <v>63.499040000000008</v>
          </cell>
          <cell r="N2732">
            <v>31.987759013497222</v>
          </cell>
          <cell r="O2732" t="str">
            <v>可选消费</v>
          </cell>
          <cell r="P2732" t="str">
            <v>消费者服务Ⅱ</v>
          </cell>
          <cell r="Q2732" t="str">
            <v>酒店、餐馆与休闲Ⅲ</v>
          </cell>
          <cell r="BC2732">
            <v>0.12516129032258072</v>
          </cell>
          <cell r="BD2732">
            <v>0.10941475826972014</v>
          </cell>
          <cell r="BE2732">
            <v>0.75806451612903236</v>
          </cell>
          <cell r="BF2732">
            <v>0.57734401702880855</v>
          </cell>
          <cell r="BG2732">
            <v>0.31662000656127931</v>
          </cell>
        </row>
        <row r="2733">
          <cell r="D2733" t="str">
            <v>金属非金属</v>
          </cell>
          <cell r="M2733">
            <v>202.90328240000002</v>
          </cell>
          <cell r="N2733">
            <v>102.20792473815649</v>
          </cell>
          <cell r="O2733" t="str">
            <v>材料</v>
          </cell>
          <cell r="P2733" t="str">
            <v>材料Ⅱ</v>
          </cell>
          <cell r="Q2733" t="str">
            <v>金属、非金属与采矿</v>
          </cell>
          <cell r="BC2733">
            <v>5.8093626621545463E-2</v>
          </cell>
          <cell r="BD2733">
            <v>6.1686474250141468E-2</v>
          </cell>
          <cell r="BE2733">
            <v>-0.35936060354008859</v>
          </cell>
          <cell r="BF2733">
            <v>0.16675199508666994</v>
          </cell>
          <cell r="BG2733">
            <v>-4.3488001823425292E-2</v>
          </cell>
        </row>
        <row r="2734">
          <cell r="D2734" t="str">
            <v>信息科技咨询与其它服务</v>
          </cell>
          <cell r="M2734">
            <v>65.637</v>
          </cell>
          <cell r="N2734">
            <v>33.058678537792822</v>
          </cell>
          <cell r="O2734" t="str">
            <v>信息技术</v>
          </cell>
          <cell r="P2734" t="str">
            <v>软件与服务</v>
          </cell>
          <cell r="Q2734" t="str">
            <v>信息技术服务</v>
          </cell>
          <cell r="BC2734">
            <v>0.52127659574468088</v>
          </cell>
          <cell r="BD2734">
            <v>0.76543209876543228</v>
          </cell>
          <cell r="BE2734">
            <v>0.70802713443944265</v>
          </cell>
          <cell r="BF2734">
            <v>0.63368400573730466</v>
          </cell>
          <cell r="BG2734">
            <v>0</v>
          </cell>
        </row>
        <row r="2735">
          <cell r="D2735" t="str">
            <v>互联网软件与服务</v>
          </cell>
          <cell r="M2735">
            <v>153.552672</v>
          </cell>
          <cell r="N2735">
            <v>77.332201921666666</v>
          </cell>
          <cell r="O2735" t="str">
            <v>信息技术</v>
          </cell>
          <cell r="P2735" t="str">
            <v>软件与服务</v>
          </cell>
          <cell r="Q2735" t="str">
            <v>互联网软件与服务Ⅲ</v>
          </cell>
          <cell r="BC2735">
            <v>7.6285240464345084E-3</v>
          </cell>
          <cell r="BD2735">
            <v>-3.555555555555559E-2</v>
          </cell>
          <cell r="BE2735">
            <v>-0.11918574307735856</v>
          </cell>
          <cell r="BF2735">
            <v>0.90545997619628904</v>
          </cell>
          <cell r="BG2735">
            <v>0.5494680023193359</v>
          </cell>
        </row>
        <row r="2736">
          <cell r="D2736" t="str">
            <v>电子元件</v>
          </cell>
          <cell r="M2736">
            <v>84.823384602500013</v>
          </cell>
          <cell r="N2736">
            <v>42.694950702151473</v>
          </cell>
          <cell r="O2736" t="str">
            <v>信息技术</v>
          </cell>
          <cell r="P2736" t="str">
            <v>技术硬件与设备</v>
          </cell>
          <cell r="Q2736" t="str">
            <v>电子设备、仪器和元件</v>
          </cell>
          <cell r="BC2736">
            <v>0.1384976525821596</v>
          </cell>
          <cell r="BD2736">
            <v>1.6345347862531459E-2</v>
          </cell>
          <cell r="BE2736">
            <v>-2.8041154948118277E-2</v>
          </cell>
          <cell r="BF2736">
            <v>0.79969200134277341</v>
          </cell>
          <cell r="BG2736">
            <v>0.3724800109863281</v>
          </cell>
        </row>
        <row r="2737">
          <cell r="D2737" t="str">
            <v>建筑与工程</v>
          </cell>
          <cell r="M2737">
            <v>46.926946872000002</v>
          </cell>
          <cell r="N2737">
            <v>23.604174139040122</v>
          </cell>
          <cell r="O2737" t="str">
            <v>工业</v>
          </cell>
          <cell r="P2737" t="str">
            <v>资本货物</v>
          </cell>
          <cell r="Q2737" t="str">
            <v>建筑与工程Ⅲ</v>
          </cell>
          <cell r="BC2737">
            <v>1.080432172869146E-2</v>
          </cell>
          <cell r="BD2737">
            <v>-2.2067363530778109E-2</v>
          </cell>
          <cell r="BE2737">
            <v>-0.46437659033078882</v>
          </cell>
          <cell r="BF2737">
            <v>0.46256401062011721</v>
          </cell>
          <cell r="BG2737">
            <v>8.9628000259399418E-2</v>
          </cell>
        </row>
        <row r="2738">
          <cell r="D2738" t="str">
            <v>纸制品</v>
          </cell>
          <cell r="M2738">
            <v>74.279272900000009</v>
          </cell>
          <cell r="N2738">
            <v>37.356619230145839</v>
          </cell>
          <cell r="O2738" t="str">
            <v>材料</v>
          </cell>
          <cell r="P2738" t="str">
            <v>材料Ⅱ</v>
          </cell>
          <cell r="Q2738" t="str">
            <v>纸与林木产品</v>
          </cell>
          <cell r="BC2738">
            <v>7.4367088607594889E-2</v>
          </cell>
          <cell r="BD2738">
            <v>-2.582496413199422E-2</v>
          </cell>
          <cell r="BE2738">
            <v>0.40000000000000013</v>
          </cell>
          <cell r="BF2738">
            <v>0.92434799194335937</v>
          </cell>
          <cell r="BG2738">
            <v>0.30422399520874022</v>
          </cell>
        </row>
        <row r="2739">
          <cell r="D2739" t="str">
            <v>百货商店</v>
          </cell>
          <cell r="M2739">
            <v>29.713571522399999</v>
          </cell>
          <cell r="N2739">
            <v>14.941316605059269</v>
          </cell>
          <cell r="O2739" t="str">
            <v>可选消费</v>
          </cell>
          <cell r="P2739" t="str">
            <v>零售业</v>
          </cell>
          <cell r="Q2739" t="str">
            <v>多元化零售</v>
          </cell>
          <cell r="BC2739">
            <v>4.1198501872659186E-2</v>
          </cell>
          <cell r="BD2739">
            <v>-7.0752089136490226E-2</v>
          </cell>
          <cell r="BE2739">
            <v>-1.766784452296824E-2</v>
          </cell>
          <cell r="BF2739">
            <v>0.74794799804687495</v>
          </cell>
          <cell r="BG2739">
            <v>0.21437999725341797</v>
          </cell>
        </row>
        <row r="2740">
          <cell r="D2740" t="str">
            <v>建筑与工程</v>
          </cell>
          <cell r="M2740">
            <v>57.752699999999997</v>
          </cell>
          <cell r="N2740">
            <v>29.037775787981484</v>
          </cell>
          <cell r="O2740" t="str">
            <v>工业</v>
          </cell>
          <cell r="P2740" t="str">
            <v>资本货物</v>
          </cell>
          <cell r="Q2740" t="str">
            <v>建筑与工程Ⅲ</v>
          </cell>
          <cell r="BC2740">
            <v>2.8808864265927953E-2</v>
          </cell>
          <cell r="BD2740">
            <v>-7.6119402985074677E-2</v>
          </cell>
          <cell r="BE2740">
            <v>0.86072144288577146</v>
          </cell>
          <cell r="BF2740">
            <v>1.0345680236816406</v>
          </cell>
          <cell r="BG2740">
            <v>0</v>
          </cell>
        </row>
        <row r="2741">
          <cell r="D2741" t="str">
            <v>房地产经营公司</v>
          </cell>
          <cell r="M2741">
            <v>40.651132703999998</v>
          </cell>
          <cell r="N2741">
            <v>20.433558793724153</v>
          </cell>
          <cell r="O2741" t="str">
            <v>金融</v>
          </cell>
          <cell r="P2741" t="str">
            <v>房地产</v>
          </cell>
          <cell r="Q2741" t="str">
            <v>房地产管理与开发</v>
          </cell>
          <cell r="BC2741">
            <v>6.012024048096064E-3</v>
          </cell>
          <cell r="BD2741">
            <v>-9.6309630963096346E-2</v>
          </cell>
          <cell r="BE2741">
            <v>0.34584450402144762</v>
          </cell>
          <cell r="BF2741">
            <v>1.2165959930419923</v>
          </cell>
          <cell r="BG2741">
            <v>0.50585998535156251</v>
          </cell>
        </row>
        <row r="2742">
          <cell r="D2742" t="str">
            <v>海运</v>
          </cell>
          <cell r="M2742">
            <v>101.30955384549999</v>
          </cell>
          <cell r="N2742">
            <v>50.918473808172912</v>
          </cell>
          <cell r="O2742" t="str">
            <v>工业</v>
          </cell>
          <cell r="P2742" t="str">
            <v>运输</v>
          </cell>
          <cell r="Q2742" t="str">
            <v>海运Ⅲ</v>
          </cell>
          <cell r="BC2742">
            <v>8.0563947633434108E-3</v>
          </cell>
          <cell r="BD2742">
            <v>-0.18352365415986949</v>
          </cell>
          <cell r="BE2742">
            <v>2.956521739130435</v>
          </cell>
          <cell r="BF2742">
            <v>1.8138960266113282</v>
          </cell>
          <cell r="BG2742">
            <v>0.67031997680664057</v>
          </cell>
        </row>
        <row r="2743">
          <cell r="D2743" t="str">
            <v>房地产开发</v>
          </cell>
          <cell r="M2743">
            <v>164.555183</v>
          </cell>
          <cell r="N2743">
            <v>82.691628912471856</v>
          </cell>
          <cell r="O2743" t="str">
            <v>金融</v>
          </cell>
          <cell r="P2743" t="str">
            <v>房地产</v>
          </cell>
          <cell r="Q2743" t="str">
            <v>房地产管理与开发</v>
          </cell>
          <cell r="BC2743">
            <v>9.2553191489361614E-2</v>
          </cell>
          <cell r="BD2743">
            <v>2.6999999999999958E-2</v>
          </cell>
          <cell r="BE2743">
            <v>0.54436090225563893</v>
          </cell>
          <cell r="BF2743">
            <v>1.4676119995117187</v>
          </cell>
          <cell r="BG2743">
            <v>0.47065200805664065</v>
          </cell>
        </row>
        <row r="2744">
          <cell r="D2744" t="str">
            <v>综合类行业</v>
          </cell>
          <cell r="M2744">
            <v>105.122723725</v>
          </cell>
          <cell r="N2744">
            <v>52.810478554946059</v>
          </cell>
          <cell r="O2744" t="str">
            <v>工业</v>
          </cell>
          <cell r="P2744" t="str">
            <v>资本货物</v>
          </cell>
          <cell r="Q2744" t="str">
            <v>综合类Ⅲ</v>
          </cell>
          <cell r="BC2744">
            <v>4.9321416749420671E-2</v>
          </cell>
          <cell r="BD2744">
            <v>-6.6548881036513588E-2</v>
          </cell>
          <cell r="BE2744">
            <v>3.3332476139182998E-2</v>
          </cell>
          <cell r="BF2744">
            <v>0.4733639907836914</v>
          </cell>
          <cell r="BG2744">
            <v>0.31181999206542971</v>
          </cell>
        </row>
        <row r="2745">
          <cell r="D2745" t="str">
            <v>工业机械</v>
          </cell>
          <cell r="M2745">
            <v>58.08</v>
          </cell>
          <cell r="N2745">
            <v>29.176892951944446</v>
          </cell>
          <cell r="O2745" t="str">
            <v>工业</v>
          </cell>
          <cell r="P2745" t="str">
            <v>资本货物</v>
          </cell>
          <cell r="Q2745" t="str">
            <v>机械</v>
          </cell>
          <cell r="BC2745">
            <v>2.542372881355923E-2</v>
          </cell>
          <cell r="BD2745">
            <v>-1.6501650165016151E-3</v>
          </cell>
          <cell r="BE2745">
            <v>-0.25429737026737337</v>
          </cell>
          <cell r="BF2745">
            <v>0.12722399711608887</v>
          </cell>
          <cell r="BG2745">
            <v>-5.6160002946853641E-3</v>
          </cell>
        </row>
        <row r="2746">
          <cell r="D2746" t="str">
            <v>信息科技咨询与其它服务</v>
          </cell>
          <cell r="M2746">
            <v>72.009492324000007</v>
          </cell>
          <cell r="N2746">
            <v>36.172833665731829</v>
          </cell>
          <cell r="O2746" t="str">
            <v>信息技术</v>
          </cell>
          <cell r="P2746" t="str">
            <v>软件与服务</v>
          </cell>
          <cell r="Q2746" t="str">
            <v>信息技术服务</v>
          </cell>
          <cell r="BC2746">
            <v>-3.3898305084746243E-3</v>
          </cell>
          <cell r="BD2746">
            <v>0.18548387096774185</v>
          </cell>
          <cell r="BE2746">
            <v>0.43753699164049981</v>
          </cell>
          <cell r="BF2746">
            <v>0.58058399200439448</v>
          </cell>
          <cell r="BG2746">
            <v>0</v>
          </cell>
        </row>
        <row r="2747">
          <cell r="D2747" t="str">
            <v>电气部件与设备</v>
          </cell>
          <cell r="M2747">
            <v>29.717999999999996</v>
          </cell>
          <cell r="N2747">
            <v>14.92673508492191</v>
          </cell>
          <cell r="O2747" t="str">
            <v>工业</v>
          </cell>
          <cell r="P2747" t="str">
            <v>资本货物</v>
          </cell>
          <cell r="Q2747" t="str">
            <v>电气设备</v>
          </cell>
          <cell r="BC2747">
            <v>8.3617747440272921E-2</v>
          </cell>
          <cell r="BD2747">
            <v>-5.8561897702001549E-2</v>
          </cell>
          <cell r="BE2747">
            <v>0.10578469042584078</v>
          </cell>
          <cell r="BF2747">
            <v>0.42892799377441404</v>
          </cell>
          <cell r="BG2747">
            <v>0.24257999420166015</v>
          </cell>
        </row>
        <row r="2748">
          <cell r="D2748" t="str">
            <v>生物科技</v>
          </cell>
          <cell r="M2748">
            <v>30.9286127172</v>
          </cell>
          <cell r="N2748">
            <v>15.530771979934691</v>
          </cell>
          <cell r="O2748" t="str">
            <v>医疗保健</v>
          </cell>
          <cell r="P2748" t="str">
            <v>制药、生物科技与生命科学</v>
          </cell>
          <cell r="Q2748" t="str">
            <v>生物科技Ⅲ</v>
          </cell>
          <cell r="BC2748">
            <v>0.13288219009535529</v>
          </cell>
          <cell r="BD2748">
            <v>0.16698352344740178</v>
          </cell>
          <cell r="BE2748">
            <v>0.59230436662343278</v>
          </cell>
          <cell r="BF2748">
            <v>0.55329601287841801</v>
          </cell>
          <cell r="BG2748">
            <v>0.26360399246215821</v>
          </cell>
        </row>
        <row r="2749">
          <cell r="D2749" t="str">
            <v>林木产品</v>
          </cell>
          <cell r="M2749">
            <v>111.8039523449</v>
          </cell>
          <cell r="N2749">
            <v>56.124143868692613</v>
          </cell>
          <cell r="O2749" t="str">
            <v>材料</v>
          </cell>
          <cell r="P2749" t="str">
            <v>材料Ⅱ</v>
          </cell>
          <cell r="Q2749" t="str">
            <v>纸与林木产品</v>
          </cell>
          <cell r="BC2749">
            <v>9.5238095238095372E-2</v>
          </cell>
          <cell r="BD2749">
            <v>0.10081466395112018</v>
          </cell>
          <cell r="BE2749">
            <v>1.0512333965844405</v>
          </cell>
          <cell r="BF2749">
            <v>0.69237602233886719</v>
          </cell>
          <cell r="BG2749">
            <v>0.2989200019836426</v>
          </cell>
        </row>
        <row r="2750">
          <cell r="D2750" t="str">
            <v>电子制造服务</v>
          </cell>
          <cell r="M2750">
            <v>47.472480000000004</v>
          </cell>
          <cell r="N2750">
            <v>23.829653110681718</v>
          </cell>
          <cell r="O2750" t="str">
            <v>信息技术</v>
          </cell>
          <cell r="P2750" t="str">
            <v>技术硬件与设备</v>
          </cell>
          <cell r="Q2750" t="str">
            <v>电子设备、仪器和元件</v>
          </cell>
          <cell r="BC2750">
            <v>5.6939501779359483E-2</v>
          </cell>
          <cell r="BD2750">
            <v>0.39436619718309873</v>
          </cell>
          <cell r="BE2750">
            <v>0.10000029518283085</v>
          </cell>
          <cell r="BF2750">
            <v>0.59545200347900396</v>
          </cell>
          <cell r="BG2750">
            <v>0.22869600296020509</v>
          </cell>
        </row>
        <row r="2751">
          <cell r="D2751" t="str">
            <v>摩托车制造</v>
          </cell>
          <cell r="M2751">
            <v>50.721414551999999</v>
          </cell>
          <cell r="N2751">
            <v>25.457811663806481</v>
          </cell>
          <cell r="O2751" t="str">
            <v>可选消费</v>
          </cell>
          <cell r="P2751" t="str">
            <v>汽车与汽车零部件</v>
          </cell>
          <cell r="Q2751" t="str">
            <v>汽车</v>
          </cell>
          <cell r="BC2751">
            <v>0</v>
          </cell>
          <cell r="BD2751">
            <v>-6.7294751009421032E-3</v>
          </cell>
          <cell r="BE2751">
            <v>-0.22233930453108539</v>
          </cell>
          <cell r="BF2751">
            <v>0.49745998382568357</v>
          </cell>
          <cell r="BG2751">
            <v>8.0315999984741204E-2</v>
          </cell>
        </row>
        <row r="2752">
          <cell r="D2752" t="str">
            <v>电气部件与设备</v>
          </cell>
          <cell r="M2752">
            <v>58.335295199999997</v>
          </cell>
          <cell r="N2752">
            <v>29.274322787910332</v>
          </cell>
          <cell r="O2752" t="str">
            <v>工业</v>
          </cell>
          <cell r="P2752" t="str">
            <v>资本货物</v>
          </cell>
          <cell r="Q2752" t="str">
            <v>电气设备</v>
          </cell>
          <cell r="BC2752">
            <v>1.6051364365970765E-3</v>
          </cell>
          <cell r="BD2752">
            <v>-0.10984308131241079</v>
          </cell>
          <cell r="BE2752">
            <v>-0.12486324920924967</v>
          </cell>
          <cell r="BF2752">
            <v>0.36190799713134764</v>
          </cell>
          <cell r="BG2752">
            <v>-1.0895999670028687E-2</v>
          </cell>
        </row>
        <row r="2753">
          <cell r="D2753" t="str">
            <v>石油天然气设备与服务</v>
          </cell>
          <cell r="M2753">
            <v>67.817114000000004</v>
          </cell>
          <cell r="N2753">
            <v>34.019113188976853</v>
          </cell>
          <cell r="O2753" t="str">
            <v>能源</v>
          </cell>
          <cell r="P2753" t="str">
            <v>能源Ⅱ</v>
          </cell>
          <cell r="Q2753" t="str">
            <v>能源设备与服务</v>
          </cell>
          <cell r="BC2753">
            <v>-1.8475750577367223E-2</v>
          </cell>
          <cell r="BD2753">
            <v>-8.3063646170442249E-2</v>
          </cell>
          <cell r="BE2753">
            <v>-0.26406926406926412</v>
          </cell>
          <cell r="BF2753">
            <v>0.16417200088500977</v>
          </cell>
          <cell r="BG2753">
            <v>0.1077239990234375</v>
          </cell>
        </row>
        <row r="2754">
          <cell r="D2754" t="str">
            <v>食品加工与肉类</v>
          </cell>
          <cell r="M2754">
            <v>33.862229999999997</v>
          </cell>
          <cell r="N2754">
            <v>16.983882911195987</v>
          </cell>
          <cell r="O2754" t="str">
            <v>日常消费</v>
          </cell>
          <cell r="P2754" t="str">
            <v>食品、饮料与烟草</v>
          </cell>
          <cell r="Q2754" t="str">
            <v>食品</v>
          </cell>
          <cell r="BC2754">
            <v>8.0530071355759333E-2</v>
          </cell>
          <cell r="BD2754">
            <v>-7.4235807860261988E-2</v>
          </cell>
          <cell r="BE2754">
            <v>-0.1876828912165413</v>
          </cell>
          <cell r="BF2754">
            <v>0.36157199859619138</v>
          </cell>
          <cell r="BG2754">
            <v>8.3028001785278319E-2</v>
          </cell>
        </row>
        <row r="2755">
          <cell r="D2755" t="str">
            <v>工业机械</v>
          </cell>
          <cell r="M2755">
            <v>38.243380500000001</v>
          </cell>
          <cell r="N2755">
            <v>19.179135568837193</v>
          </cell>
          <cell r="O2755" t="str">
            <v>工业</v>
          </cell>
          <cell r="P2755" t="str">
            <v>资本货物</v>
          </cell>
          <cell r="Q2755" t="str">
            <v>机械</v>
          </cell>
          <cell r="BC2755">
            <v>8.5025380710660001E-2</v>
          </cell>
          <cell r="BD2755">
            <v>0.12131147540983615</v>
          </cell>
          <cell r="BE2755">
            <v>0.110447459010583</v>
          </cell>
          <cell r="BF2755">
            <v>0.38588401794433591</v>
          </cell>
          <cell r="BG2755">
            <v>0.18978000640869142</v>
          </cell>
        </row>
        <row r="2756">
          <cell r="D2756" t="str">
            <v>海运</v>
          </cell>
          <cell r="M2756">
            <v>35.533595890000001</v>
          </cell>
          <cell r="N2756">
            <v>17.815036633762965</v>
          </cell>
          <cell r="O2756" t="str">
            <v>工业</v>
          </cell>
          <cell r="P2756" t="str">
            <v>运输</v>
          </cell>
          <cell r="Q2756" t="str">
            <v>海运Ⅲ</v>
          </cell>
          <cell r="BC2756">
            <v>0.10826939471440747</v>
          </cell>
          <cell r="BD2756">
            <v>8.8777219430485804E-2</v>
          </cell>
          <cell r="BE2756">
            <v>1.5408320493065927E-3</v>
          </cell>
          <cell r="BF2756">
            <v>0.6837960052490234</v>
          </cell>
          <cell r="BG2756">
            <v>0.28701599121093752</v>
          </cell>
        </row>
        <row r="2757">
          <cell r="D2757" t="str">
            <v>中药</v>
          </cell>
          <cell r="M2757">
            <v>92.018233780000017</v>
          </cell>
          <cell r="N2757">
            <v>46.124982147145936</v>
          </cell>
          <cell r="O2757" t="str">
            <v>医疗保健</v>
          </cell>
          <cell r="P2757" t="str">
            <v>制药、生物科技与生命科学</v>
          </cell>
          <cell r="Q2757" t="str">
            <v>制药</v>
          </cell>
          <cell r="BC2757">
            <v>0</v>
          </cell>
          <cell r="BD2757">
            <v>0</v>
          </cell>
          <cell r="BE2757">
            <v>0.49704840613931506</v>
          </cell>
          <cell r="BF2757">
            <v>0.57039600372314458</v>
          </cell>
          <cell r="BG2757">
            <v>0.20961599349975585</v>
          </cell>
        </row>
        <row r="2758">
          <cell r="D2758" t="str">
            <v>房地产开发</v>
          </cell>
          <cell r="M2758">
            <v>103.47541877969999</v>
          </cell>
          <cell r="N2758">
            <v>51.867189002147434</v>
          </cell>
          <cell r="O2758" t="str">
            <v>金融</v>
          </cell>
          <cell r="P2758" t="str">
            <v>房地产</v>
          </cell>
          <cell r="Q2758" t="str">
            <v>房地产管理与开发</v>
          </cell>
          <cell r="BC2758">
            <v>8.5692425401683189E-2</v>
          </cell>
          <cell r="BD2758">
            <v>3.8039502560351102E-2</v>
          </cell>
          <cell r="BE2758">
            <v>-0.14786734325596379</v>
          </cell>
          <cell r="BF2758">
            <v>0.20900400161743163</v>
          </cell>
          <cell r="BG2758">
            <v>-1.9667999744415285E-2</v>
          </cell>
        </row>
        <row r="2759">
          <cell r="D2759" t="str">
            <v>机动车零配件与设备</v>
          </cell>
          <cell r="M2759">
            <v>41.962200000000003</v>
          </cell>
          <cell r="N2759">
            <v>21.032685082314586</v>
          </cell>
          <cell r="O2759" t="str">
            <v>可选消费</v>
          </cell>
          <cell r="P2759" t="str">
            <v>汽车与汽车零部件</v>
          </cell>
          <cell r="Q2759" t="str">
            <v>汽车零配件</v>
          </cell>
          <cell r="BC2759">
            <v>3.9428289797930928E-3</v>
          </cell>
          <cell r="BD2759">
            <v>-1.4705882352939992E-3</v>
          </cell>
          <cell r="BE2759">
            <v>0.30883653349252538</v>
          </cell>
          <cell r="BF2759">
            <v>0.27669599533081057</v>
          </cell>
          <cell r="BG2759">
            <v>0.1169159984588623</v>
          </cell>
        </row>
        <row r="2760">
          <cell r="D2760" t="str">
            <v>贸易公司与工业品经销商</v>
          </cell>
          <cell r="M2760">
            <v>55.041845760000008</v>
          </cell>
          <cell r="N2760">
            <v>27.585564850594452</v>
          </cell>
          <cell r="O2760" t="str">
            <v>工业</v>
          </cell>
          <cell r="P2760" t="str">
            <v>资本货物</v>
          </cell>
          <cell r="Q2760" t="str">
            <v>贸易公司与工业品经销商Ⅲ</v>
          </cell>
          <cell r="BC2760">
            <v>2.2499999999999964E-2</v>
          </cell>
          <cell r="BD2760">
            <v>2.6993094789704943E-2</v>
          </cell>
          <cell r="BE2760">
            <v>0.8077348066298341</v>
          </cell>
          <cell r="BF2760">
            <v>1.2250920104980469</v>
          </cell>
          <cell r="BG2760">
            <v>0.5144160079956055</v>
          </cell>
        </row>
        <row r="2761">
          <cell r="D2761" t="str">
            <v>消费电子产品</v>
          </cell>
          <cell r="M2761">
            <v>37.827335779500004</v>
          </cell>
          <cell r="N2761">
            <v>18.957160362936339</v>
          </cell>
          <cell r="O2761" t="str">
            <v>可选消费</v>
          </cell>
          <cell r="P2761" t="str">
            <v>耐用消费品与服装</v>
          </cell>
          <cell r="Q2761" t="str">
            <v>家庭耐用消费品</v>
          </cell>
          <cell r="BC2761">
            <v>0</v>
          </cell>
          <cell r="BD2761">
            <v>-5.5020632737275308E-3</v>
          </cell>
          <cell r="BE2761">
            <v>-3.0831099195710393E-2</v>
          </cell>
          <cell r="BF2761">
            <v>0.23381999969482423</v>
          </cell>
          <cell r="BG2761">
            <v>8.480400085449219E-2</v>
          </cell>
        </row>
        <row r="2762">
          <cell r="D2762" t="str">
            <v>建筑与工程</v>
          </cell>
          <cell r="M2762">
            <v>26.379994994999997</v>
          </cell>
          <cell r="N2762">
            <v>13.218821845486806</v>
          </cell>
          <cell r="O2762" t="str">
            <v>工业</v>
          </cell>
          <cell r="P2762" t="str">
            <v>资本货物</v>
          </cell>
          <cell r="Q2762" t="str">
            <v>建筑与工程Ⅲ</v>
          </cell>
          <cell r="BC2762">
            <v>-4.6363636363636343E-2</v>
          </cell>
          <cell r="BD2762">
            <v>1.4506769825918796E-2</v>
          </cell>
          <cell r="BE2762">
            <v>4.7952047952047994E-2</v>
          </cell>
          <cell r="BF2762">
            <v>0.52437599182128902</v>
          </cell>
          <cell r="BG2762">
            <v>0.13143600463867189</v>
          </cell>
        </row>
        <row r="2763">
          <cell r="D2763" t="str">
            <v>贸易公司与工业品经销商</v>
          </cell>
          <cell r="M2763">
            <v>76.101116172700003</v>
          </cell>
          <cell r="N2763">
            <v>38.12942258415346</v>
          </cell>
          <cell r="O2763" t="str">
            <v>工业</v>
          </cell>
          <cell r="P2763" t="str">
            <v>资本货物</v>
          </cell>
          <cell r="Q2763" t="str">
            <v>贸易公司与工业品经销商Ⅲ</v>
          </cell>
          <cell r="BC2763">
            <v>1.2090773809523784E-2</v>
          </cell>
          <cell r="BD2763">
            <v>6.79097154072619E-2</v>
          </cell>
          <cell r="BE2763">
            <v>0.26829836829836828</v>
          </cell>
          <cell r="BF2763">
            <v>0.825780029296875</v>
          </cell>
          <cell r="BG2763">
            <v>0.33703201293945312</v>
          </cell>
        </row>
        <row r="2764">
          <cell r="D2764" t="str">
            <v>钢铁</v>
          </cell>
          <cell r="M2764">
            <v>26.593289999999996</v>
          </cell>
          <cell r="N2764">
            <v>13.323644189507407</v>
          </cell>
          <cell r="O2764" t="str">
            <v>材料</v>
          </cell>
          <cell r="P2764" t="str">
            <v>材料Ⅱ</v>
          </cell>
          <cell r="Q2764" t="str">
            <v>金属、非金属与采矿</v>
          </cell>
          <cell r="BC2764">
            <v>-6.7264573991032608E-3</v>
          </cell>
          <cell r="BD2764">
            <v>3.0632027917797563E-2</v>
          </cell>
          <cell r="BE2764">
            <v>0.23167024077512169</v>
          </cell>
          <cell r="BF2764">
            <v>0.35694000244140622</v>
          </cell>
          <cell r="BG2764">
            <v>0</v>
          </cell>
        </row>
        <row r="2765">
          <cell r="D2765" t="str">
            <v>建筑产品</v>
          </cell>
          <cell r="M2765">
            <v>46.722344422199996</v>
          </cell>
          <cell r="N2765">
            <v>23.403404287650002</v>
          </cell>
          <cell r="O2765" t="str">
            <v>工业</v>
          </cell>
          <cell r="P2765" t="str">
            <v>资本货物</v>
          </cell>
          <cell r="Q2765" t="str">
            <v>建筑产品Ⅲ</v>
          </cell>
          <cell r="BC2765">
            <v>0</v>
          </cell>
          <cell r="BD2765">
            <v>-4.8739495798319335E-2</v>
          </cell>
          <cell r="BE2765">
            <v>-0.12788906009244994</v>
          </cell>
          <cell r="BF2765">
            <v>0.37598400115966796</v>
          </cell>
          <cell r="BG2765">
            <v>0.26903999328613282</v>
          </cell>
        </row>
        <row r="2766">
          <cell r="D2766" t="str">
            <v>基础化工</v>
          </cell>
          <cell r="M2766">
            <v>24.079822200000002</v>
          </cell>
          <cell r="N2766">
            <v>12.059824337148148</v>
          </cell>
          <cell r="O2766" t="str">
            <v>材料</v>
          </cell>
          <cell r="P2766" t="str">
            <v>材料Ⅱ</v>
          </cell>
          <cell r="Q2766" t="str">
            <v>化工</v>
          </cell>
          <cell r="BC2766">
            <v>0</v>
          </cell>
          <cell r="BD2766">
            <v>-9.0584028605482786E-2</v>
          </cell>
          <cell r="BE2766">
            <v>-2.4296675191815907E-2</v>
          </cell>
          <cell r="BF2766">
            <v>0.3952320098876953</v>
          </cell>
          <cell r="BG2766">
            <v>7.0883998870849604E-2</v>
          </cell>
        </row>
        <row r="2767">
          <cell r="D2767" t="str">
            <v>电气部件与设备</v>
          </cell>
          <cell r="M2767">
            <v>52.29325206</v>
          </cell>
          <cell r="N2767">
            <v>26.17246336425</v>
          </cell>
          <cell r="O2767" t="str">
            <v>工业</v>
          </cell>
          <cell r="P2767" t="str">
            <v>资本货物</v>
          </cell>
          <cell r="Q2767" t="str">
            <v>电气设备</v>
          </cell>
          <cell r="BC2767">
            <v>0</v>
          </cell>
          <cell r="BD2767">
            <v>0</v>
          </cell>
          <cell r="BE2767">
            <v>0.50958029197080301</v>
          </cell>
          <cell r="BF2767">
            <v>0.43492801666259767</v>
          </cell>
          <cell r="BG2767">
            <v>0.2315880012512207</v>
          </cell>
        </row>
        <row r="2768">
          <cell r="D2768" t="str">
            <v>互联网软件与服务</v>
          </cell>
          <cell r="M2768">
            <v>113.81267565029999</v>
          </cell>
          <cell r="N2768">
            <v>56.958981779180846</v>
          </cell>
          <cell r="O2768" t="str">
            <v>信息技术</v>
          </cell>
          <cell r="P2768" t="str">
            <v>软件与服务</v>
          </cell>
          <cell r="Q2768" t="str">
            <v>互联网软件与服务Ⅲ</v>
          </cell>
          <cell r="BC2768">
            <v>-1.1971567527123092E-2</v>
          </cell>
          <cell r="BD2768">
            <v>4.5940594059405947E-2</v>
          </cell>
          <cell r="BE2768">
            <v>1.8245989304812837</v>
          </cell>
          <cell r="BF2768">
            <v>1.2537599945068358</v>
          </cell>
          <cell r="BG2768">
            <v>0.54872398376464848</v>
          </cell>
        </row>
        <row r="2769">
          <cell r="D2769" t="str">
            <v>贸易公司与工业品经销商</v>
          </cell>
          <cell r="M2769">
            <v>68.579399016000011</v>
          </cell>
          <cell r="N2769">
            <v>34.290935594842594</v>
          </cell>
          <cell r="O2769" t="str">
            <v>工业</v>
          </cell>
          <cell r="P2769" t="str">
            <v>资本货物</v>
          </cell>
          <cell r="Q2769" t="str">
            <v>贸易公司与工业品经销商Ⅲ</v>
          </cell>
          <cell r="BC2769">
            <v>-1.6617210682492646E-2</v>
          </cell>
          <cell r="BD2769">
            <v>-0.14233954451345757</v>
          </cell>
          <cell r="BE2769">
            <v>0.85346756152125292</v>
          </cell>
          <cell r="BF2769">
            <v>0.69649200439453129</v>
          </cell>
          <cell r="BG2769">
            <v>0.29491199493408204</v>
          </cell>
        </row>
        <row r="2770">
          <cell r="D2770" t="str">
            <v>生物科技</v>
          </cell>
          <cell r="M2770">
            <v>58.544735997899998</v>
          </cell>
          <cell r="N2770">
            <v>29.257483651020369</v>
          </cell>
          <cell r="O2770" t="str">
            <v>医疗保健</v>
          </cell>
          <cell r="P2770" t="str">
            <v>制药、生物科技与生命科学</v>
          </cell>
          <cell r="Q2770" t="str">
            <v>生物科技Ⅲ</v>
          </cell>
          <cell r="BC2770">
            <v>0.11447212336892051</v>
          </cell>
          <cell r="BD2770">
            <v>2.3420479302832229E-2</v>
          </cell>
          <cell r="BE2770">
            <v>0.11778703152885191</v>
          </cell>
          <cell r="BF2770">
            <v>0.7636920166015625</v>
          </cell>
          <cell r="BG2770">
            <v>0.30177600860595705</v>
          </cell>
        </row>
        <row r="2771">
          <cell r="D2771" t="str">
            <v>电子元件</v>
          </cell>
          <cell r="M2771">
            <v>160.18980668750001</v>
          </cell>
          <cell r="N2771">
            <v>79.866143285410701</v>
          </cell>
          <cell r="O2771" t="str">
            <v>信息技术</v>
          </cell>
          <cell r="P2771" t="str">
            <v>技术硬件与设备</v>
          </cell>
          <cell r="Q2771" t="str">
            <v>电子设备、仪器和元件</v>
          </cell>
          <cell r="BC2771">
            <v>9.2930633919681756E-3</v>
          </cell>
          <cell r="BD2771">
            <v>-0.13974540311173977</v>
          </cell>
          <cell r="BE2771">
            <v>1.7670609645131938</v>
          </cell>
          <cell r="BF2771">
            <v>1.0734239959716796</v>
          </cell>
          <cell r="BG2771">
            <v>0.39785999298095703</v>
          </cell>
        </row>
        <row r="2772">
          <cell r="D2772" t="str">
            <v>化纤</v>
          </cell>
          <cell r="M2772">
            <v>66.439904201199994</v>
          </cell>
          <cell r="N2772">
            <v>33.099670398474075</v>
          </cell>
          <cell r="O2772" t="str">
            <v>材料</v>
          </cell>
          <cell r="P2772" t="str">
            <v>材料Ⅱ</v>
          </cell>
          <cell r="Q2772" t="str">
            <v>化工</v>
          </cell>
          <cell r="BC2772">
            <v>0.15987933634992466</v>
          </cell>
          <cell r="BD2772">
            <v>-2.6582278481012654E-2</v>
          </cell>
          <cell r="BE2772">
            <v>0.17764165390505363</v>
          </cell>
          <cell r="BF2772">
            <v>0.52564800262451172</v>
          </cell>
          <cell r="BG2772">
            <v>9.974399566650391E-2</v>
          </cell>
        </row>
        <row r="2773">
          <cell r="D2773" t="str">
            <v>林木产品</v>
          </cell>
          <cell r="M2773">
            <v>34.163360000000004</v>
          </cell>
          <cell r="N2773">
            <v>16.982264571253708</v>
          </cell>
          <cell r="O2773" t="str">
            <v>材料</v>
          </cell>
          <cell r="P2773" t="str">
            <v>材料Ⅱ</v>
          </cell>
          <cell r="Q2773" t="str">
            <v>纸与林木产品</v>
          </cell>
          <cell r="BC2773">
            <v>-4.2909090909090897E-2</v>
          </cell>
          <cell r="BD2773">
            <v>3.3372595210051099E-2</v>
          </cell>
          <cell r="BE2773">
            <v>1.0643137254901962</v>
          </cell>
          <cell r="BF2773">
            <v>0.67071601867675779</v>
          </cell>
          <cell r="BG2773">
            <v>0.2472599983215332</v>
          </cell>
        </row>
        <row r="2774">
          <cell r="D2774" t="str">
            <v>钢铁</v>
          </cell>
          <cell r="M2774">
            <v>31.570698336</v>
          </cell>
          <cell r="N2774">
            <v>15.65305958567037</v>
          </cell>
          <cell r="O2774" t="str">
            <v>材料</v>
          </cell>
          <cell r="P2774" t="str">
            <v>材料Ⅱ</v>
          </cell>
          <cell r="Q2774" t="str">
            <v>金属、非金属与采矿</v>
          </cell>
          <cell r="BC2774">
            <v>2.7837259100642376E-2</v>
          </cell>
          <cell r="BD2774">
            <v>8.1081081081080947E-2</v>
          </cell>
          <cell r="BE2774">
            <v>-8.7452471482889732E-2</v>
          </cell>
          <cell r="BF2774">
            <v>0.18562799453735351</v>
          </cell>
          <cell r="BG2774">
            <v>0.15333600044250489</v>
          </cell>
        </row>
        <row r="2775">
          <cell r="D2775" t="str">
            <v>汽车制造</v>
          </cell>
          <cell r="M2775">
            <v>24.64</v>
          </cell>
          <cell r="N2775">
            <v>12.214982610333333</v>
          </cell>
          <cell r="O2775" t="str">
            <v>可选消费</v>
          </cell>
          <cell r="P2775" t="str">
            <v>汽车与汽车零部件</v>
          </cell>
          <cell r="Q2775" t="str">
            <v>汽车</v>
          </cell>
          <cell r="BC2775">
            <v>5.164319248826281E-2</v>
          </cell>
          <cell r="BD2775">
            <v>5.3859964093356119E-3</v>
          </cell>
          <cell r="BE2775">
            <v>-0.31748933577087146</v>
          </cell>
          <cell r="BF2775">
            <v>0.30289199829101565</v>
          </cell>
          <cell r="BG2775">
            <v>-1.2683999538421632E-2</v>
          </cell>
        </row>
        <row r="2776">
          <cell r="D2776" t="str">
            <v>房地产开发</v>
          </cell>
          <cell r="M2776">
            <v>38.023015496399999</v>
          </cell>
          <cell r="N2776">
            <v>18.771924580583331</v>
          </cell>
          <cell r="O2776" t="str">
            <v>金融</v>
          </cell>
          <cell r="P2776" t="str">
            <v>房地产</v>
          </cell>
          <cell r="Q2776" t="str">
            <v>房地产管理与开发</v>
          </cell>
          <cell r="BC2776">
            <v>3.8461538461538471E-2</v>
          </cell>
          <cell r="BD2776">
            <v>-5.7142857142857058E-2</v>
          </cell>
          <cell r="BE2776">
            <v>-0.13242453748782856</v>
          </cell>
          <cell r="BF2776">
            <v>0.61094398498535152</v>
          </cell>
          <cell r="BG2776">
            <v>0.18835199356079102</v>
          </cell>
        </row>
        <row r="2777">
          <cell r="D2777" t="str">
            <v>钢铁</v>
          </cell>
          <cell r="M2777">
            <v>46.446805460999997</v>
          </cell>
          <cell r="N2777">
            <v>22.74471431652778</v>
          </cell>
          <cell r="O2777" t="str">
            <v>材料</v>
          </cell>
          <cell r="P2777" t="str">
            <v>材料Ⅱ</v>
          </cell>
          <cell r="Q2777" t="str">
            <v>金属、非金属与采矿</v>
          </cell>
          <cell r="BC2777">
            <v>0</v>
          </cell>
          <cell r="BD2777">
            <v>0</v>
          </cell>
          <cell r="BE2777">
            <v>-0.19092122830440594</v>
          </cell>
          <cell r="BF2777">
            <v>0.46307998657226562</v>
          </cell>
          <cell r="BG2777">
            <v>-7.3199999332427979E-3</v>
          </cell>
        </row>
        <row r="2778">
          <cell r="D2778" t="str">
            <v>餐馆</v>
          </cell>
          <cell r="M2778">
            <v>43.76</v>
          </cell>
          <cell r="N2778">
            <v>21.395602519338887</v>
          </cell>
          <cell r="O2778" t="str">
            <v>可选消费</v>
          </cell>
          <cell r="P2778" t="str">
            <v>消费者服务Ⅱ</v>
          </cell>
          <cell r="Q2778" t="str">
            <v>酒店、餐馆与休闲Ⅲ</v>
          </cell>
          <cell r="BC2778">
            <v>0</v>
          </cell>
          <cell r="BD2778">
            <v>-9.136212624584715E-2</v>
          </cell>
          <cell r="BE2778">
            <v>-0.37557077625570778</v>
          </cell>
          <cell r="BF2778">
            <v>7.0356001853942876E-2</v>
          </cell>
          <cell r="BG2778">
            <v>0.1209000015258789</v>
          </cell>
        </row>
        <row r="2779">
          <cell r="D2779" t="str">
            <v>基础化工</v>
          </cell>
          <cell r="M2779">
            <v>34.447536499999998</v>
          </cell>
          <cell r="N2779">
            <v>16.717372385243518</v>
          </cell>
          <cell r="O2779" t="str">
            <v>材料</v>
          </cell>
          <cell r="P2779" t="str">
            <v>材料Ⅱ</v>
          </cell>
          <cell r="Q2779" t="str">
            <v>化工</v>
          </cell>
          <cell r="BC2779">
            <v>-1.0619469026548759E-2</v>
          </cell>
          <cell r="BD2779">
            <v>-5.2542372881356013E-2</v>
          </cell>
          <cell r="BE2779">
            <v>0.11354581673306779</v>
          </cell>
          <cell r="BF2779">
            <v>0.45868801116943358</v>
          </cell>
          <cell r="BG2779">
            <v>1.0091999769210816E-2</v>
          </cell>
        </row>
        <row r="2780">
          <cell r="D2780" t="str">
            <v>煤炭与消费用燃料</v>
          </cell>
          <cell r="M2780">
            <v>50.427</v>
          </cell>
          <cell r="N2780">
            <v>24.442835821191668</v>
          </cell>
          <cell r="O2780" t="str">
            <v>能源</v>
          </cell>
          <cell r="P2780" t="str">
            <v>能源Ⅱ</v>
          </cell>
          <cell r="Q2780" t="str">
            <v>石油、天然气与供消费用燃料</v>
          </cell>
          <cell r="BC2780">
            <v>-5.3440702781844832E-2</v>
          </cell>
          <cell r="BD2780">
            <v>-9.0077410274454678E-2</v>
          </cell>
          <cell r="BE2780">
            <v>0.53928571428571415</v>
          </cell>
          <cell r="BF2780">
            <v>0.93547203063964846</v>
          </cell>
          <cell r="BG2780">
            <v>0.31072799682617186</v>
          </cell>
        </row>
        <row r="2781">
          <cell r="D2781" t="str">
            <v>纸制品</v>
          </cell>
          <cell r="M2781">
            <v>79.358400000000003</v>
          </cell>
          <cell r="N2781">
            <v>38.446122429851847</v>
          </cell>
          <cell r="O2781" t="str">
            <v>材料</v>
          </cell>
          <cell r="P2781" t="str">
            <v>材料Ⅱ</v>
          </cell>
          <cell r="Q2781" t="str">
            <v>纸与林木产品</v>
          </cell>
          <cell r="BC2781">
            <v>1.4170040485830017E-2</v>
          </cell>
          <cell r="BD2781">
            <v>6.5957446808510664E-2</v>
          </cell>
          <cell r="BE2781">
            <v>1.0788381742738589</v>
          </cell>
          <cell r="BF2781">
            <v>1.33656005859375</v>
          </cell>
          <cell r="BG2781">
            <v>0.49197601318359374</v>
          </cell>
        </row>
        <row r="2782">
          <cell r="D2782" t="str">
            <v>基础化工</v>
          </cell>
          <cell r="M2782">
            <v>32.379898877999992</v>
          </cell>
          <cell r="N2782">
            <v>15.607985058562033</v>
          </cell>
          <cell r="O2782" t="str">
            <v>材料</v>
          </cell>
          <cell r="P2782" t="str">
            <v>材料Ⅱ</v>
          </cell>
          <cell r="Q2782" t="str">
            <v>化工</v>
          </cell>
          <cell r="BC2782">
            <v>7.6622361219702936E-2</v>
          </cell>
          <cell r="BD2782">
            <v>7.999999999999996E-2</v>
          </cell>
          <cell r="BE2782">
            <v>0.40510204081632639</v>
          </cell>
          <cell r="BF2782">
            <v>0.45437999725341799</v>
          </cell>
          <cell r="BG2782">
            <v>0.20546400070190429</v>
          </cell>
        </row>
        <row r="2783">
          <cell r="D2783" t="str">
            <v>酒店、度假村与豪华游轮</v>
          </cell>
          <cell r="M2783">
            <v>34.191932790000003</v>
          </cell>
          <cell r="N2783">
            <v>16.327821438718519</v>
          </cell>
          <cell r="O2783" t="str">
            <v>可选消费</v>
          </cell>
          <cell r="P2783" t="str">
            <v>消费者服务Ⅱ</v>
          </cell>
          <cell r="Q2783" t="str">
            <v>酒店、餐馆与休闲Ⅲ</v>
          </cell>
          <cell r="BC2783">
            <v>0</v>
          </cell>
          <cell r="BD2783">
            <v>0</v>
          </cell>
          <cell r="BE2783">
            <v>1.0801603206412826</v>
          </cell>
          <cell r="BF2783">
            <v>0.70790397644042968</v>
          </cell>
          <cell r="BG2783">
            <v>0.20236799240112305</v>
          </cell>
        </row>
        <row r="2784">
          <cell r="D2784" t="str">
            <v>房地产开发</v>
          </cell>
          <cell r="M2784">
            <v>30.007551599999996</v>
          </cell>
          <cell r="N2784">
            <v>14.273445574475</v>
          </cell>
          <cell r="O2784" t="str">
            <v>金融</v>
          </cell>
          <cell r="P2784" t="str">
            <v>房地产</v>
          </cell>
          <cell r="Q2784" t="str">
            <v>房地产管理与开发</v>
          </cell>
          <cell r="BC2784">
            <v>9.3841642228738878E-2</v>
          </cell>
          <cell r="BD2784">
            <v>-0.12069778406412079</v>
          </cell>
          <cell r="BE2784">
            <v>5.1296505073280735E-2</v>
          </cell>
          <cell r="BF2784">
            <v>0.82376403808593746</v>
          </cell>
          <cell r="BG2784">
            <v>0.31233600616455076</v>
          </cell>
        </row>
        <row r="2785">
          <cell r="D2785" t="str">
            <v>建筑机械与重型卡车</v>
          </cell>
          <cell r="M2785">
            <v>32.799374999999998</v>
          </cell>
          <cell r="N2785">
            <v>14.878227167805553</v>
          </cell>
          <cell r="O2785" t="str">
            <v>工业</v>
          </cell>
          <cell r="P2785" t="str">
            <v>资本货物</v>
          </cell>
          <cell r="Q2785" t="str">
            <v>机械</v>
          </cell>
          <cell r="BC2785">
            <v>0</v>
          </cell>
          <cell r="BD2785">
            <v>0</v>
          </cell>
          <cell r="BE2785">
            <v>-0.37455325232308795</v>
          </cell>
          <cell r="BF2785">
            <v>5.2656002044677734E-2</v>
          </cell>
          <cell r="BG2785">
            <v>0</v>
          </cell>
        </row>
        <row r="2786">
          <cell r="D2786" t="str">
            <v>贸易公司与工业品经销商</v>
          </cell>
          <cell r="M2786">
            <v>12.467510909</v>
          </cell>
          <cell r="N2786">
            <v>5.1952625043407394</v>
          </cell>
          <cell r="O2786" t="str">
            <v>工业</v>
          </cell>
          <cell r="P2786" t="str">
            <v>资本货物</v>
          </cell>
          <cell r="Q2786" t="str">
            <v>贸易公司与工业品经销商Ⅲ</v>
          </cell>
          <cell r="BC2786">
            <v>0</v>
          </cell>
          <cell r="BD2786">
            <v>0</v>
          </cell>
          <cell r="BE2786">
            <v>-0.12898936170212763</v>
          </cell>
          <cell r="BF2786">
            <v>0.12458399772644042</v>
          </cell>
          <cell r="BG2786">
            <v>0.14270400047302245</v>
          </cell>
        </row>
        <row r="2787">
          <cell r="D2787" t="str">
            <v>化肥与农用化工</v>
          </cell>
          <cell r="M2787">
            <v>36.989000000000004</v>
          </cell>
          <cell r="N2787">
            <v>15.186185937009256</v>
          </cell>
          <cell r="O2787" t="str">
            <v>材料</v>
          </cell>
          <cell r="P2787" t="str">
            <v>材料Ⅱ</v>
          </cell>
          <cell r="Q2787" t="str">
            <v>化工</v>
          </cell>
          <cell r="BC2787">
            <v>-8.7006960556844454E-2</v>
          </cell>
          <cell r="BD2787">
            <v>2.5477707006370015E-3</v>
          </cell>
          <cell r="BE2787">
            <v>-0.23069403714565007</v>
          </cell>
          <cell r="BF2787">
            <v>0.56359199523925785</v>
          </cell>
          <cell r="BG2787">
            <v>0.14906399726867675</v>
          </cell>
        </row>
        <row r="2788">
          <cell r="D2788" t="str">
            <v>钢铁</v>
          </cell>
          <cell r="M2788">
            <v>7.0627095000000004</v>
          </cell>
          <cell r="N2788">
            <v>0.46447620550185253</v>
          </cell>
          <cell r="O2788" t="str">
            <v>材料</v>
          </cell>
          <cell r="P2788" t="str">
            <v>材料Ⅱ</v>
          </cell>
          <cell r="Q2788" t="str">
            <v>金属、非金属与采矿</v>
          </cell>
          <cell r="BC2788">
            <v>0</v>
          </cell>
          <cell r="BD2788">
            <v>3.0049457587055457E-8</v>
          </cell>
          <cell r="BE2788">
            <v>0.21112933262945757</v>
          </cell>
          <cell r="BF2788">
            <v>0.31335599899291994</v>
          </cell>
          <cell r="BG2788">
            <v>5.0999999046325684E-2</v>
          </cell>
        </row>
      </sheetData>
      <sheetData sheetId="2">
        <row r="4">
          <cell r="B4" t="str">
            <v>金融</v>
          </cell>
        </row>
        <row r="5">
          <cell r="B5" t="str">
            <v>公用事业</v>
          </cell>
        </row>
        <row r="6">
          <cell r="B6" t="str">
            <v>可选消费</v>
          </cell>
        </row>
        <row r="7">
          <cell r="B7" t="str">
            <v>医疗保健</v>
          </cell>
        </row>
        <row r="8">
          <cell r="B8" t="str">
            <v>日常消费</v>
          </cell>
        </row>
        <row r="9">
          <cell r="B9" t="str">
            <v>工业</v>
          </cell>
        </row>
        <row r="10">
          <cell r="B10" t="str">
            <v>电信服务</v>
          </cell>
        </row>
        <row r="11">
          <cell r="B11" t="str">
            <v>信息技术</v>
          </cell>
        </row>
        <row r="12">
          <cell r="B12" t="str">
            <v>材料</v>
          </cell>
        </row>
        <row r="13">
          <cell r="B13" t="str">
            <v>能源</v>
          </cell>
        </row>
        <row r="14">
          <cell r="B14" t="str">
            <v>银行</v>
          </cell>
        </row>
        <row r="15">
          <cell r="B15" t="str">
            <v>多元金融</v>
          </cell>
        </row>
        <row r="16">
          <cell r="B16" t="str">
            <v>公用事业Ⅱ</v>
          </cell>
        </row>
        <row r="17">
          <cell r="B17" t="str">
            <v>家庭与个人用品</v>
          </cell>
        </row>
        <row r="18">
          <cell r="B18" t="str">
            <v>汽车与汽车零部件</v>
          </cell>
        </row>
        <row r="19">
          <cell r="B19" t="str">
            <v>保险Ⅱ</v>
          </cell>
        </row>
        <row r="20">
          <cell r="B20" t="str">
            <v>耐用消费品与服装</v>
          </cell>
        </row>
        <row r="21">
          <cell r="B21" t="str">
            <v>运输</v>
          </cell>
        </row>
        <row r="22">
          <cell r="B22" t="str">
            <v>制药、生物科技与生命科学</v>
          </cell>
        </row>
        <row r="23">
          <cell r="B23" t="str">
            <v>食品、饮料与烟草</v>
          </cell>
        </row>
        <row r="24">
          <cell r="B24" t="str">
            <v>食品与主要用品零售Ⅱ</v>
          </cell>
        </row>
        <row r="25">
          <cell r="B25" t="str">
            <v>媒体Ⅱ</v>
          </cell>
        </row>
        <row r="26">
          <cell r="B26" t="str">
            <v>商业和专业服务</v>
          </cell>
        </row>
        <row r="27">
          <cell r="B27" t="str">
            <v>软件与服务</v>
          </cell>
        </row>
        <row r="28">
          <cell r="B28" t="str">
            <v>资本货物</v>
          </cell>
        </row>
        <row r="29">
          <cell r="B29" t="str">
            <v>电信服务Ⅱ</v>
          </cell>
        </row>
        <row r="30">
          <cell r="B30" t="str">
            <v>技术硬件与设备</v>
          </cell>
        </row>
        <row r="31">
          <cell r="B31" t="str">
            <v>材料Ⅱ</v>
          </cell>
        </row>
        <row r="32">
          <cell r="B32" t="str">
            <v>消费者服务Ⅱ</v>
          </cell>
        </row>
        <row r="33">
          <cell r="B33" t="str">
            <v>房地产</v>
          </cell>
        </row>
        <row r="34">
          <cell r="B34" t="str">
            <v>医疗保健设备与服务</v>
          </cell>
        </row>
        <row r="35">
          <cell r="B35" t="str">
            <v>能源Ⅱ</v>
          </cell>
        </row>
        <row r="36">
          <cell r="B36" t="str">
            <v>零售业</v>
          </cell>
        </row>
        <row r="37">
          <cell r="B37" t="str">
            <v>半导体与半导体生产设备</v>
          </cell>
        </row>
        <row r="38">
          <cell r="B38" t="str">
            <v>商业银行</v>
          </cell>
        </row>
        <row r="39">
          <cell r="B39" t="str">
            <v>个人用品Ⅲ</v>
          </cell>
        </row>
        <row r="40">
          <cell r="B40" t="str">
            <v>资本市场</v>
          </cell>
        </row>
        <row r="41">
          <cell r="B41" t="str">
            <v>电力Ⅲ</v>
          </cell>
        </row>
        <row r="42">
          <cell r="B42" t="str">
            <v>汽车</v>
          </cell>
        </row>
        <row r="43">
          <cell r="B43" t="str">
            <v>航空Ⅲ</v>
          </cell>
        </row>
        <row r="44">
          <cell r="B44" t="str">
            <v>家庭耐用消费品</v>
          </cell>
        </row>
        <row r="45">
          <cell r="B45" t="str">
            <v>独立电力生产商与能源贸易商Ⅲ</v>
          </cell>
        </row>
        <row r="46">
          <cell r="B46" t="str">
            <v>生物科技Ⅲ</v>
          </cell>
        </row>
        <row r="47">
          <cell r="B47" t="str">
            <v>保险Ⅲ</v>
          </cell>
        </row>
        <row r="48">
          <cell r="B48" t="str">
            <v>公路与铁路运输</v>
          </cell>
        </row>
        <row r="49">
          <cell r="B49" t="str">
            <v>互联网软件与服务Ⅲ</v>
          </cell>
        </row>
        <row r="50">
          <cell r="B50" t="str">
            <v>饮料</v>
          </cell>
        </row>
        <row r="51">
          <cell r="B51" t="str">
            <v>建筑与工程Ⅲ</v>
          </cell>
        </row>
        <row r="52">
          <cell r="B52" t="str">
            <v>制药</v>
          </cell>
        </row>
        <row r="53">
          <cell r="B53" t="str">
            <v>能源设备与服务</v>
          </cell>
        </row>
        <row r="54">
          <cell r="B54" t="str">
            <v>纺织品、服装与奢侈品</v>
          </cell>
        </row>
        <row r="55">
          <cell r="B55" t="str">
            <v>交通基础设施</v>
          </cell>
        </row>
        <row r="56">
          <cell r="B56" t="str">
            <v>化工</v>
          </cell>
        </row>
        <row r="57">
          <cell r="B57" t="str">
            <v>电气设备</v>
          </cell>
        </row>
        <row r="58">
          <cell r="B58" t="str">
            <v>水务Ⅲ</v>
          </cell>
        </row>
        <row r="59">
          <cell r="B59" t="str">
            <v>食品</v>
          </cell>
        </row>
        <row r="60">
          <cell r="B60" t="str">
            <v>容器与包装</v>
          </cell>
        </row>
        <row r="61">
          <cell r="B61" t="str">
            <v>食品与主要用品零售Ⅲ</v>
          </cell>
        </row>
        <row r="62">
          <cell r="B62" t="str">
            <v>建材Ⅲ</v>
          </cell>
        </row>
        <row r="63">
          <cell r="B63" t="str">
            <v>商业服务与用品</v>
          </cell>
        </row>
        <row r="64">
          <cell r="B64" t="str">
            <v>媒体Ⅲ</v>
          </cell>
        </row>
        <row r="65">
          <cell r="B65" t="str">
            <v>多元电信服务</v>
          </cell>
        </row>
        <row r="66">
          <cell r="B66" t="str">
            <v>汽车零配件</v>
          </cell>
        </row>
        <row r="67">
          <cell r="B67" t="str">
            <v>电子设备、仪器和元件</v>
          </cell>
        </row>
        <row r="68">
          <cell r="B68" t="str">
            <v>通信设备Ⅲ</v>
          </cell>
        </row>
        <row r="69">
          <cell r="B69" t="str">
            <v>专业服务</v>
          </cell>
        </row>
        <row r="70">
          <cell r="B70" t="str">
            <v>建筑产品Ⅲ</v>
          </cell>
        </row>
        <row r="71">
          <cell r="B71" t="str">
            <v>生命科学工具和服务Ⅲ</v>
          </cell>
        </row>
        <row r="72">
          <cell r="B72" t="str">
            <v>酒店、餐馆与休闲Ⅲ</v>
          </cell>
        </row>
        <row r="73">
          <cell r="B73" t="str">
            <v>房地产管理与开发</v>
          </cell>
        </row>
        <row r="74">
          <cell r="B74" t="str">
            <v>软件</v>
          </cell>
        </row>
        <row r="75">
          <cell r="B75" t="str">
            <v>信息技术服务</v>
          </cell>
        </row>
        <row r="76">
          <cell r="B76" t="str">
            <v>航空货运与物流Ⅲ</v>
          </cell>
        </row>
        <row r="77">
          <cell r="B77" t="str">
            <v>医疗保健设备与用品</v>
          </cell>
        </row>
        <row r="78">
          <cell r="B78" t="str">
            <v>机械</v>
          </cell>
        </row>
        <row r="79">
          <cell r="B79" t="str">
            <v>多元化零售</v>
          </cell>
        </row>
        <row r="80">
          <cell r="B80" t="str">
            <v>电脑与外围设备</v>
          </cell>
        </row>
        <row r="81">
          <cell r="B81" t="str">
            <v>医疗保健提供商与服务</v>
          </cell>
        </row>
        <row r="82">
          <cell r="B82" t="str">
            <v>海运Ⅲ</v>
          </cell>
        </row>
        <row r="83">
          <cell r="B83" t="str">
            <v>贸易公司与工业品经销商Ⅲ</v>
          </cell>
        </row>
        <row r="84">
          <cell r="B84" t="str">
            <v>复合型公用事业Ⅲ</v>
          </cell>
        </row>
        <row r="85">
          <cell r="B85" t="str">
            <v>纸与林木产品</v>
          </cell>
        </row>
        <row r="86">
          <cell r="B86" t="str">
            <v>燃气Ⅲ</v>
          </cell>
        </row>
        <row r="87">
          <cell r="B87" t="str">
            <v>金属、非金属与采矿</v>
          </cell>
        </row>
        <row r="88">
          <cell r="B88" t="str">
            <v>医疗保健技术Ⅲ</v>
          </cell>
        </row>
        <row r="89">
          <cell r="B89" t="str">
            <v>半导体产品与半导体设备</v>
          </cell>
        </row>
        <row r="90">
          <cell r="B90" t="str">
            <v>石油、天然气与供消费用燃料</v>
          </cell>
        </row>
        <row r="91">
          <cell r="B91" t="str">
            <v>综合消费者服务Ⅲ</v>
          </cell>
        </row>
        <row r="92">
          <cell r="B92" t="str">
            <v>专营零售</v>
          </cell>
        </row>
        <row r="93">
          <cell r="B93" t="str">
            <v>综合类Ⅲ</v>
          </cell>
        </row>
        <row r="94">
          <cell r="B94" t="str">
            <v>休闲设备与用品</v>
          </cell>
        </row>
        <row r="95">
          <cell r="B95" t="str">
            <v>消费品经销商Ⅲ</v>
          </cell>
        </row>
        <row r="96">
          <cell r="B96" t="str">
            <v>多元金融服务</v>
          </cell>
        </row>
        <row r="97">
          <cell r="B97" t="str">
            <v>无线电信业务Ⅲ</v>
          </cell>
        </row>
        <row r="98">
          <cell r="B98" t="str">
            <v>家庭用品Ⅲ</v>
          </cell>
        </row>
        <row r="99">
          <cell r="B99" t="str">
            <v>互联网与售货目录零售</v>
          </cell>
        </row>
        <row r="100">
          <cell r="B100" t="str">
            <v>航空航天与国防Ⅲ</v>
          </cell>
        </row>
        <row r="101">
          <cell r="B101" t="str">
            <v>多元化银行</v>
          </cell>
        </row>
        <row r="102">
          <cell r="B102" t="str">
            <v>个人用品</v>
          </cell>
        </row>
        <row r="103">
          <cell r="B103" t="str">
            <v>家用电器</v>
          </cell>
        </row>
        <row r="104">
          <cell r="B104" t="str">
            <v>投资银行业与经纪业</v>
          </cell>
        </row>
        <row r="105">
          <cell r="B105" t="str">
            <v>区域性银行</v>
          </cell>
        </row>
        <row r="106">
          <cell r="B106" t="str">
            <v>资产管理与托管银行</v>
          </cell>
        </row>
        <row r="107">
          <cell r="B107" t="str">
            <v>媒体Ⅲ</v>
          </cell>
        </row>
        <row r="108">
          <cell r="B108" t="str">
            <v>电力</v>
          </cell>
        </row>
        <row r="109">
          <cell r="B109" t="str">
            <v>汽车制造</v>
          </cell>
        </row>
        <row r="110">
          <cell r="B110" t="str">
            <v>家庭娱乐软件</v>
          </cell>
        </row>
        <row r="111">
          <cell r="B111" t="str">
            <v>航空</v>
          </cell>
        </row>
        <row r="112">
          <cell r="B112" t="str">
            <v>铁路运输</v>
          </cell>
        </row>
        <row r="113">
          <cell r="B113" t="str">
            <v>多元化保险</v>
          </cell>
        </row>
        <row r="114">
          <cell r="B114" t="str">
            <v>新能源发电业者</v>
          </cell>
        </row>
        <row r="115">
          <cell r="B115" t="str">
            <v>生物科技</v>
          </cell>
        </row>
        <row r="116">
          <cell r="B116" t="str">
            <v>公路与铁路</v>
          </cell>
        </row>
        <row r="117">
          <cell r="B117" t="str">
            <v>软饮料</v>
          </cell>
        </row>
        <row r="118">
          <cell r="B118" t="str">
            <v>医疗保健用品</v>
          </cell>
        </row>
        <row r="119">
          <cell r="B119" t="str">
            <v>机场服务</v>
          </cell>
        </row>
        <row r="120">
          <cell r="B120" t="str">
            <v>白酒与葡萄酒</v>
          </cell>
        </row>
        <row r="121">
          <cell r="B121" t="str">
            <v>家庭装饰品</v>
          </cell>
        </row>
        <row r="122">
          <cell r="B122" t="str">
            <v>石油与天然气的储存和运输</v>
          </cell>
        </row>
        <row r="123">
          <cell r="B123" t="str">
            <v>服装、服饰与奢侈品</v>
          </cell>
        </row>
        <row r="124">
          <cell r="B124" t="str">
            <v>互联网软件与服务</v>
          </cell>
        </row>
        <row r="125">
          <cell r="B125" t="str">
            <v>休闲设施</v>
          </cell>
        </row>
        <row r="126">
          <cell r="B126" t="str">
            <v>建筑与工程</v>
          </cell>
        </row>
        <row r="127">
          <cell r="B127" t="str">
            <v>中药</v>
          </cell>
        </row>
        <row r="128">
          <cell r="B128" t="str">
            <v>多元化工</v>
          </cell>
        </row>
        <row r="129">
          <cell r="B129" t="str">
            <v>特种化工</v>
          </cell>
        </row>
        <row r="130">
          <cell r="B130" t="str">
            <v>人寿与健康保险</v>
          </cell>
        </row>
        <row r="131">
          <cell r="B131" t="str">
            <v>药品零售</v>
          </cell>
        </row>
        <row r="132">
          <cell r="B132" t="str">
            <v>非传统电信运营商</v>
          </cell>
        </row>
        <row r="133">
          <cell r="B133" t="str">
            <v>轮胎与橡胶</v>
          </cell>
        </row>
        <row r="134">
          <cell r="B134" t="str">
            <v>重型电气设备</v>
          </cell>
        </row>
        <row r="135">
          <cell r="B135" t="str">
            <v>化肥与农用化工</v>
          </cell>
        </row>
        <row r="136">
          <cell r="B136" t="str">
            <v>保健护理设施</v>
          </cell>
        </row>
        <row r="137">
          <cell r="B137" t="str">
            <v>金属与玻璃容器</v>
          </cell>
        </row>
        <row r="138">
          <cell r="B138" t="str">
            <v>西药</v>
          </cell>
        </row>
        <row r="139">
          <cell r="B139" t="str">
            <v>石油天然气设备与服务</v>
          </cell>
        </row>
        <row r="140">
          <cell r="B140" t="str">
            <v>摩托车制造</v>
          </cell>
        </row>
        <row r="141">
          <cell r="B141" t="str">
            <v>基础化工</v>
          </cell>
        </row>
        <row r="142">
          <cell r="B142" t="str">
            <v>消费电子产品</v>
          </cell>
        </row>
        <row r="143">
          <cell r="B143" t="str">
            <v>办公服务与用品</v>
          </cell>
        </row>
        <row r="144">
          <cell r="B144" t="str">
            <v>电气部件与设备</v>
          </cell>
        </row>
        <row r="145">
          <cell r="B145" t="str">
            <v>电子元件</v>
          </cell>
        </row>
        <row r="146">
          <cell r="B146" t="str">
            <v>电脑存储与外围设备</v>
          </cell>
        </row>
        <row r="147">
          <cell r="B147" t="str">
            <v>出版</v>
          </cell>
        </row>
        <row r="148">
          <cell r="B148" t="str">
            <v>农产品</v>
          </cell>
        </row>
        <row r="149">
          <cell r="B149" t="str">
            <v>水务</v>
          </cell>
        </row>
        <row r="150">
          <cell r="B150" t="str">
            <v>环境与设施服务</v>
          </cell>
        </row>
        <row r="151">
          <cell r="B151" t="str">
            <v>电影与娱乐</v>
          </cell>
        </row>
        <row r="152">
          <cell r="B152" t="str">
            <v>钢铁</v>
          </cell>
        </row>
        <row r="153">
          <cell r="B153" t="str">
            <v>食品加工与肉类</v>
          </cell>
        </row>
        <row r="154">
          <cell r="B154" t="str">
            <v>建材</v>
          </cell>
        </row>
        <row r="155">
          <cell r="B155" t="str">
            <v>财产与意外伤害保险</v>
          </cell>
        </row>
        <row r="156">
          <cell r="B156" t="str">
            <v>商业印刷</v>
          </cell>
        </row>
        <row r="157">
          <cell r="B157" t="str">
            <v>通信设备</v>
          </cell>
        </row>
        <row r="158">
          <cell r="B158" t="str">
            <v>机动车零配件与设备</v>
          </cell>
        </row>
        <row r="159">
          <cell r="B159" t="str">
            <v>海港与服务</v>
          </cell>
        </row>
        <row r="160">
          <cell r="B160" t="str">
            <v>煤炭与消费用燃料</v>
          </cell>
        </row>
        <row r="161">
          <cell r="B161" t="str">
            <v>调查和咨询服务</v>
          </cell>
        </row>
        <row r="162">
          <cell r="B162" t="str">
            <v>建筑产品</v>
          </cell>
        </row>
        <row r="163">
          <cell r="B163" t="str">
            <v>鞋类</v>
          </cell>
        </row>
        <row r="164">
          <cell r="B164" t="str">
            <v>综合电信服务</v>
          </cell>
        </row>
        <row r="165">
          <cell r="B165" t="str">
            <v>生命科学工具和服务</v>
          </cell>
        </row>
        <row r="166">
          <cell r="B166" t="str">
            <v>房地产开发</v>
          </cell>
        </row>
        <row r="167">
          <cell r="B167" t="str">
            <v>石油与天然气的炼制和销售</v>
          </cell>
        </row>
        <row r="168">
          <cell r="B168" t="str">
            <v>建筑机械与重型卡车</v>
          </cell>
        </row>
        <row r="169">
          <cell r="B169" t="str">
            <v>摄影用品</v>
          </cell>
        </row>
        <row r="170">
          <cell r="B170" t="str">
            <v>信息科技咨询与其它服务</v>
          </cell>
        </row>
        <row r="171">
          <cell r="B171" t="str">
            <v>航空货运与物流</v>
          </cell>
        </row>
        <row r="172">
          <cell r="B172" t="str">
            <v>酒店、度假村与豪华游轮</v>
          </cell>
        </row>
        <row r="173">
          <cell r="B173" t="str">
            <v>纸制品</v>
          </cell>
        </row>
        <row r="174">
          <cell r="B174" t="str">
            <v>数据处理与外包服务</v>
          </cell>
        </row>
        <row r="175">
          <cell r="B175" t="str">
            <v>百货商店</v>
          </cell>
        </row>
        <row r="176">
          <cell r="B176" t="str">
            <v>有线和卫星电视</v>
          </cell>
        </row>
        <row r="177">
          <cell r="B177" t="str">
            <v>工业机械</v>
          </cell>
        </row>
        <row r="178">
          <cell r="B178" t="str">
            <v>铝</v>
          </cell>
        </row>
        <row r="179">
          <cell r="B179" t="str">
            <v>纺织品</v>
          </cell>
        </row>
        <row r="180">
          <cell r="B180" t="str">
            <v>应用软件</v>
          </cell>
        </row>
        <row r="181">
          <cell r="B181" t="str">
            <v>电子设备和仪器</v>
          </cell>
        </row>
        <row r="182">
          <cell r="B182" t="str">
            <v>海运</v>
          </cell>
        </row>
        <row r="183">
          <cell r="B183" t="str">
            <v>贸易公司与工业品经销商</v>
          </cell>
        </row>
        <row r="184">
          <cell r="B184" t="str">
            <v>医疗保健设备</v>
          </cell>
        </row>
        <row r="185">
          <cell r="B185" t="str">
            <v>复合型公用事业</v>
          </cell>
        </row>
        <row r="186">
          <cell r="B186" t="str">
            <v>房地产服务</v>
          </cell>
        </row>
        <row r="187">
          <cell r="B187" t="str">
            <v>燃气</v>
          </cell>
        </row>
        <row r="188">
          <cell r="B188" t="str">
            <v>化纤</v>
          </cell>
        </row>
        <row r="189">
          <cell r="B189" t="str">
            <v>电子制造服务</v>
          </cell>
        </row>
        <row r="190">
          <cell r="B190" t="str">
            <v>半导体产品</v>
          </cell>
        </row>
        <row r="191">
          <cell r="B191" t="str">
            <v>房地产经营公司</v>
          </cell>
        </row>
        <row r="192">
          <cell r="B192" t="str">
            <v>医疗保健技术</v>
          </cell>
        </row>
        <row r="193">
          <cell r="B193" t="str">
            <v>农用农业机械</v>
          </cell>
        </row>
        <row r="194">
          <cell r="B194" t="str">
            <v>电脑与电子产品零售</v>
          </cell>
        </row>
        <row r="195">
          <cell r="B195" t="str">
            <v>多领域控股</v>
          </cell>
        </row>
        <row r="196">
          <cell r="B196" t="str">
            <v>教育服务</v>
          </cell>
        </row>
        <row r="197">
          <cell r="B197" t="str">
            <v>汽车零售</v>
          </cell>
        </row>
        <row r="198">
          <cell r="B198" t="str">
            <v>家用器具与特殊消费品</v>
          </cell>
        </row>
        <row r="199">
          <cell r="B199" t="str">
            <v>综合类行业</v>
          </cell>
        </row>
        <row r="200">
          <cell r="B200" t="str">
            <v>电脑硬件</v>
          </cell>
        </row>
        <row r="201">
          <cell r="B201" t="str">
            <v>住宅建筑</v>
          </cell>
        </row>
        <row r="202">
          <cell r="B202" t="str">
            <v>纸包装</v>
          </cell>
        </row>
        <row r="203">
          <cell r="B203" t="str">
            <v>消费品经销商</v>
          </cell>
        </row>
        <row r="204">
          <cell r="B204" t="str">
            <v>大卖场与超市</v>
          </cell>
        </row>
        <row r="205">
          <cell r="B205" t="str">
            <v>综合支持服务</v>
          </cell>
        </row>
        <row r="206">
          <cell r="B206" t="str">
            <v>林木产品</v>
          </cell>
        </row>
        <row r="207">
          <cell r="B207" t="str">
            <v>休闲用品</v>
          </cell>
        </row>
        <row r="208">
          <cell r="B208" t="str">
            <v>广告</v>
          </cell>
        </row>
        <row r="209">
          <cell r="B209" t="str">
            <v>综合性石油天然气</v>
          </cell>
        </row>
        <row r="210">
          <cell r="B210" t="str">
            <v>啤酒</v>
          </cell>
        </row>
        <row r="211">
          <cell r="B211" t="str">
            <v>黄金</v>
          </cell>
        </row>
        <row r="212">
          <cell r="B212" t="str">
            <v>食品分销商</v>
          </cell>
        </row>
        <row r="213">
          <cell r="B213" t="str">
            <v>无线电信业务</v>
          </cell>
        </row>
        <row r="214">
          <cell r="B214" t="str">
            <v>半导体设备</v>
          </cell>
        </row>
        <row r="215">
          <cell r="B215" t="str">
            <v>家庭用品</v>
          </cell>
        </row>
        <row r="216">
          <cell r="B216" t="str">
            <v>金属非金属</v>
          </cell>
        </row>
        <row r="217">
          <cell r="B217" t="str">
            <v>贵金属与矿石</v>
          </cell>
        </row>
        <row r="218">
          <cell r="B218" t="str">
            <v>互联网零售</v>
          </cell>
        </row>
        <row r="219">
          <cell r="B219" t="str">
            <v>白银</v>
          </cell>
        </row>
        <row r="220">
          <cell r="B220" t="str">
            <v>保健护理服务</v>
          </cell>
        </row>
        <row r="221">
          <cell r="B221" t="str">
            <v>石油天然气勘探与生产</v>
          </cell>
        </row>
        <row r="222">
          <cell r="B222" t="str">
            <v>公路运输</v>
          </cell>
        </row>
        <row r="223">
          <cell r="B223" t="str">
            <v>餐馆</v>
          </cell>
        </row>
        <row r="224">
          <cell r="B224" t="str">
            <v>技术产品经销商</v>
          </cell>
        </row>
        <row r="225">
          <cell r="B225" t="str">
            <v>航天航空与国防</v>
          </cell>
        </row>
        <row r="226">
          <cell r="B226" t="str">
            <v>综合货品商店</v>
          </cell>
        </row>
        <row r="227">
          <cell r="B227" t="str">
            <v>独立电力生产商与能源贸易商</v>
          </cell>
        </row>
        <row r="228">
          <cell r="B228" t="str">
            <v>工业气体</v>
          </cell>
        </row>
        <row r="229">
          <cell r="B229" t="str">
            <v>售货目录零售</v>
          </cell>
        </row>
        <row r="230">
          <cell r="B230" t="str">
            <v>其他多元金融服务</v>
          </cell>
        </row>
        <row r="231">
          <cell r="B231" t="str">
            <v>专卖店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A231"/>
  <sheetViews>
    <sheetView topLeftCell="C1" workbookViewId="0">
      <selection activeCell="R4" sqref="R4"/>
    </sheetView>
  </sheetViews>
  <sheetFormatPr baseColWidth="10" defaultColWidth="8.83203125" defaultRowHeight="14" x14ac:dyDescent="0"/>
  <cols>
    <col min="2" max="2" width="27.6640625" bestFit="1" customWidth="1"/>
    <col min="3" max="3" width="7.6640625" customWidth="1"/>
    <col min="4" max="4" width="6.6640625" customWidth="1"/>
    <col min="7" max="9" width="8.83203125" style="10"/>
    <col min="10" max="10" width="9.5" bestFit="1" customWidth="1"/>
    <col min="15" max="15" width="8.83203125" style="10"/>
  </cols>
  <sheetData>
    <row r="1" spans="1:17">
      <c r="C1" s="1" t="e">
        <f t="shared" ref="C1" si="0">AVERAGEIF(A$4:A$231,A1,D$4:D$231)</f>
        <v>#DIV/0!</v>
      </c>
      <c r="D1" s="2" t="e">
        <f t="shared" ref="D1" si="1">K1*30%+ L1*70%</f>
        <v>#VALUE!</v>
      </c>
      <c r="E1" s="3" t="e">
        <f t="shared" ref="E1" si="2">IF((D1+C1)/(2*C1)&gt;0,((D1+C1)/(2*C1))^0.5,50%)</f>
        <v>#VALUE!</v>
      </c>
      <c r="F1" s="3">
        <v>0.7</v>
      </c>
      <c r="G1" s="4" t="e">
        <f t="shared" ref="G1" si="3">E1*F1</f>
        <v>#VALUE!</v>
      </c>
      <c r="H1" s="2" t="e">
        <f>AVERAGEIF([1]个股!$O$9:$O$2788,[1]行业!$B4,[1]个股!BC$9:BC$2788)</f>
        <v>#VALUE!</v>
      </c>
      <c r="I1" s="2" t="e">
        <f>AVERAGEIF([1]个股!$O$9:$O$2788,[1]行业!$B4,[1]个股!BD$9:BD$2788)</f>
        <v>#VALUE!</v>
      </c>
      <c r="J1" s="2" t="e">
        <f>AVERAGEIF([1]个股!$O$9:$O$2788,[1]行业!$B4,[1]个股!BE$9:BE$2788)</f>
        <v>#VALUE!</v>
      </c>
      <c r="K1" s="2" t="e">
        <f>AVERAGEIF([1]个股!$O$9:$O$2788,[1]行业!$B4,[1]个股!BF$9:BF$2788)</f>
        <v>#VALUE!</v>
      </c>
      <c r="L1" s="2" t="e">
        <f>AVERAGEIF([1]个股!$O$9:$O$2788,[1]行业!$B4,[1]个股!BG$9:BG$2788)</f>
        <v>#VALUE!</v>
      </c>
      <c r="M1" s="5" t="e">
        <f>SUMIF([1]个股!$O$9:$O$2788,B1,[1]个股!$M$9:$M$2788)</f>
        <v>#VALUE!</v>
      </c>
      <c r="N1" s="6" t="e">
        <f>SUMIF([1]个股!$O$9:$O$2788,B1,[1]个股!$N$9:$N$2788)</f>
        <v>#VALUE!</v>
      </c>
      <c r="O1" s="7" t="e">
        <f t="shared" ref="O1" si="4">(M1-N1)/N1</f>
        <v>#VALUE!</v>
      </c>
    </row>
    <row r="2" spans="1:17">
      <c r="A2" s="8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9" t="s">
        <v>6</v>
      </c>
      <c r="H2" s="9" t="s">
        <v>7</v>
      </c>
      <c r="I2" s="9" t="s">
        <v>8</v>
      </c>
      <c r="J2" s="9" t="s">
        <v>9</v>
      </c>
      <c r="K2" s="9" t="s">
        <v>10</v>
      </c>
      <c r="L2" s="9" t="s">
        <v>11</v>
      </c>
      <c r="M2" s="9" t="s">
        <v>12</v>
      </c>
      <c r="N2" s="9" t="s">
        <v>13</v>
      </c>
      <c r="O2" s="9" t="s">
        <v>14</v>
      </c>
    </row>
    <row r="3" spans="1:17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s="10" t="s">
        <v>21</v>
      </c>
      <c r="H3" t="s">
        <v>22</v>
      </c>
      <c r="I3" t="s">
        <v>23</v>
      </c>
      <c r="J3" t="s">
        <v>24</v>
      </c>
      <c r="K3" s="11" t="s">
        <v>25</v>
      </c>
      <c r="L3" s="11" t="s">
        <v>26</v>
      </c>
      <c r="M3" s="12" t="s">
        <v>27</v>
      </c>
      <c r="N3" s="11" t="s">
        <v>28</v>
      </c>
      <c r="O3" s="13" t="s">
        <v>29</v>
      </c>
      <c r="P3" s="11" t="s">
        <v>30</v>
      </c>
    </row>
    <row r="4" spans="1:17">
      <c r="A4" t="s">
        <v>31</v>
      </c>
      <c r="B4" s="14" t="s">
        <v>32</v>
      </c>
      <c r="C4" s="1" t="e">
        <f t="shared" ref="C4:C67" si="5">AVERAGEIF(A$4:A$231,A4,D$4:D$231)</f>
        <v>#VALUE!</v>
      </c>
      <c r="D4" s="2" t="e">
        <f t="shared" ref="D4:D67" si="6">K4*30%+ L4*70%</f>
        <v>#VALUE!</v>
      </c>
      <c r="E4" s="3" t="e">
        <f t="shared" ref="E4:E67" si="7">IF((D4+C4)/(2*C4)&gt;0,((D4+C4)/(2*C4))^0.5,50%)</f>
        <v>#VALUE!</v>
      </c>
      <c r="F4" s="3">
        <v>0.3</v>
      </c>
      <c r="G4" s="4" t="e">
        <f t="shared" ref="G4:G67" si="8">E4*F4</f>
        <v>#VALUE!</v>
      </c>
      <c r="H4" s="2" t="e">
        <f>AVERAGEIF([1]个股!$O$9:$O$2788,[1]行业!$B8,[1]个股!BC$9:BC$2788)</f>
        <v>#VALUE!</v>
      </c>
      <c r="I4" s="2" t="e">
        <f>AVERAGEIF([1]个股!$O$9:$O$2788,[1]行业!$B8,[1]个股!BD$9:BD$2788)</f>
        <v>#VALUE!</v>
      </c>
      <c r="J4" s="2" t="e">
        <f>AVERAGEIF([1]个股!$O$9:$O$2788,[1]行业!$B8,[1]个股!BE$9:BE$2788)</f>
        <v>#VALUE!</v>
      </c>
      <c r="K4" s="2" t="e">
        <f>AVERAGEIF([1]个股!$O$9:$O$2788,[1]行业!$B8,[1]个股!BF$9:BF$2788)</f>
        <v>#VALUE!</v>
      </c>
      <c r="L4" s="2" t="e">
        <f>AVERAGEIF([1]个股!$O$9:$O$2788,[1]行业!$B8,[1]个股!BG$9:BG$2788)</f>
        <v>#VALUE!</v>
      </c>
      <c r="M4" s="5" t="e">
        <f>SUMIF([1]个股!$O$9:$O$2788,B4,[1]个股!$M$9:$M$2788)</f>
        <v>#VALUE!</v>
      </c>
      <c r="N4" s="6" t="e">
        <f>SUMIF([1]个股!$O$9:$O$2788,B4,[1]个股!$N$9:$N$2788)</f>
        <v>#VALUE!</v>
      </c>
      <c r="O4" s="7" t="e">
        <f t="shared" ref="O4:O67" si="9">(M4-N4)/N4</f>
        <v>#VALUE!</v>
      </c>
      <c r="P4" t="e">
        <f ca="1">LOWER(hztopy(B4))&amp;RIGHT(A4,1)</f>
        <v>#NAME?</v>
      </c>
      <c r="Q4" t="str">
        <f>A4&amp;" "&amp;B4</f>
        <v>行业1 金融</v>
      </c>
    </row>
    <row r="5" spans="1:17">
      <c r="A5" t="s">
        <v>31</v>
      </c>
      <c r="B5" s="14" t="s">
        <v>33</v>
      </c>
      <c r="C5" s="1" t="e">
        <f t="shared" si="5"/>
        <v>#VALUE!</v>
      </c>
      <c r="D5" s="2" t="e">
        <f t="shared" si="6"/>
        <v>#VALUE!</v>
      </c>
      <c r="E5" s="3" t="e">
        <f t="shared" si="7"/>
        <v>#VALUE!</v>
      </c>
      <c r="F5" s="3">
        <v>0.7</v>
      </c>
      <c r="G5" s="4" t="e">
        <f t="shared" si="8"/>
        <v>#VALUE!</v>
      </c>
      <c r="H5" s="2" t="e">
        <f>AVERAGEIF([1]个股!$O$9:$O$2788,[1]行业!$B7,[1]个股!BC$9:BC$2788)</f>
        <v>#VALUE!</v>
      </c>
      <c r="I5" s="2" t="e">
        <f>AVERAGEIF([1]个股!$O$9:$O$2788,[1]行业!$B7,[1]个股!BD$9:BD$2788)</f>
        <v>#VALUE!</v>
      </c>
      <c r="J5" s="2" t="e">
        <f>AVERAGEIF([1]个股!$O$9:$O$2788,[1]行业!$B7,[1]个股!BE$9:BE$2788)</f>
        <v>#VALUE!</v>
      </c>
      <c r="K5" s="2" t="e">
        <f>AVERAGEIF([1]个股!$O$9:$O$2788,[1]行业!$B7,[1]个股!BF$9:BF$2788)</f>
        <v>#VALUE!</v>
      </c>
      <c r="L5" s="2" t="e">
        <f>AVERAGEIF([1]个股!$O$9:$O$2788,[1]行业!$B7,[1]个股!BG$9:BG$2788)</f>
        <v>#VALUE!</v>
      </c>
      <c r="M5" s="5" t="e">
        <f>SUMIF([1]个股!$O$9:$O$2788,B5,[1]个股!$M$9:$M$2788)</f>
        <v>#VALUE!</v>
      </c>
      <c r="N5" s="6" t="e">
        <f>SUMIF([1]个股!$O$9:$O$2788,B5,[1]个股!$N$9:$N$2788)</f>
        <v>#VALUE!</v>
      </c>
      <c r="O5" s="7" t="e">
        <f t="shared" si="9"/>
        <v>#VALUE!</v>
      </c>
      <c r="P5" t="e">
        <f t="shared" ref="P5:P68" ca="1" si="10">LOWER(hztopy(B5))&amp;RIGHT(A5,1)</f>
        <v>#NAME?</v>
      </c>
      <c r="Q5" t="str">
        <f t="shared" ref="Q5:Q21" si="11">A5&amp;" "&amp;B5</f>
        <v>行业1 公用事业</v>
      </c>
    </row>
    <row r="6" spans="1:17">
      <c r="A6" t="s">
        <v>31</v>
      </c>
      <c r="B6" s="14" t="s">
        <v>34</v>
      </c>
      <c r="C6" s="1" t="e">
        <f t="shared" si="5"/>
        <v>#VALUE!</v>
      </c>
      <c r="D6" s="2" t="e">
        <f t="shared" si="6"/>
        <v>#VALUE!</v>
      </c>
      <c r="E6" s="3" t="e">
        <f t="shared" si="7"/>
        <v>#VALUE!</v>
      </c>
      <c r="F6" s="3">
        <v>0.8</v>
      </c>
      <c r="G6" s="4" t="e">
        <f t="shared" si="8"/>
        <v>#VALUE!</v>
      </c>
      <c r="H6" s="2" t="e">
        <f>AVERAGEIF([1]个股!$O$9:$O$2788,[1]行业!$B9,[1]个股!BC$9:BC$2788)</f>
        <v>#VALUE!</v>
      </c>
      <c r="I6" s="2" t="e">
        <f>AVERAGEIF([1]个股!$O$9:$O$2788,[1]行业!$B9,[1]个股!BD$9:BD$2788)</f>
        <v>#VALUE!</v>
      </c>
      <c r="J6" s="2" t="e">
        <f>AVERAGEIF([1]个股!$O$9:$O$2788,[1]行业!$B9,[1]个股!BE$9:BE$2788)</f>
        <v>#VALUE!</v>
      </c>
      <c r="K6" s="2" t="e">
        <f>AVERAGEIF([1]个股!$O$9:$O$2788,[1]行业!$B9,[1]个股!BF$9:BF$2788)</f>
        <v>#VALUE!</v>
      </c>
      <c r="L6" s="2" t="e">
        <f>AVERAGEIF([1]个股!$O$9:$O$2788,[1]行业!$B9,[1]个股!BG$9:BG$2788)</f>
        <v>#VALUE!</v>
      </c>
      <c r="M6" s="5" t="e">
        <f>SUMIF([1]个股!$O$9:$O$2788,B6,[1]个股!$M$9:$M$2788)</f>
        <v>#VALUE!</v>
      </c>
      <c r="N6" s="6" t="e">
        <f>SUMIF([1]个股!$O$9:$O$2788,B6,[1]个股!$N$9:$N$2788)</f>
        <v>#VALUE!</v>
      </c>
      <c r="O6" s="7" t="e">
        <f t="shared" si="9"/>
        <v>#VALUE!</v>
      </c>
      <c r="P6" t="e">
        <f t="shared" ca="1" si="10"/>
        <v>#NAME?</v>
      </c>
      <c r="Q6" t="str">
        <f t="shared" si="11"/>
        <v>行业1 可选消费</v>
      </c>
    </row>
    <row r="7" spans="1:17">
      <c r="A7" t="s">
        <v>31</v>
      </c>
      <c r="B7" s="14" t="s">
        <v>35</v>
      </c>
      <c r="C7" s="1" t="e">
        <f t="shared" si="5"/>
        <v>#VALUE!</v>
      </c>
      <c r="D7" s="2" t="e">
        <f t="shared" si="6"/>
        <v>#VALUE!</v>
      </c>
      <c r="E7" s="3" t="e">
        <f t="shared" si="7"/>
        <v>#VALUE!</v>
      </c>
      <c r="F7" s="3">
        <v>1</v>
      </c>
      <c r="G7" s="4" t="e">
        <f t="shared" si="8"/>
        <v>#VALUE!</v>
      </c>
      <c r="H7" s="2" t="e">
        <f>AVERAGEIF([1]个股!$O$9:$O$2788,[1]行业!$B11,[1]个股!BC$9:BC$2788)</f>
        <v>#VALUE!</v>
      </c>
      <c r="I7" s="2" t="e">
        <f>AVERAGEIF([1]个股!$O$9:$O$2788,[1]行业!$B11,[1]个股!BD$9:BD$2788)</f>
        <v>#VALUE!</v>
      </c>
      <c r="J7" s="2" t="e">
        <f>AVERAGEIF([1]个股!$O$9:$O$2788,[1]行业!$B11,[1]个股!BE$9:BE$2788)</f>
        <v>#VALUE!</v>
      </c>
      <c r="K7" s="2" t="e">
        <f>AVERAGEIF([1]个股!$O$9:$O$2788,[1]行业!$B11,[1]个股!BF$9:BF$2788)</f>
        <v>#VALUE!</v>
      </c>
      <c r="L7" s="2" t="e">
        <f>AVERAGEIF([1]个股!$O$9:$O$2788,[1]行业!$B11,[1]个股!BG$9:BG$2788)</f>
        <v>#VALUE!</v>
      </c>
      <c r="M7" s="5" t="e">
        <f>SUMIF([1]个股!$O$9:$O$2788,B7,[1]个股!$M$9:$M$2788)</f>
        <v>#VALUE!</v>
      </c>
      <c r="N7" s="6" t="e">
        <f>SUMIF([1]个股!$O$9:$O$2788,B7,[1]个股!$N$9:$N$2788)</f>
        <v>#VALUE!</v>
      </c>
      <c r="O7" s="7" t="e">
        <f t="shared" si="9"/>
        <v>#VALUE!</v>
      </c>
      <c r="P7" t="e">
        <f t="shared" ca="1" si="10"/>
        <v>#NAME?</v>
      </c>
      <c r="Q7" t="str">
        <f t="shared" si="11"/>
        <v>行业1 日常消费</v>
      </c>
    </row>
    <row r="8" spans="1:17">
      <c r="A8" t="s">
        <v>31</v>
      </c>
      <c r="B8" s="14" t="s">
        <v>36</v>
      </c>
      <c r="C8" s="1" t="e">
        <f t="shared" si="5"/>
        <v>#VALUE!</v>
      </c>
      <c r="D8" s="2" t="e">
        <f t="shared" si="6"/>
        <v>#VALUE!</v>
      </c>
      <c r="E8" s="3" t="e">
        <f t="shared" si="7"/>
        <v>#VALUE!</v>
      </c>
      <c r="F8" s="3">
        <v>1</v>
      </c>
      <c r="G8" s="4" t="e">
        <f t="shared" si="8"/>
        <v>#VALUE!</v>
      </c>
      <c r="H8" s="2" t="e">
        <f>AVERAGEIF([1]个股!$O$9:$O$2788,[1]行业!$B13,[1]个股!BC$9:BC$2788)</f>
        <v>#VALUE!</v>
      </c>
      <c r="I8" s="2" t="e">
        <f>AVERAGEIF([1]个股!$O$9:$O$2788,[1]行业!$B13,[1]个股!BD$9:BD$2788)</f>
        <v>#VALUE!</v>
      </c>
      <c r="J8" s="2" t="e">
        <f>AVERAGEIF([1]个股!$O$9:$O$2788,[1]行业!$B13,[1]个股!BE$9:BE$2788)</f>
        <v>#VALUE!</v>
      </c>
      <c r="K8" s="2" t="e">
        <f>AVERAGEIF([1]个股!$O$9:$O$2788,[1]行业!$B13,[1]个股!BF$9:BF$2788)</f>
        <v>#VALUE!</v>
      </c>
      <c r="L8" s="2" t="e">
        <f>AVERAGEIF([1]个股!$O$9:$O$2788,[1]行业!$B13,[1]个股!BG$9:BG$2788)</f>
        <v>#VALUE!</v>
      </c>
      <c r="M8" s="5" t="e">
        <f>SUMIF([1]个股!$O$9:$O$2788,B8,[1]个股!$M$9:$M$2788)</f>
        <v>#VALUE!</v>
      </c>
      <c r="N8" s="6" t="e">
        <f>SUMIF([1]个股!$O$9:$O$2788,B8,[1]个股!$N$9:$N$2788)</f>
        <v>#VALUE!</v>
      </c>
      <c r="O8" s="7" t="e">
        <f t="shared" si="9"/>
        <v>#VALUE!</v>
      </c>
      <c r="P8" t="e">
        <f t="shared" ca="1" si="10"/>
        <v>#NAME?</v>
      </c>
      <c r="Q8" t="str">
        <f t="shared" si="11"/>
        <v>行业1 医疗保健</v>
      </c>
    </row>
    <row r="9" spans="1:17">
      <c r="A9" t="s">
        <v>31</v>
      </c>
      <c r="B9" s="14" t="s">
        <v>37</v>
      </c>
      <c r="C9" s="1" t="e">
        <f t="shared" si="5"/>
        <v>#VALUE!</v>
      </c>
      <c r="D9" s="2" t="e">
        <f t="shared" si="6"/>
        <v>#VALUE!</v>
      </c>
      <c r="E9" s="3" t="e">
        <f t="shared" si="7"/>
        <v>#VALUE!</v>
      </c>
      <c r="F9" s="3">
        <v>1</v>
      </c>
      <c r="G9" s="4" t="e">
        <f t="shared" si="8"/>
        <v>#VALUE!</v>
      </c>
      <c r="H9" s="2" t="e">
        <f>AVERAGEIF([1]个股!$O$9:$O$2788,[1]行业!$B6,[1]个股!BC$9:BC$2788)</f>
        <v>#VALUE!</v>
      </c>
      <c r="I9" s="2" t="e">
        <f>AVERAGEIF([1]个股!$O$9:$O$2788,[1]行业!$B6,[1]个股!BD$9:BD$2788)</f>
        <v>#VALUE!</v>
      </c>
      <c r="J9" s="2" t="e">
        <f>AVERAGEIF([1]个股!$O$9:$O$2788,[1]行业!$B6,[1]个股!BE$9:BE$2788)</f>
        <v>#VALUE!</v>
      </c>
      <c r="K9" s="2" t="e">
        <f>AVERAGEIF([1]个股!$O$9:$O$2788,[1]行业!$B6,[1]个股!BF$9:BF$2788)</f>
        <v>#VALUE!</v>
      </c>
      <c r="L9" s="2" t="e">
        <f>AVERAGEIF([1]个股!$O$9:$O$2788,[1]行业!$B6,[1]个股!BG$9:BG$2788)</f>
        <v>#VALUE!</v>
      </c>
      <c r="M9" s="5" t="e">
        <f>SUMIF([1]个股!$O$9:$O$2788,B9,[1]个股!$M$9:$M$2788)</f>
        <v>#VALUE!</v>
      </c>
      <c r="N9" s="6" t="e">
        <f>SUMIF([1]个股!$O$9:$O$2788,B9,[1]个股!$N$9:$N$2788)</f>
        <v>#VALUE!</v>
      </c>
      <c r="O9" s="7" t="e">
        <f t="shared" si="9"/>
        <v>#VALUE!</v>
      </c>
      <c r="P9" t="e">
        <f t="shared" ca="1" si="10"/>
        <v>#NAME?</v>
      </c>
      <c r="Q9" t="str">
        <f t="shared" si="11"/>
        <v>行业1 工业</v>
      </c>
    </row>
    <row r="10" spans="1:17">
      <c r="A10" t="s">
        <v>31</v>
      </c>
      <c r="B10" s="14" t="s">
        <v>38</v>
      </c>
      <c r="C10" s="1" t="e">
        <f t="shared" si="5"/>
        <v>#VALUE!</v>
      </c>
      <c r="D10" s="2" t="e">
        <f t="shared" si="6"/>
        <v>#VALUE!</v>
      </c>
      <c r="E10" s="3" t="e">
        <f t="shared" si="7"/>
        <v>#VALUE!</v>
      </c>
      <c r="F10" s="3">
        <v>1</v>
      </c>
      <c r="G10" s="4" t="e">
        <f t="shared" si="8"/>
        <v>#VALUE!</v>
      </c>
      <c r="H10" s="2" t="e">
        <f>AVERAGEIF([1]个股!$O$9:$O$2788,[1]行业!$B5,[1]个股!BC$9:BC$2788)</f>
        <v>#VALUE!</v>
      </c>
      <c r="I10" s="2" t="e">
        <f>AVERAGEIF([1]个股!$O$9:$O$2788,[1]行业!$B5,[1]个股!BD$9:BD$2788)</f>
        <v>#VALUE!</v>
      </c>
      <c r="J10" s="2" t="e">
        <f>AVERAGEIF([1]个股!$O$9:$O$2788,[1]行业!$B5,[1]个股!BE$9:BE$2788)</f>
        <v>#VALUE!</v>
      </c>
      <c r="K10" s="2" t="e">
        <f>AVERAGEIF([1]个股!$O$9:$O$2788,[1]行业!$B5,[1]个股!BF$9:BF$2788)</f>
        <v>#VALUE!</v>
      </c>
      <c r="L10" s="2" t="e">
        <f>AVERAGEIF([1]个股!$O$9:$O$2788,[1]行业!$B5,[1]个股!BG$9:BG$2788)</f>
        <v>#VALUE!</v>
      </c>
      <c r="M10" s="5" t="e">
        <f>SUMIF([1]个股!$O$9:$O$2788,B10,[1]个股!$M$9:$M$2788)</f>
        <v>#VALUE!</v>
      </c>
      <c r="N10" s="6" t="e">
        <f>SUMIF([1]个股!$O$9:$O$2788,B10,[1]个股!$N$9:$N$2788)</f>
        <v>#VALUE!</v>
      </c>
      <c r="O10" s="7" t="e">
        <f t="shared" si="9"/>
        <v>#VALUE!</v>
      </c>
      <c r="P10" t="e">
        <f t="shared" ca="1" si="10"/>
        <v>#NAME?</v>
      </c>
      <c r="Q10" t="str">
        <f t="shared" si="11"/>
        <v>行业1 电信服务</v>
      </c>
    </row>
    <row r="11" spans="1:17">
      <c r="A11" t="s">
        <v>39</v>
      </c>
      <c r="B11" s="14" t="s">
        <v>40</v>
      </c>
      <c r="C11" s="1" t="e">
        <f t="shared" si="5"/>
        <v>#VALUE!</v>
      </c>
      <c r="D11" s="2" t="e">
        <f t="shared" si="6"/>
        <v>#VALUE!</v>
      </c>
      <c r="E11" s="3" t="e">
        <f t="shared" si="7"/>
        <v>#VALUE!</v>
      </c>
      <c r="F11" s="3">
        <v>1</v>
      </c>
      <c r="G11" s="4" t="e">
        <f t="shared" si="8"/>
        <v>#VALUE!</v>
      </c>
      <c r="H11" s="2" t="e">
        <f>AVERAGEIF([1]个股!$O$9:$O$2788,[1]行业!$B4,[1]个股!BC$9:BC$2788)</f>
        <v>#VALUE!</v>
      </c>
      <c r="I11" s="2" t="e">
        <f>AVERAGEIF([1]个股!$O$9:$O$2788,[1]行业!$B4,[1]个股!BD$9:BD$2788)</f>
        <v>#VALUE!</v>
      </c>
      <c r="J11" s="2" t="e">
        <f>AVERAGEIF([1]个股!$O$9:$O$2788,[1]行业!$B4,[1]个股!BE$9:BE$2788)</f>
        <v>#VALUE!</v>
      </c>
      <c r="K11" s="2" t="e">
        <f>AVERAGEIF([1]个股!$O$9:$O$2788,[1]行业!$B4,[1]个股!BF$9:BF$2788)</f>
        <v>#VALUE!</v>
      </c>
      <c r="L11" s="2" t="e">
        <f>AVERAGEIF([1]个股!$O$9:$O$2788,[1]行业!$B4,[1]个股!BG$9:BG$2788)</f>
        <v>#VALUE!</v>
      </c>
      <c r="M11" s="5" t="e">
        <f>SUMIF([1]个股!$O$9:$O$2788,B11,[1]个股!$M$9:$M$2788)</f>
        <v>#VALUE!</v>
      </c>
      <c r="N11" s="6" t="e">
        <f>SUMIF([1]个股!$O$9:$O$2788,B11,[1]个股!$N$9:$N$2788)</f>
        <v>#VALUE!</v>
      </c>
      <c r="O11" s="7" t="e">
        <f t="shared" si="9"/>
        <v>#VALUE!</v>
      </c>
      <c r="P11" t="e">
        <f t="shared" ca="1" si="10"/>
        <v>#NAME?</v>
      </c>
      <c r="Q11" t="str">
        <f t="shared" si="11"/>
        <v>行业1 材料</v>
      </c>
    </row>
    <row r="12" spans="1:17">
      <c r="A12" t="s">
        <v>31</v>
      </c>
      <c r="B12" s="14" t="s">
        <v>41</v>
      </c>
      <c r="C12" s="1" t="e">
        <f t="shared" si="5"/>
        <v>#VALUE!</v>
      </c>
      <c r="D12" s="2" t="e">
        <f t="shared" si="6"/>
        <v>#VALUE!</v>
      </c>
      <c r="E12" s="3" t="e">
        <f t="shared" si="7"/>
        <v>#VALUE!</v>
      </c>
      <c r="F12" s="3">
        <v>1</v>
      </c>
      <c r="G12" s="4" t="e">
        <f t="shared" si="8"/>
        <v>#VALUE!</v>
      </c>
      <c r="H12" s="2" t="e">
        <f>AVERAGEIF([1]个股!$O$9:$O$2788,[1]行业!$B12,[1]个股!BC$9:BC$2788)</f>
        <v>#VALUE!</v>
      </c>
      <c r="I12" s="2" t="e">
        <f>AVERAGEIF([1]个股!$O$9:$O$2788,[1]行业!$B12,[1]个股!BD$9:BD$2788)</f>
        <v>#VALUE!</v>
      </c>
      <c r="J12" s="2" t="e">
        <f>AVERAGEIF([1]个股!$O$9:$O$2788,[1]行业!$B12,[1]个股!BE$9:BE$2788)</f>
        <v>#VALUE!</v>
      </c>
      <c r="K12" s="2" t="e">
        <f>AVERAGEIF([1]个股!$O$9:$O$2788,[1]行业!$B12,[1]个股!BF$9:BF$2788)</f>
        <v>#VALUE!</v>
      </c>
      <c r="L12" s="2" t="e">
        <f>AVERAGEIF([1]个股!$O$9:$O$2788,[1]行业!$B12,[1]个股!BG$9:BG$2788)</f>
        <v>#VALUE!</v>
      </c>
      <c r="M12" s="5" t="e">
        <f>SUMIF([1]个股!$O$9:$O$2788,B12,[1]个股!$M$9:$M$2788)</f>
        <v>#VALUE!</v>
      </c>
      <c r="N12" s="6" t="e">
        <f>SUMIF([1]个股!$O$9:$O$2788,B12,[1]个股!$N$9:$N$2788)</f>
        <v>#VALUE!</v>
      </c>
      <c r="O12" s="7" t="e">
        <f t="shared" si="9"/>
        <v>#VALUE!</v>
      </c>
      <c r="P12" t="e">
        <f t="shared" ca="1" si="10"/>
        <v>#NAME?</v>
      </c>
      <c r="Q12" t="str">
        <f t="shared" si="11"/>
        <v>行业1 信息技术</v>
      </c>
    </row>
    <row r="13" spans="1:17">
      <c r="A13" t="s">
        <v>31</v>
      </c>
      <c r="B13" s="14" t="s">
        <v>42</v>
      </c>
      <c r="C13" s="1" t="e">
        <f t="shared" si="5"/>
        <v>#VALUE!</v>
      </c>
      <c r="D13" s="2" t="e">
        <f t="shared" si="6"/>
        <v>#VALUE!</v>
      </c>
      <c r="E13" s="3" t="e">
        <f t="shared" si="7"/>
        <v>#VALUE!</v>
      </c>
      <c r="F13" s="3">
        <v>0.8</v>
      </c>
      <c r="G13" s="4" t="e">
        <f t="shared" si="8"/>
        <v>#VALUE!</v>
      </c>
      <c r="H13" s="2" t="e">
        <f>AVERAGEIF([1]个股!$O$9:$O$2788,[1]行业!$B10,[1]个股!BC$9:BC$2788)</f>
        <v>#VALUE!</v>
      </c>
      <c r="I13" s="2" t="e">
        <f>AVERAGEIF([1]个股!$O$9:$O$2788,[1]行业!$B10,[1]个股!BD$9:BD$2788)</f>
        <v>#VALUE!</v>
      </c>
      <c r="J13" s="2" t="e">
        <f>AVERAGEIF([1]个股!$O$9:$O$2788,[1]行业!$B10,[1]个股!BE$9:BE$2788)</f>
        <v>#VALUE!</v>
      </c>
      <c r="K13" s="2" t="e">
        <f>AVERAGEIF([1]个股!$O$9:$O$2788,[1]行业!$B10,[1]个股!BF$9:BF$2788)</f>
        <v>#VALUE!</v>
      </c>
      <c r="L13" s="2" t="e">
        <f>AVERAGEIF([1]个股!$O$9:$O$2788,[1]行业!$B10,[1]个股!BG$9:BG$2788)</f>
        <v>#VALUE!</v>
      </c>
      <c r="M13" s="5" t="e">
        <f>SUMIF([1]个股!$O$9:$O$2788,B13,[1]个股!$M$9:$M$2788)</f>
        <v>#VALUE!</v>
      </c>
      <c r="N13" s="6" t="e">
        <f>SUMIF([1]个股!$O$9:$O$2788,B13,[1]个股!$N$9:$N$2788)</f>
        <v>#VALUE!</v>
      </c>
      <c r="O13" s="7" t="e">
        <f t="shared" si="9"/>
        <v>#VALUE!</v>
      </c>
      <c r="P13" t="e">
        <f t="shared" ca="1" si="10"/>
        <v>#NAME?</v>
      </c>
      <c r="Q13" t="str">
        <f t="shared" si="11"/>
        <v>行业1 能源</v>
      </c>
    </row>
    <row r="14" spans="1:17">
      <c r="A14" t="s">
        <v>43</v>
      </c>
      <c r="B14" s="14" t="s">
        <v>44</v>
      </c>
      <c r="C14" s="1" t="e">
        <f t="shared" si="5"/>
        <v>#VALUE!</v>
      </c>
      <c r="D14" s="2" t="e">
        <f t="shared" si="6"/>
        <v>#VALUE!</v>
      </c>
      <c r="E14" s="3" t="e">
        <f t="shared" si="7"/>
        <v>#VALUE!</v>
      </c>
      <c r="F14" s="3">
        <v>0.5</v>
      </c>
      <c r="G14" s="4" t="e">
        <f t="shared" si="8"/>
        <v>#VALUE!</v>
      </c>
      <c r="H14" s="2" t="e">
        <f>AVERAGEIF([1]个股!$P$9:$P$2788,[1]行业!$B34,[1]个股!BC$9:BC$2788)</f>
        <v>#VALUE!</v>
      </c>
      <c r="I14" s="2" t="e">
        <f>AVERAGEIF([1]个股!$P$9:$P$2788,[1]行业!$B34,[1]个股!BD$9:BD$2788)</f>
        <v>#VALUE!</v>
      </c>
      <c r="J14" s="2" t="e">
        <f>AVERAGEIF([1]个股!$P$9:$P$2788,[1]行业!$B34,[1]个股!BE$9:BE$2788)</f>
        <v>#VALUE!</v>
      </c>
      <c r="K14" s="2" t="e">
        <f>AVERAGEIF([1]个股!$P$9:$P$2788,[1]行业!$B34,[1]个股!BF$9:BF$2788)</f>
        <v>#VALUE!</v>
      </c>
      <c r="L14" s="2" t="e">
        <f>AVERAGEIF([1]个股!$P$9:$P$2788,[1]行业!$B34,[1]个股!BG$9:BG$2788)</f>
        <v>#VALUE!</v>
      </c>
      <c r="M14" s="5" t="e">
        <f>SUMIF([1]个股!$P$9:$P$2788,B14,[1]个股!$M$9:$M$2788)</f>
        <v>#VALUE!</v>
      </c>
      <c r="N14" s="6" t="e">
        <f>SUMIF([1]个股!$P$9:$P$2788,B14,[1]个股!$N$9:$N$2788)</f>
        <v>#VALUE!</v>
      </c>
      <c r="O14" s="7" t="e">
        <f t="shared" si="9"/>
        <v>#VALUE!</v>
      </c>
      <c r="P14" t="e">
        <f t="shared" ca="1" si="10"/>
        <v>#NAME?</v>
      </c>
      <c r="Q14" t="str">
        <f t="shared" si="11"/>
        <v>行业2 银行</v>
      </c>
    </row>
    <row r="15" spans="1:17">
      <c r="A15" t="s">
        <v>43</v>
      </c>
      <c r="B15" s="14" t="s">
        <v>45</v>
      </c>
      <c r="C15" s="1" t="e">
        <f t="shared" si="5"/>
        <v>#VALUE!</v>
      </c>
      <c r="D15" s="2" t="e">
        <f t="shared" si="6"/>
        <v>#VALUE!</v>
      </c>
      <c r="E15" s="3" t="e">
        <f t="shared" si="7"/>
        <v>#VALUE!</v>
      </c>
      <c r="F15" s="3">
        <v>0.6</v>
      </c>
      <c r="G15" s="4" t="e">
        <f t="shared" si="8"/>
        <v>#VALUE!</v>
      </c>
      <c r="H15" s="2" t="e">
        <f>AVERAGEIF([1]个股!$P$9:$P$2788,[1]行业!$B18,[1]个股!BC$9:BC$2788)</f>
        <v>#VALUE!</v>
      </c>
      <c r="I15" s="2" t="e">
        <f>AVERAGEIF([1]个股!$P$9:$P$2788,[1]行业!$B18,[1]个股!BD$9:BD$2788)</f>
        <v>#VALUE!</v>
      </c>
      <c r="J15" s="2" t="e">
        <f>AVERAGEIF([1]个股!$P$9:$P$2788,[1]行业!$B18,[1]个股!BE$9:BE$2788)</f>
        <v>#VALUE!</v>
      </c>
      <c r="K15" s="2" t="e">
        <f>AVERAGEIF([1]个股!$P$9:$P$2788,[1]行业!$B18,[1]个股!BF$9:BF$2788)</f>
        <v>#VALUE!</v>
      </c>
      <c r="L15" s="2" t="e">
        <f>AVERAGEIF([1]个股!$P$9:$P$2788,[1]行业!$B18,[1]个股!BG$9:BG$2788)</f>
        <v>#VALUE!</v>
      </c>
      <c r="M15" s="5" t="e">
        <f>SUMIF([1]个股!$P$9:$P$2788,B15,[1]个股!$M$9:$M$2788)</f>
        <v>#VALUE!</v>
      </c>
      <c r="N15" s="6" t="e">
        <f>SUMIF([1]个股!$P$9:$P$2788,B15,[1]个股!$N$9:$N$2788)</f>
        <v>#VALUE!</v>
      </c>
      <c r="O15" s="7" t="e">
        <f t="shared" si="9"/>
        <v>#VALUE!</v>
      </c>
      <c r="P15" t="e">
        <f t="shared" ca="1" si="10"/>
        <v>#NAME?</v>
      </c>
      <c r="Q15" t="str">
        <f t="shared" si="11"/>
        <v>行业2 多元金融</v>
      </c>
    </row>
    <row r="16" spans="1:17">
      <c r="A16" t="s">
        <v>43</v>
      </c>
      <c r="B16" s="14" t="s">
        <v>46</v>
      </c>
      <c r="C16" s="1" t="e">
        <f t="shared" si="5"/>
        <v>#VALUE!</v>
      </c>
      <c r="D16" s="2" t="e">
        <f t="shared" si="6"/>
        <v>#VALUE!</v>
      </c>
      <c r="E16" s="3" t="e">
        <f t="shared" si="7"/>
        <v>#VALUE!</v>
      </c>
      <c r="F16" s="3">
        <v>0.8</v>
      </c>
      <c r="G16" s="4" t="e">
        <f t="shared" si="8"/>
        <v>#VALUE!</v>
      </c>
      <c r="H16" s="2" t="e">
        <f>AVERAGEIF([1]个股!$P$9:$P$2788,[1]行业!$B20,[1]个股!BC$9:BC$2788)</f>
        <v>#VALUE!</v>
      </c>
      <c r="I16" s="2" t="e">
        <f>AVERAGEIF([1]个股!$P$9:$P$2788,[1]行业!$B20,[1]个股!BD$9:BD$2788)</f>
        <v>#VALUE!</v>
      </c>
      <c r="J16" s="2" t="e">
        <f>AVERAGEIF([1]个股!$P$9:$P$2788,[1]行业!$B20,[1]个股!BE$9:BE$2788)</f>
        <v>#VALUE!</v>
      </c>
      <c r="K16" s="2" t="e">
        <f>AVERAGEIF([1]个股!$P$9:$P$2788,[1]行业!$B20,[1]个股!BF$9:BF$2788)</f>
        <v>#VALUE!</v>
      </c>
      <c r="L16" s="2" t="e">
        <f>AVERAGEIF([1]个股!$P$9:$P$2788,[1]行业!$B20,[1]个股!BG$9:BG$2788)</f>
        <v>#VALUE!</v>
      </c>
      <c r="M16" s="5" t="e">
        <f>SUMIF([1]个股!$P$9:$P$2788,B16,[1]个股!$M$9:$M$2788)</f>
        <v>#VALUE!</v>
      </c>
      <c r="N16" s="6" t="e">
        <f>SUMIF([1]个股!$P$9:$P$2788,B16,[1]个股!$N$9:$N$2788)</f>
        <v>#VALUE!</v>
      </c>
      <c r="O16" s="7" t="e">
        <f t="shared" si="9"/>
        <v>#VALUE!</v>
      </c>
      <c r="P16" t="e">
        <f t="shared" ca="1" si="10"/>
        <v>#NAME?</v>
      </c>
      <c r="Q16" t="str">
        <f t="shared" si="11"/>
        <v>行业2 公用事业Ⅱ</v>
      </c>
    </row>
    <row r="17" spans="1:17">
      <c r="A17" t="s">
        <v>43</v>
      </c>
      <c r="B17" s="14" t="s">
        <v>47</v>
      </c>
      <c r="C17" s="1" t="e">
        <f t="shared" si="5"/>
        <v>#VALUE!</v>
      </c>
      <c r="D17" s="2" t="e">
        <f t="shared" si="6"/>
        <v>#VALUE!</v>
      </c>
      <c r="E17" s="3" t="e">
        <f t="shared" si="7"/>
        <v>#VALUE!</v>
      </c>
      <c r="F17" s="3">
        <v>1</v>
      </c>
      <c r="G17" s="4" t="e">
        <f t="shared" si="8"/>
        <v>#VALUE!</v>
      </c>
      <c r="H17" s="2" t="e">
        <f>AVERAGEIF([1]个股!$P$9:$P$2788,[1]行业!$B22,[1]个股!BC$9:BC$2788)</f>
        <v>#VALUE!</v>
      </c>
      <c r="I17" s="2" t="e">
        <f>AVERAGEIF([1]个股!$P$9:$P$2788,[1]行业!$B22,[1]个股!BD$9:BD$2788)</f>
        <v>#VALUE!</v>
      </c>
      <c r="J17" s="2" t="e">
        <f>AVERAGEIF([1]个股!$P$9:$P$2788,[1]行业!$B22,[1]个股!BE$9:BE$2788)</f>
        <v>#VALUE!</v>
      </c>
      <c r="K17" s="2" t="e">
        <f>AVERAGEIF([1]个股!$P$9:$P$2788,[1]行业!$B22,[1]个股!BF$9:BF$2788)</f>
        <v>#VALUE!</v>
      </c>
      <c r="L17" s="2" t="e">
        <f>AVERAGEIF([1]个股!$P$9:$P$2788,[1]行业!$B22,[1]个股!BG$9:BG$2788)</f>
        <v>#VALUE!</v>
      </c>
      <c r="M17" s="5" t="e">
        <f>SUMIF([1]个股!$P$9:$P$2788,B17,[1]个股!$M$9:$M$2788)</f>
        <v>#VALUE!</v>
      </c>
      <c r="N17" s="6" t="e">
        <f>SUMIF([1]个股!$P$9:$P$2788,B17,[1]个股!$N$9:$N$2788)</f>
        <v>#VALUE!</v>
      </c>
      <c r="O17" s="7" t="e">
        <f t="shared" si="9"/>
        <v>#VALUE!</v>
      </c>
      <c r="P17" t="e">
        <f t="shared" ca="1" si="10"/>
        <v>#NAME?</v>
      </c>
      <c r="Q17" t="str">
        <f t="shared" si="11"/>
        <v>行业2 家庭与个人用品</v>
      </c>
    </row>
    <row r="18" spans="1:17">
      <c r="A18" t="s">
        <v>43</v>
      </c>
      <c r="B18" s="14" t="s">
        <v>48</v>
      </c>
      <c r="C18" s="1" t="e">
        <f t="shared" si="5"/>
        <v>#VALUE!</v>
      </c>
      <c r="D18" s="2" t="e">
        <f t="shared" si="6"/>
        <v>#VALUE!</v>
      </c>
      <c r="E18" s="3" t="e">
        <f t="shared" si="7"/>
        <v>#VALUE!</v>
      </c>
      <c r="F18" s="3">
        <v>0.75</v>
      </c>
      <c r="G18" s="4" t="e">
        <f t="shared" si="8"/>
        <v>#VALUE!</v>
      </c>
      <c r="H18" s="2" t="e">
        <f>AVERAGEIF([1]个股!$P$9:$P$2788,[1]行业!$B27,[1]个股!BC$9:BC$2788)</f>
        <v>#VALUE!</v>
      </c>
      <c r="I18" s="2" t="e">
        <f>AVERAGEIF([1]个股!$P$9:$P$2788,[1]行业!$B27,[1]个股!BD$9:BD$2788)</f>
        <v>#VALUE!</v>
      </c>
      <c r="J18" s="2" t="e">
        <f>AVERAGEIF([1]个股!$P$9:$P$2788,[1]行业!$B27,[1]个股!BE$9:BE$2788)</f>
        <v>#VALUE!</v>
      </c>
      <c r="K18" s="2" t="e">
        <f>AVERAGEIF([1]个股!$P$9:$P$2788,[1]行业!$B27,[1]个股!BF$9:BF$2788)</f>
        <v>#VALUE!</v>
      </c>
      <c r="L18" s="2" t="e">
        <f>AVERAGEIF([1]个股!$P$9:$P$2788,[1]行业!$B27,[1]个股!BG$9:BG$2788)</f>
        <v>#VALUE!</v>
      </c>
      <c r="M18" s="5" t="e">
        <f>SUMIF([1]个股!$P$9:$P$2788,B18,[1]个股!$M$9:$M$2788)</f>
        <v>#VALUE!</v>
      </c>
      <c r="N18" s="6" t="e">
        <f>SUMIF([1]个股!$P$9:$P$2788,B18,[1]个股!$N$9:$N$2788)</f>
        <v>#VALUE!</v>
      </c>
      <c r="O18" s="7" t="e">
        <f t="shared" si="9"/>
        <v>#VALUE!</v>
      </c>
      <c r="P18" t="e">
        <f t="shared" ca="1" si="10"/>
        <v>#NAME?</v>
      </c>
      <c r="Q18" t="str">
        <f t="shared" si="11"/>
        <v>行业2 汽车与汽车零部件</v>
      </c>
    </row>
    <row r="19" spans="1:17">
      <c r="A19" t="s">
        <v>49</v>
      </c>
      <c r="B19" s="14" t="s">
        <v>50</v>
      </c>
      <c r="C19" s="1" t="e">
        <f t="shared" si="5"/>
        <v>#VALUE!</v>
      </c>
      <c r="D19" s="2" t="e">
        <f t="shared" si="6"/>
        <v>#VALUE!</v>
      </c>
      <c r="E19" s="3" t="e">
        <f t="shared" si="7"/>
        <v>#VALUE!</v>
      </c>
      <c r="F19" s="3">
        <v>0.6</v>
      </c>
      <c r="G19" s="4" t="e">
        <f t="shared" si="8"/>
        <v>#VALUE!</v>
      </c>
      <c r="H19" s="2" t="e">
        <f>AVERAGEIF([1]个股!$P$9:$P$2788,[1]行业!$B15,[1]个股!BC$9:BC$2788)</f>
        <v>#VALUE!</v>
      </c>
      <c r="I19" s="2" t="e">
        <f>AVERAGEIF([1]个股!$P$9:$P$2788,[1]行业!$B15,[1]个股!BD$9:BD$2788)</f>
        <v>#VALUE!</v>
      </c>
      <c r="J19" s="2" t="e">
        <f>AVERAGEIF([1]个股!$P$9:$P$2788,[1]行业!$B15,[1]个股!BE$9:BE$2788)</f>
        <v>#VALUE!</v>
      </c>
      <c r="K19" s="2" t="e">
        <f>AVERAGEIF([1]个股!$P$9:$P$2788,[1]行业!$B15,[1]个股!BF$9:BF$2788)</f>
        <v>#VALUE!</v>
      </c>
      <c r="L19" s="2" t="e">
        <f>AVERAGEIF([1]个股!$P$9:$P$2788,[1]行业!$B15,[1]个股!BG$9:BG$2788)</f>
        <v>#VALUE!</v>
      </c>
      <c r="M19" s="5" t="e">
        <f>SUMIF([1]个股!$P$9:$P$2788,B19,[1]个股!$M$9:$M$2788)</f>
        <v>#VALUE!</v>
      </c>
      <c r="N19" s="6" t="e">
        <f>SUMIF([1]个股!$P$9:$P$2788,B19,[1]个股!$N$9:$N$2788)</f>
        <v>#VALUE!</v>
      </c>
      <c r="O19" s="7" t="e">
        <f t="shared" si="9"/>
        <v>#VALUE!</v>
      </c>
      <c r="P19" t="e">
        <f t="shared" ca="1" si="10"/>
        <v>#NAME?</v>
      </c>
      <c r="Q19" t="str">
        <f t="shared" si="11"/>
        <v>行业2 保险Ⅱ</v>
      </c>
    </row>
    <row r="20" spans="1:17">
      <c r="A20" t="s">
        <v>43</v>
      </c>
      <c r="B20" s="14" t="s">
        <v>51</v>
      </c>
      <c r="C20" s="1" t="e">
        <f t="shared" si="5"/>
        <v>#VALUE!</v>
      </c>
      <c r="D20" s="2" t="e">
        <f t="shared" si="6"/>
        <v>#VALUE!</v>
      </c>
      <c r="E20" s="3" t="e">
        <f t="shared" si="7"/>
        <v>#VALUE!</v>
      </c>
      <c r="F20" s="3">
        <v>0.8</v>
      </c>
      <c r="G20" s="4" t="e">
        <f t="shared" si="8"/>
        <v>#VALUE!</v>
      </c>
      <c r="H20" s="2" t="e">
        <f>AVERAGEIF([1]个股!$P$9:$P$2788,[1]行业!$B25,[1]个股!BC$9:BC$2788)</f>
        <v>#VALUE!</v>
      </c>
      <c r="I20" s="2" t="e">
        <f>AVERAGEIF([1]个股!$P$9:$P$2788,[1]行业!$B25,[1]个股!BD$9:BD$2788)</f>
        <v>#VALUE!</v>
      </c>
      <c r="J20" s="2" t="e">
        <f>AVERAGEIF([1]个股!$P$9:$P$2788,[1]行业!$B25,[1]个股!BE$9:BE$2788)</f>
        <v>#VALUE!</v>
      </c>
      <c r="K20" s="2" t="e">
        <f>AVERAGEIF([1]个股!$P$9:$P$2788,[1]行业!$B25,[1]个股!BF$9:BF$2788)</f>
        <v>#VALUE!</v>
      </c>
      <c r="L20" s="2" t="e">
        <f>AVERAGEIF([1]个股!$P$9:$P$2788,[1]行业!$B25,[1]个股!BG$9:BG$2788)</f>
        <v>#VALUE!</v>
      </c>
      <c r="M20" s="5" t="e">
        <f>SUMIF([1]个股!$P$9:$P$2788,B20,[1]个股!$M$9:$M$2788)</f>
        <v>#VALUE!</v>
      </c>
      <c r="N20" s="6" t="e">
        <f>SUMIF([1]个股!$P$9:$P$2788,B20,[1]个股!$N$9:$N$2788)</f>
        <v>#VALUE!</v>
      </c>
      <c r="O20" s="7" t="e">
        <f t="shared" si="9"/>
        <v>#VALUE!</v>
      </c>
      <c r="P20" t="e">
        <f t="shared" ca="1" si="10"/>
        <v>#NAME?</v>
      </c>
      <c r="Q20" t="str">
        <f t="shared" si="11"/>
        <v>行业2 耐用消费品与服装</v>
      </c>
    </row>
    <row r="21" spans="1:17">
      <c r="A21" t="s">
        <v>43</v>
      </c>
      <c r="B21" s="14" t="s">
        <v>52</v>
      </c>
      <c r="C21" s="1" t="e">
        <f t="shared" si="5"/>
        <v>#VALUE!</v>
      </c>
      <c r="D21" s="2" t="e">
        <f t="shared" si="6"/>
        <v>#VALUE!</v>
      </c>
      <c r="E21" s="3" t="e">
        <f t="shared" si="7"/>
        <v>#VALUE!</v>
      </c>
      <c r="F21" s="3">
        <v>1</v>
      </c>
      <c r="G21" s="4" t="e">
        <f t="shared" si="8"/>
        <v>#VALUE!</v>
      </c>
      <c r="H21" s="2" t="e">
        <f>AVERAGEIF([1]个股!$P$9:$P$2788,[1]行业!$B35,[1]个股!BC$9:BC$2788)</f>
        <v>#VALUE!</v>
      </c>
      <c r="I21" s="2" t="e">
        <f>AVERAGEIF([1]个股!$P$9:$P$2788,[1]行业!$B35,[1]个股!BD$9:BD$2788)</f>
        <v>#VALUE!</v>
      </c>
      <c r="J21" s="2" t="e">
        <f>AVERAGEIF([1]个股!$P$9:$P$2788,[1]行业!$B35,[1]个股!BE$9:BE$2788)</f>
        <v>#VALUE!</v>
      </c>
      <c r="K21" s="2" t="e">
        <f>AVERAGEIF([1]个股!$P$9:$P$2788,[1]行业!$B35,[1]个股!BF$9:BF$2788)</f>
        <v>#VALUE!</v>
      </c>
      <c r="L21" s="2" t="e">
        <f>AVERAGEIF([1]个股!$P$9:$P$2788,[1]行业!$B35,[1]个股!BG$9:BG$2788)</f>
        <v>#VALUE!</v>
      </c>
      <c r="M21" s="5" t="e">
        <f>SUMIF([1]个股!$P$9:$P$2788,B21,[1]个股!$M$9:$M$2788)</f>
        <v>#VALUE!</v>
      </c>
      <c r="N21" s="6" t="e">
        <f>SUMIF([1]个股!$P$9:$P$2788,B21,[1]个股!$N$9:$N$2788)</f>
        <v>#VALUE!</v>
      </c>
      <c r="O21" s="7" t="e">
        <f t="shared" si="9"/>
        <v>#VALUE!</v>
      </c>
      <c r="P21" t="e">
        <f t="shared" ca="1" si="10"/>
        <v>#NAME?</v>
      </c>
      <c r="Q21" t="str">
        <f t="shared" si="11"/>
        <v>行业2 运输</v>
      </c>
    </row>
    <row r="22" spans="1:17">
      <c r="A22" t="s">
        <v>43</v>
      </c>
      <c r="B22" s="14" t="s">
        <v>53</v>
      </c>
      <c r="C22" s="1" t="e">
        <f t="shared" si="5"/>
        <v>#VALUE!</v>
      </c>
      <c r="D22" s="2" t="e">
        <f t="shared" si="6"/>
        <v>#VALUE!</v>
      </c>
      <c r="E22" s="3" t="e">
        <f t="shared" si="7"/>
        <v>#VALUE!</v>
      </c>
      <c r="F22" s="3">
        <v>1</v>
      </c>
      <c r="G22" s="4" t="e">
        <f t="shared" si="8"/>
        <v>#VALUE!</v>
      </c>
      <c r="H22" s="2" t="e">
        <f>AVERAGEIF([1]个股!$P$9:$P$2788,[1]行业!$B36,[1]个股!BC$9:BC$2788)</f>
        <v>#VALUE!</v>
      </c>
      <c r="I22" s="2" t="e">
        <f>AVERAGEIF([1]个股!$P$9:$P$2788,[1]行业!$B36,[1]个股!BD$9:BD$2788)</f>
        <v>#VALUE!</v>
      </c>
      <c r="J22" s="2" t="e">
        <f>AVERAGEIF([1]个股!$P$9:$P$2788,[1]行业!$B36,[1]个股!BE$9:BE$2788)</f>
        <v>#VALUE!</v>
      </c>
      <c r="K22" s="2" t="e">
        <f>AVERAGEIF([1]个股!$P$9:$P$2788,[1]行业!$B36,[1]个股!BF$9:BF$2788)</f>
        <v>#VALUE!</v>
      </c>
      <c r="L22" s="2" t="e">
        <f>AVERAGEIF([1]个股!$P$9:$P$2788,[1]行业!$B36,[1]个股!BG$9:BG$2788)</f>
        <v>#VALUE!</v>
      </c>
      <c r="M22" s="5" t="e">
        <f>SUMIF([1]个股!$P$9:$P$2788,B22,[1]个股!$M$9:$M$2788)</f>
        <v>#VALUE!</v>
      </c>
      <c r="N22" s="6" t="e">
        <f>SUMIF([1]个股!$P$9:$P$2788,B22,[1]个股!$N$9:$N$2788)</f>
        <v>#VALUE!</v>
      </c>
      <c r="O22" s="7" t="e">
        <f t="shared" si="9"/>
        <v>#VALUE!</v>
      </c>
      <c r="P22" t="e">
        <f t="shared" ca="1" si="10"/>
        <v>#NAME?</v>
      </c>
      <c r="Q22" t="str">
        <f>A22&amp;" "&amp;B22</f>
        <v>行业2 制药、生物科技与生命科学</v>
      </c>
    </row>
    <row r="23" spans="1:17">
      <c r="A23" t="s">
        <v>43</v>
      </c>
      <c r="B23" s="14" t="s">
        <v>54</v>
      </c>
      <c r="C23" s="1" t="e">
        <f t="shared" si="5"/>
        <v>#VALUE!</v>
      </c>
      <c r="D23" s="2" t="e">
        <f t="shared" si="6"/>
        <v>#VALUE!</v>
      </c>
      <c r="E23" s="3" t="e">
        <f t="shared" si="7"/>
        <v>#VALUE!</v>
      </c>
      <c r="F23" s="3">
        <v>1</v>
      </c>
      <c r="G23" s="4" t="e">
        <f t="shared" si="8"/>
        <v>#VALUE!</v>
      </c>
      <c r="H23" s="2" t="e">
        <f>AVERAGEIF([1]个股!$P$9:$P$2788,[1]行业!$B30,[1]个股!BC$9:BC$2788)</f>
        <v>#VALUE!</v>
      </c>
      <c r="I23" s="2" t="e">
        <f>AVERAGEIF([1]个股!$P$9:$P$2788,[1]行业!$B30,[1]个股!BD$9:BD$2788)</f>
        <v>#VALUE!</v>
      </c>
      <c r="J23" s="2" t="e">
        <f>AVERAGEIF([1]个股!$P$9:$P$2788,[1]行业!$B30,[1]个股!BE$9:BE$2788)</f>
        <v>#VALUE!</v>
      </c>
      <c r="K23" s="2" t="e">
        <f>AVERAGEIF([1]个股!$P$9:$P$2788,[1]行业!$B30,[1]个股!BF$9:BF$2788)</f>
        <v>#VALUE!</v>
      </c>
      <c r="L23" s="2" t="e">
        <f>AVERAGEIF([1]个股!$P$9:$P$2788,[1]行业!$B30,[1]个股!BG$9:BG$2788)</f>
        <v>#VALUE!</v>
      </c>
      <c r="M23" s="5" t="e">
        <f>SUMIF([1]个股!$P$9:$P$2788,B23,[1]个股!$M$9:$M$2788)</f>
        <v>#VALUE!</v>
      </c>
      <c r="N23" s="6" t="e">
        <f>SUMIF([1]个股!$P$9:$P$2788,B23,[1]个股!$N$9:$N$2788)</f>
        <v>#VALUE!</v>
      </c>
      <c r="O23" s="7" t="e">
        <f t="shared" si="9"/>
        <v>#VALUE!</v>
      </c>
      <c r="P23" t="e">
        <f t="shared" ca="1" si="10"/>
        <v>#NAME?</v>
      </c>
      <c r="Q23" t="str">
        <f t="shared" ref="Q23:Q86" si="12">A23&amp;" "&amp;B23</f>
        <v>行业2 食品、饮料与烟草</v>
      </c>
    </row>
    <row r="24" spans="1:17">
      <c r="A24" t="s">
        <v>43</v>
      </c>
      <c r="B24" s="14" t="s">
        <v>55</v>
      </c>
      <c r="C24" s="1" t="e">
        <f t="shared" si="5"/>
        <v>#VALUE!</v>
      </c>
      <c r="D24" s="2" t="e">
        <f t="shared" si="6"/>
        <v>#VALUE!</v>
      </c>
      <c r="E24" s="3" t="e">
        <f t="shared" si="7"/>
        <v>#VALUE!</v>
      </c>
      <c r="F24" s="3">
        <v>1</v>
      </c>
      <c r="G24" s="4" t="e">
        <f t="shared" si="8"/>
        <v>#VALUE!</v>
      </c>
      <c r="H24" s="2" t="e">
        <f>AVERAGEIF([1]个股!$P$9:$P$2788,[1]行业!$B29,[1]个股!BC$9:BC$2788)</f>
        <v>#VALUE!</v>
      </c>
      <c r="I24" s="2" t="e">
        <f>AVERAGEIF([1]个股!$P$9:$P$2788,[1]行业!$B29,[1]个股!BD$9:BD$2788)</f>
        <v>#VALUE!</v>
      </c>
      <c r="J24" s="2" t="e">
        <f>AVERAGEIF([1]个股!$P$9:$P$2788,[1]行业!$B29,[1]个股!BE$9:BE$2788)</f>
        <v>#VALUE!</v>
      </c>
      <c r="K24" s="2" t="e">
        <f>AVERAGEIF([1]个股!$P$9:$P$2788,[1]行业!$B29,[1]个股!BF$9:BF$2788)</f>
        <v>#VALUE!</v>
      </c>
      <c r="L24" s="2" t="e">
        <f>AVERAGEIF([1]个股!$P$9:$P$2788,[1]行业!$B29,[1]个股!BG$9:BG$2788)</f>
        <v>#VALUE!</v>
      </c>
      <c r="M24" s="5" t="e">
        <f>SUMIF([1]个股!$P$9:$P$2788,B24,[1]个股!$M$9:$M$2788)</f>
        <v>#VALUE!</v>
      </c>
      <c r="N24" s="6" t="e">
        <f>SUMIF([1]个股!$P$9:$P$2788,B24,[1]个股!$N$9:$N$2788)</f>
        <v>#VALUE!</v>
      </c>
      <c r="O24" s="7" t="e">
        <f t="shared" si="9"/>
        <v>#VALUE!</v>
      </c>
      <c r="P24" t="e">
        <f t="shared" ca="1" si="10"/>
        <v>#NAME?</v>
      </c>
      <c r="Q24" t="str">
        <f t="shared" si="12"/>
        <v>行业2 商业和专业服务</v>
      </c>
    </row>
    <row r="25" spans="1:17">
      <c r="A25" t="s">
        <v>43</v>
      </c>
      <c r="B25" s="14" t="s">
        <v>56</v>
      </c>
      <c r="C25" s="1" t="e">
        <f t="shared" si="5"/>
        <v>#VALUE!</v>
      </c>
      <c r="D25" s="2" t="e">
        <f t="shared" si="6"/>
        <v>#VALUE!</v>
      </c>
      <c r="E25" s="3" t="e">
        <f t="shared" si="7"/>
        <v>#VALUE!</v>
      </c>
      <c r="F25" s="3">
        <v>1</v>
      </c>
      <c r="G25" s="4" t="e">
        <f t="shared" si="8"/>
        <v>#VALUE!</v>
      </c>
      <c r="H25" s="2" t="e">
        <f>AVERAGEIF([1]个股!$P$9:$P$2788,[1]行业!$B28,[1]个股!BC$9:BC$2788)</f>
        <v>#VALUE!</v>
      </c>
      <c r="I25" s="2" t="e">
        <f>AVERAGEIF([1]个股!$P$9:$P$2788,[1]行业!$B28,[1]个股!BD$9:BD$2788)</f>
        <v>#VALUE!</v>
      </c>
      <c r="J25" s="2" t="e">
        <f>AVERAGEIF([1]个股!$P$9:$P$2788,[1]行业!$B28,[1]个股!BE$9:BE$2788)</f>
        <v>#VALUE!</v>
      </c>
      <c r="K25" s="2" t="e">
        <f>AVERAGEIF([1]个股!$P$9:$P$2788,[1]行业!$B28,[1]个股!BF$9:BF$2788)</f>
        <v>#VALUE!</v>
      </c>
      <c r="L25" s="2" t="e">
        <f>AVERAGEIF([1]个股!$P$9:$P$2788,[1]行业!$B28,[1]个股!BG$9:BG$2788)</f>
        <v>#VALUE!</v>
      </c>
      <c r="M25" s="5" t="e">
        <f>SUMIF([1]个股!$P$9:$P$2788,B25,[1]个股!$M$9:$M$2788)</f>
        <v>#VALUE!</v>
      </c>
      <c r="N25" s="6" t="e">
        <f>SUMIF([1]个股!$P$9:$P$2788,B25,[1]个股!$N$9:$N$2788)</f>
        <v>#VALUE!</v>
      </c>
      <c r="O25" s="7" t="e">
        <f t="shared" si="9"/>
        <v>#VALUE!</v>
      </c>
      <c r="P25" t="e">
        <f t="shared" ca="1" si="10"/>
        <v>#NAME?</v>
      </c>
      <c r="Q25" t="str">
        <f t="shared" si="12"/>
        <v>行业2 软件与服务</v>
      </c>
    </row>
    <row r="26" spans="1:17">
      <c r="A26" t="s">
        <v>43</v>
      </c>
      <c r="B26" s="14" t="s">
        <v>57</v>
      </c>
      <c r="C26" s="1" t="e">
        <f t="shared" si="5"/>
        <v>#VALUE!</v>
      </c>
      <c r="D26" s="2" t="e">
        <f t="shared" si="6"/>
        <v>#VALUE!</v>
      </c>
      <c r="E26" s="3" t="e">
        <f t="shared" si="7"/>
        <v>#VALUE!</v>
      </c>
      <c r="F26" s="3">
        <v>1</v>
      </c>
      <c r="G26" s="4" t="e">
        <f t="shared" si="8"/>
        <v>#VALUE!</v>
      </c>
      <c r="H26" s="2" t="e">
        <f>AVERAGEIF([1]个股!$P$9:$P$2788,[1]行业!$B31,[1]个股!BC$9:BC$2788)</f>
        <v>#VALUE!</v>
      </c>
      <c r="I26" s="2" t="e">
        <f>AVERAGEIF([1]个股!$P$9:$P$2788,[1]行业!$B31,[1]个股!BD$9:BD$2788)</f>
        <v>#VALUE!</v>
      </c>
      <c r="J26" s="2" t="e">
        <f>AVERAGEIF([1]个股!$P$9:$P$2788,[1]行业!$B31,[1]个股!BE$9:BE$2788)</f>
        <v>#VALUE!</v>
      </c>
      <c r="K26" s="2" t="e">
        <f>AVERAGEIF([1]个股!$P$9:$P$2788,[1]行业!$B31,[1]个股!BF$9:BF$2788)</f>
        <v>#VALUE!</v>
      </c>
      <c r="L26" s="2" t="e">
        <f>AVERAGEIF([1]个股!$P$9:$P$2788,[1]行业!$B31,[1]个股!BG$9:BG$2788)</f>
        <v>#VALUE!</v>
      </c>
      <c r="M26" s="5" t="e">
        <f>SUMIF([1]个股!$P$9:$P$2788,B26,[1]个股!$M$9:$M$2788)</f>
        <v>#VALUE!</v>
      </c>
      <c r="N26" s="6" t="e">
        <f>SUMIF([1]个股!$P$9:$P$2788,B26,[1]个股!$N$9:$N$2788)</f>
        <v>#VALUE!</v>
      </c>
      <c r="O26" s="7" t="e">
        <f t="shared" si="9"/>
        <v>#VALUE!</v>
      </c>
      <c r="P26" t="e">
        <f t="shared" ca="1" si="10"/>
        <v>#NAME?</v>
      </c>
      <c r="Q26" t="str">
        <f t="shared" si="12"/>
        <v>行业2 食品与主要用品零售Ⅱ</v>
      </c>
    </row>
    <row r="27" spans="1:17">
      <c r="A27" t="s">
        <v>43</v>
      </c>
      <c r="B27" s="14" t="s">
        <v>58</v>
      </c>
      <c r="C27" s="1" t="e">
        <f t="shared" si="5"/>
        <v>#VALUE!</v>
      </c>
      <c r="D27" s="2" t="e">
        <f t="shared" si="6"/>
        <v>#VALUE!</v>
      </c>
      <c r="E27" s="3" t="e">
        <f t="shared" si="7"/>
        <v>#VALUE!</v>
      </c>
      <c r="F27" s="3">
        <v>1</v>
      </c>
      <c r="G27" s="4" t="e">
        <f t="shared" si="8"/>
        <v>#VALUE!</v>
      </c>
      <c r="H27" s="2" t="e">
        <f>AVERAGEIF([1]个股!$P$9:$P$2788,[1]行业!$B17,[1]个股!BC$9:BC$2788)</f>
        <v>#VALUE!</v>
      </c>
      <c r="I27" s="2" t="e">
        <f>AVERAGEIF([1]个股!$P$9:$P$2788,[1]行业!$B17,[1]个股!BD$9:BD$2788)</f>
        <v>#VALUE!</v>
      </c>
      <c r="J27" s="2" t="e">
        <f>AVERAGEIF([1]个股!$P$9:$P$2788,[1]行业!$B17,[1]个股!BE$9:BE$2788)</f>
        <v>#VALUE!</v>
      </c>
      <c r="K27" s="2" t="e">
        <f>AVERAGEIF([1]个股!$P$9:$P$2788,[1]行业!$B17,[1]个股!BF$9:BF$2788)</f>
        <v>#VALUE!</v>
      </c>
      <c r="L27" s="2" t="e">
        <f>AVERAGEIF([1]个股!$P$9:$P$2788,[1]行业!$B17,[1]个股!BG$9:BG$2788)</f>
        <v>#VALUE!</v>
      </c>
      <c r="M27" s="5" t="e">
        <f>SUMIF([1]个股!$P$9:$P$2788,B27,[1]个股!$M$9:$M$2788)</f>
        <v>#VALUE!</v>
      </c>
      <c r="N27" s="6" t="e">
        <f>SUMIF([1]个股!$P$9:$P$2788,B27,[1]个股!$N$9:$N$2788)</f>
        <v>#VALUE!</v>
      </c>
      <c r="O27" s="7" t="e">
        <f t="shared" si="9"/>
        <v>#VALUE!</v>
      </c>
      <c r="P27" t="e">
        <f t="shared" ca="1" si="10"/>
        <v>#NAME?</v>
      </c>
      <c r="Q27" t="str">
        <f t="shared" si="12"/>
        <v>行业2 电信服务Ⅱ</v>
      </c>
    </row>
    <row r="28" spans="1:17">
      <c r="A28" t="s">
        <v>43</v>
      </c>
      <c r="B28" s="14" t="s">
        <v>59</v>
      </c>
      <c r="C28" s="1" t="e">
        <f t="shared" si="5"/>
        <v>#VALUE!</v>
      </c>
      <c r="D28" s="2" t="e">
        <f t="shared" si="6"/>
        <v>#VALUE!</v>
      </c>
      <c r="E28" s="3" t="e">
        <f t="shared" si="7"/>
        <v>#VALUE!</v>
      </c>
      <c r="F28" s="3">
        <v>1</v>
      </c>
      <c r="G28" s="4" t="e">
        <f t="shared" si="8"/>
        <v>#VALUE!</v>
      </c>
      <c r="H28" s="2" t="e">
        <f>AVERAGEIF([1]个股!$P$9:$P$2788,[1]行业!$B24,[1]个股!BC$9:BC$2788)</f>
        <v>#VALUE!</v>
      </c>
      <c r="I28" s="2" t="e">
        <f>AVERAGEIF([1]个股!$P$9:$P$2788,[1]行业!$B24,[1]个股!BD$9:BD$2788)</f>
        <v>#VALUE!</v>
      </c>
      <c r="J28" s="2" t="e">
        <f>AVERAGEIF([1]个股!$P$9:$P$2788,[1]行业!$B24,[1]个股!BE$9:BE$2788)</f>
        <v>#VALUE!</v>
      </c>
      <c r="K28" s="2" t="e">
        <f>AVERAGEIF([1]个股!$P$9:$P$2788,[1]行业!$B24,[1]个股!BF$9:BF$2788)</f>
        <v>#VALUE!</v>
      </c>
      <c r="L28" s="2" t="e">
        <f>AVERAGEIF([1]个股!$P$9:$P$2788,[1]行业!$B24,[1]个股!BG$9:BG$2788)</f>
        <v>#VALUE!</v>
      </c>
      <c r="M28" s="5" t="e">
        <f>SUMIF([1]个股!$P$9:$P$2788,B28,[1]个股!$M$9:$M$2788)</f>
        <v>#VALUE!</v>
      </c>
      <c r="N28" s="6" t="e">
        <f>SUMIF([1]个股!$P$9:$P$2788,B28,[1]个股!$N$9:$N$2788)</f>
        <v>#VALUE!</v>
      </c>
      <c r="O28" s="7" t="e">
        <f t="shared" si="9"/>
        <v>#VALUE!</v>
      </c>
      <c r="P28" t="e">
        <f t="shared" ca="1" si="10"/>
        <v>#NAME?</v>
      </c>
      <c r="Q28" t="str">
        <f t="shared" si="12"/>
        <v>行业2 媒体Ⅱ</v>
      </c>
    </row>
    <row r="29" spans="1:17">
      <c r="A29" t="s">
        <v>43</v>
      </c>
      <c r="B29" s="14" t="s">
        <v>60</v>
      </c>
      <c r="C29" s="1" t="e">
        <f t="shared" si="5"/>
        <v>#VALUE!</v>
      </c>
      <c r="D29" s="2" t="e">
        <f t="shared" si="6"/>
        <v>#VALUE!</v>
      </c>
      <c r="E29" s="3" t="e">
        <f t="shared" si="7"/>
        <v>#VALUE!</v>
      </c>
      <c r="F29" s="3">
        <v>1</v>
      </c>
      <c r="G29" s="4" t="e">
        <f t="shared" si="8"/>
        <v>#VALUE!</v>
      </c>
      <c r="H29" s="2" t="e">
        <f>AVERAGEIF([1]个股!$P$9:$P$2788,[1]行业!$B37,[1]个股!BC$9:BC$2788)</f>
        <v>#VALUE!</v>
      </c>
      <c r="I29" s="2" t="e">
        <f>AVERAGEIF([1]个股!$P$9:$P$2788,[1]行业!$B37,[1]个股!BD$9:BD$2788)</f>
        <v>#VALUE!</v>
      </c>
      <c r="J29" s="2" t="e">
        <f>AVERAGEIF([1]个股!$P$9:$P$2788,[1]行业!$B37,[1]个股!BE$9:BE$2788)</f>
        <v>#VALUE!</v>
      </c>
      <c r="K29" s="2" t="e">
        <f>AVERAGEIF([1]个股!$P$9:$P$2788,[1]行业!$B37,[1]个股!BF$9:BF$2788)</f>
        <v>#VALUE!</v>
      </c>
      <c r="L29" s="2" t="e">
        <f>AVERAGEIF([1]个股!$P$9:$P$2788,[1]行业!$B37,[1]个股!BG$9:BG$2788)</f>
        <v>#VALUE!</v>
      </c>
      <c r="M29" s="5" t="e">
        <f>SUMIF([1]个股!$P$9:$P$2788,B29,[1]个股!$M$9:$M$2788)</f>
        <v>#VALUE!</v>
      </c>
      <c r="N29" s="6" t="e">
        <f>SUMIF([1]个股!$P$9:$P$2788,B29,[1]个股!$N$9:$N$2788)</f>
        <v>#VALUE!</v>
      </c>
      <c r="O29" s="7" t="e">
        <f t="shared" si="9"/>
        <v>#VALUE!</v>
      </c>
      <c r="P29" t="e">
        <f t="shared" ca="1" si="10"/>
        <v>#NAME?</v>
      </c>
      <c r="Q29" t="str">
        <f t="shared" si="12"/>
        <v>行业2 资本货物</v>
      </c>
    </row>
    <row r="30" spans="1:17">
      <c r="A30" t="s">
        <v>43</v>
      </c>
      <c r="B30" s="14" t="s">
        <v>61</v>
      </c>
      <c r="C30" s="1" t="e">
        <f t="shared" si="5"/>
        <v>#VALUE!</v>
      </c>
      <c r="D30" s="2" t="e">
        <f t="shared" si="6"/>
        <v>#VALUE!</v>
      </c>
      <c r="E30" s="3" t="e">
        <f t="shared" si="7"/>
        <v>#VALUE!</v>
      </c>
      <c r="F30" s="3">
        <v>1</v>
      </c>
      <c r="G30" s="4" t="e">
        <f t="shared" si="8"/>
        <v>#VALUE!</v>
      </c>
      <c r="H30" s="2" t="e">
        <f>AVERAGEIF([1]个股!$P$9:$P$2788,[1]行业!$B16,[1]个股!BC$9:BC$2788)</f>
        <v>#VALUE!</v>
      </c>
      <c r="I30" s="2" t="e">
        <f>AVERAGEIF([1]个股!$P$9:$P$2788,[1]行业!$B16,[1]个股!BD$9:BD$2788)</f>
        <v>#VALUE!</v>
      </c>
      <c r="J30" s="2" t="e">
        <f>AVERAGEIF([1]个股!$P$9:$P$2788,[1]行业!$B16,[1]个股!BE$9:BE$2788)</f>
        <v>#VALUE!</v>
      </c>
      <c r="K30" s="2" t="e">
        <f>AVERAGEIF([1]个股!$P$9:$P$2788,[1]行业!$B16,[1]个股!BF$9:BF$2788)</f>
        <v>#VALUE!</v>
      </c>
      <c r="L30" s="2" t="e">
        <f>AVERAGEIF([1]个股!$P$9:$P$2788,[1]行业!$B16,[1]个股!BG$9:BG$2788)</f>
        <v>#VALUE!</v>
      </c>
      <c r="M30" s="5" t="e">
        <f>SUMIF([1]个股!$P$9:$P$2788,B30,[1]个股!$M$9:$M$2788)</f>
        <v>#VALUE!</v>
      </c>
      <c r="N30" s="6" t="e">
        <f>SUMIF([1]个股!$P$9:$P$2788,B30,[1]个股!$N$9:$N$2788)</f>
        <v>#VALUE!</v>
      </c>
      <c r="O30" s="7" t="e">
        <f t="shared" si="9"/>
        <v>#VALUE!</v>
      </c>
      <c r="P30" t="e">
        <f t="shared" ca="1" si="10"/>
        <v>#NAME?</v>
      </c>
      <c r="Q30" t="str">
        <f t="shared" si="12"/>
        <v>行业2 材料Ⅱ</v>
      </c>
    </row>
    <row r="31" spans="1:17">
      <c r="A31" t="s">
        <v>43</v>
      </c>
      <c r="B31" s="14" t="s">
        <v>62</v>
      </c>
      <c r="C31" s="1" t="e">
        <f t="shared" si="5"/>
        <v>#VALUE!</v>
      </c>
      <c r="D31" s="2" t="e">
        <f t="shared" si="6"/>
        <v>#VALUE!</v>
      </c>
      <c r="E31" s="3" t="e">
        <f t="shared" si="7"/>
        <v>#VALUE!</v>
      </c>
      <c r="F31" s="3">
        <v>1</v>
      </c>
      <c r="G31" s="4" t="e">
        <f t="shared" si="8"/>
        <v>#VALUE!</v>
      </c>
      <c r="H31" s="2" t="e">
        <f>AVERAGEIF([1]个股!$P$9:$P$2788,[1]行业!$B21,[1]个股!BC$9:BC$2788)</f>
        <v>#VALUE!</v>
      </c>
      <c r="I31" s="2" t="e">
        <f>AVERAGEIF([1]个股!$P$9:$P$2788,[1]行业!$B21,[1]个股!BD$9:BD$2788)</f>
        <v>#VALUE!</v>
      </c>
      <c r="J31" s="2" t="e">
        <f>AVERAGEIF([1]个股!$P$9:$P$2788,[1]行业!$B21,[1]个股!BE$9:BE$2788)</f>
        <v>#VALUE!</v>
      </c>
      <c r="K31" s="2" t="e">
        <f>AVERAGEIF([1]个股!$P$9:$P$2788,[1]行业!$B21,[1]个股!BF$9:BF$2788)</f>
        <v>#VALUE!</v>
      </c>
      <c r="L31" s="2" t="e">
        <f>AVERAGEIF([1]个股!$P$9:$P$2788,[1]行业!$B21,[1]个股!BG$9:BG$2788)</f>
        <v>#VALUE!</v>
      </c>
      <c r="M31" s="5" t="e">
        <f>SUMIF([1]个股!$P$9:$P$2788,B31,[1]个股!$M$9:$M$2788)</f>
        <v>#VALUE!</v>
      </c>
      <c r="N31" s="6" t="e">
        <f>SUMIF([1]个股!$P$9:$P$2788,B31,[1]个股!$N$9:$N$2788)</f>
        <v>#VALUE!</v>
      </c>
      <c r="O31" s="7" t="e">
        <f t="shared" si="9"/>
        <v>#VALUE!</v>
      </c>
      <c r="P31" t="e">
        <f t="shared" ca="1" si="10"/>
        <v>#NAME?</v>
      </c>
      <c r="Q31" t="str">
        <f t="shared" si="12"/>
        <v>行业2 技术硬件与设备</v>
      </c>
    </row>
    <row r="32" spans="1:17">
      <c r="A32" t="s">
        <v>43</v>
      </c>
      <c r="B32" s="14" t="s">
        <v>63</v>
      </c>
      <c r="C32" s="1" t="e">
        <f t="shared" si="5"/>
        <v>#VALUE!</v>
      </c>
      <c r="D32" s="2" t="e">
        <f t="shared" si="6"/>
        <v>#VALUE!</v>
      </c>
      <c r="E32" s="3" t="e">
        <f t="shared" si="7"/>
        <v>#VALUE!</v>
      </c>
      <c r="F32" s="3">
        <v>1</v>
      </c>
      <c r="G32" s="4" t="e">
        <f t="shared" si="8"/>
        <v>#VALUE!</v>
      </c>
      <c r="H32" s="2" t="e">
        <f>AVERAGEIF([1]个股!$P$9:$P$2788,[1]行业!$B32,[1]个股!BC$9:BC$2788)</f>
        <v>#VALUE!</v>
      </c>
      <c r="I32" s="2" t="e">
        <f>AVERAGEIF([1]个股!$P$9:$P$2788,[1]行业!$B32,[1]个股!BD$9:BD$2788)</f>
        <v>#VALUE!</v>
      </c>
      <c r="J32" s="2" t="e">
        <f>AVERAGEIF([1]个股!$P$9:$P$2788,[1]行业!$B32,[1]个股!BE$9:BE$2788)</f>
        <v>#VALUE!</v>
      </c>
      <c r="K32" s="2" t="e">
        <f>AVERAGEIF([1]个股!$P$9:$P$2788,[1]行业!$B32,[1]个股!BF$9:BF$2788)</f>
        <v>#VALUE!</v>
      </c>
      <c r="L32" s="2" t="e">
        <f>AVERAGEIF([1]个股!$P$9:$P$2788,[1]行业!$B32,[1]个股!BG$9:BG$2788)</f>
        <v>#VALUE!</v>
      </c>
      <c r="M32" s="5" t="e">
        <f>SUMIF([1]个股!$P$9:$P$2788,B32,[1]个股!$M$9:$M$2788)</f>
        <v>#VALUE!</v>
      </c>
      <c r="N32" s="6" t="e">
        <f>SUMIF([1]个股!$P$9:$P$2788,B32,[1]个股!$N$9:$N$2788)</f>
        <v>#VALUE!</v>
      </c>
      <c r="O32" s="7" t="e">
        <f t="shared" si="9"/>
        <v>#VALUE!</v>
      </c>
      <c r="P32" t="e">
        <f t="shared" ca="1" si="10"/>
        <v>#NAME?</v>
      </c>
      <c r="Q32" t="str">
        <f t="shared" si="12"/>
        <v>行业2 消费者服务Ⅱ</v>
      </c>
    </row>
    <row r="33" spans="1:17">
      <c r="A33" t="s">
        <v>43</v>
      </c>
      <c r="B33" s="14" t="s">
        <v>64</v>
      </c>
      <c r="C33" s="1" t="e">
        <f t="shared" si="5"/>
        <v>#VALUE!</v>
      </c>
      <c r="D33" s="2" t="e">
        <f t="shared" si="6"/>
        <v>#VALUE!</v>
      </c>
      <c r="E33" s="3" t="e">
        <f t="shared" si="7"/>
        <v>#VALUE!</v>
      </c>
      <c r="F33" s="3">
        <v>0.7</v>
      </c>
      <c r="G33" s="4" t="e">
        <f t="shared" si="8"/>
        <v>#VALUE!</v>
      </c>
      <c r="H33" s="2" t="e">
        <f>AVERAGEIF([1]个股!$P$9:$P$2788,[1]行业!$B19,[1]个股!BC$9:BC$2788)</f>
        <v>#VALUE!</v>
      </c>
      <c r="I33" s="2" t="e">
        <f>AVERAGEIF([1]个股!$P$9:$P$2788,[1]行业!$B19,[1]个股!BD$9:BD$2788)</f>
        <v>#VALUE!</v>
      </c>
      <c r="J33" s="2" t="e">
        <f>AVERAGEIF([1]个股!$P$9:$P$2788,[1]行业!$B19,[1]个股!BE$9:BE$2788)</f>
        <v>#VALUE!</v>
      </c>
      <c r="K33" s="2" t="e">
        <f>AVERAGEIF([1]个股!$P$9:$P$2788,[1]行业!$B19,[1]个股!BF$9:BF$2788)</f>
        <v>#VALUE!</v>
      </c>
      <c r="L33" s="2" t="e">
        <f>AVERAGEIF([1]个股!$P$9:$P$2788,[1]行业!$B19,[1]个股!BG$9:BG$2788)</f>
        <v>#VALUE!</v>
      </c>
      <c r="M33" s="5" t="e">
        <f>SUMIF([1]个股!$P$9:$P$2788,B33,[1]个股!$M$9:$M$2788)</f>
        <v>#VALUE!</v>
      </c>
      <c r="N33" s="6" t="e">
        <f>SUMIF([1]个股!$P$9:$P$2788,B33,[1]个股!$N$9:$N$2788)</f>
        <v>#VALUE!</v>
      </c>
      <c r="O33" s="7" t="e">
        <f t="shared" si="9"/>
        <v>#VALUE!</v>
      </c>
      <c r="P33" t="e">
        <f t="shared" ca="1" si="10"/>
        <v>#NAME?</v>
      </c>
      <c r="Q33" t="str">
        <f t="shared" si="12"/>
        <v>行业2 房地产</v>
      </c>
    </row>
    <row r="34" spans="1:17">
      <c r="A34" t="s">
        <v>43</v>
      </c>
      <c r="B34" s="14" t="s">
        <v>65</v>
      </c>
      <c r="C34" s="1" t="e">
        <f t="shared" si="5"/>
        <v>#VALUE!</v>
      </c>
      <c r="D34" s="2" t="e">
        <f t="shared" si="6"/>
        <v>#VALUE!</v>
      </c>
      <c r="E34" s="3" t="e">
        <f t="shared" si="7"/>
        <v>#VALUE!</v>
      </c>
      <c r="F34" s="3">
        <v>1</v>
      </c>
      <c r="G34" s="4" t="e">
        <f t="shared" si="8"/>
        <v>#VALUE!</v>
      </c>
      <c r="H34" s="2" t="e">
        <f>AVERAGEIF([1]个股!$P$9:$P$2788,[1]行业!$B33,[1]个股!BC$9:BC$2788)</f>
        <v>#VALUE!</v>
      </c>
      <c r="I34" s="2" t="e">
        <f>AVERAGEIF([1]个股!$P$9:$P$2788,[1]行业!$B33,[1]个股!BD$9:BD$2788)</f>
        <v>#VALUE!</v>
      </c>
      <c r="J34" s="2" t="e">
        <f>AVERAGEIF([1]个股!$P$9:$P$2788,[1]行业!$B33,[1]个股!BE$9:BE$2788)</f>
        <v>#VALUE!</v>
      </c>
      <c r="K34" s="2" t="e">
        <f>AVERAGEIF([1]个股!$P$9:$P$2788,[1]行业!$B33,[1]个股!BF$9:BF$2788)</f>
        <v>#VALUE!</v>
      </c>
      <c r="L34" s="2" t="e">
        <f>AVERAGEIF([1]个股!$P$9:$P$2788,[1]行业!$B33,[1]个股!BG$9:BG$2788)</f>
        <v>#VALUE!</v>
      </c>
      <c r="M34" s="5" t="e">
        <f>SUMIF([1]个股!$P$9:$P$2788,B34,[1]个股!$M$9:$M$2788)</f>
        <v>#VALUE!</v>
      </c>
      <c r="N34" s="6" t="e">
        <f>SUMIF([1]个股!$P$9:$P$2788,B34,[1]个股!$N$9:$N$2788)</f>
        <v>#VALUE!</v>
      </c>
      <c r="O34" s="7" t="e">
        <f t="shared" si="9"/>
        <v>#VALUE!</v>
      </c>
      <c r="P34" t="e">
        <f t="shared" ca="1" si="10"/>
        <v>#NAME?</v>
      </c>
      <c r="Q34" t="str">
        <f t="shared" si="12"/>
        <v>行业2 医疗保健设备与服务</v>
      </c>
    </row>
    <row r="35" spans="1:17">
      <c r="A35" t="s">
        <v>43</v>
      </c>
      <c r="B35" s="14" t="s">
        <v>66</v>
      </c>
      <c r="C35" s="1" t="e">
        <f t="shared" si="5"/>
        <v>#VALUE!</v>
      </c>
      <c r="D35" s="2" t="e">
        <f t="shared" si="6"/>
        <v>#VALUE!</v>
      </c>
      <c r="E35" s="3" t="e">
        <f t="shared" si="7"/>
        <v>#VALUE!</v>
      </c>
      <c r="F35" s="3">
        <v>0.8</v>
      </c>
      <c r="G35" s="4" t="e">
        <f t="shared" si="8"/>
        <v>#VALUE!</v>
      </c>
      <c r="H35" s="2" t="e">
        <f>AVERAGEIF([1]个股!$P$9:$P$2788,[1]行业!$B26,[1]个股!BC$9:BC$2788)</f>
        <v>#VALUE!</v>
      </c>
      <c r="I35" s="2" t="e">
        <f>AVERAGEIF([1]个股!$P$9:$P$2788,[1]行业!$B26,[1]个股!BD$9:BD$2788)</f>
        <v>#VALUE!</v>
      </c>
      <c r="J35" s="2" t="e">
        <f>AVERAGEIF([1]个股!$P$9:$P$2788,[1]行业!$B26,[1]个股!BE$9:BE$2788)</f>
        <v>#VALUE!</v>
      </c>
      <c r="K35" s="2" t="e">
        <f>AVERAGEIF([1]个股!$P$9:$P$2788,[1]行业!$B26,[1]个股!BF$9:BF$2788)</f>
        <v>#VALUE!</v>
      </c>
      <c r="L35" s="2" t="e">
        <f>AVERAGEIF([1]个股!$P$9:$P$2788,[1]行业!$B26,[1]个股!BG$9:BG$2788)</f>
        <v>#VALUE!</v>
      </c>
      <c r="M35" s="5" t="e">
        <f>SUMIF([1]个股!$P$9:$P$2788,B35,[1]个股!$M$9:$M$2788)</f>
        <v>#VALUE!</v>
      </c>
      <c r="N35" s="6" t="e">
        <f>SUMIF([1]个股!$P$9:$P$2788,B35,[1]个股!$N$9:$N$2788)</f>
        <v>#VALUE!</v>
      </c>
      <c r="O35" s="7" t="e">
        <f t="shared" si="9"/>
        <v>#VALUE!</v>
      </c>
      <c r="P35" t="e">
        <f t="shared" ca="1" si="10"/>
        <v>#NAME?</v>
      </c>
      <c r="Q35" t="str">
        <f t="shared" si="12"/>
        <v>行业2 能源Ⅱ</v>
      </c>
    </row>
    <row r="36" spans="1:17">
      <c r="A36" t="s">
        <v>43</v>
      </c>
      <c r="B36" s="14" t="s">
        <v>67</v>
      </c>
      <c r="C36" s="1" t="e">
        <f t="shared" si="5"/>
        <v>#VALUE!</v>
      </c>
      <c r="D36" s="2" t="e">
        <f t="shared" si="6"/>
        <v>#VALUE!</v>
      </c>
      <c r="E36" s="3" t="e">
        <f t="shared" si="7"/>
        <v>#VALUE!</v>
      </c>
      <c r="F36" s="3">
        <v>1</v>
      </c>
      <c r="G36" s="4" t="e">
        <f t="shared" si="8"/>
        <v>#VALUE!</v>
      </c>
      <c r="H36" s="2" t="e">
        <f>AVERAGEIF([1]个股!$P$9:$P$2788,[1]行业!$B23,[1]个股!BC$9:BC$2788)</f>
        <v>#VALUE!</v>
      </c>
      <c r="I36" s="2" t="e">
        <f>AVERAGEIF([1]个股!$P$9:$P$2788,[1]行业!$B23,[1]个股!BD$9:BD$2788)</f>
        <v>#VALUE!</v>
      </c>
      <c r="J36" s="2" t="e">
        <f>AVERAGEIF([1]个股!$P$9:$P$2788,[1]行业!$B23,[1]个股!BE$9:BE$2788)</f>
        <v>#VALUE!</v>
      </c>
      <c r="K36" s="2" t="e">
        <f>AVERAGEIF([1]个股!$P$9:$P$2788,[1]行业!$B23,[1]个股!BF$9:BF$2788)</f>
        <v>#VALUE!</v>
      </c>
      <c r="L36" s="2" t="e">
        <f>AVERAGEIF([1]个股!$P$9:$P$2788,[1]行业!$B23,[1]个股!BG$9:BG$2788)</f>
        <v>#VALUE!</v>
      </c>
      <c r="M36" s="5" t="e">
        <f>SUMIF([1]个股!$P$9:$P$2788,B36,[1]个股!$M$9:$M$2788)</f>
        <v>#VALUE!</v>
      </c>
      <c r="N36" s="6" t="e">
        <f>SUMIF([1]个股!$P$9:$P$2788,B36,[1]个股!$N$9:$N$2788)</f>
        <v>#VALUE!</v>
      </c>
      <c r="O36" s="7" t="e">
        <f t="shared" si="9"/>
        <v>#VALUE!</v>
      </c>
      <c r="P36" t="e">
        <f t="shared" ca="1" si="10"/>
        <v>#NAME?</v>
      </c>
      <c r="Q36" t="str">
        <f t="shared" si="12"/>
        <v>行业2 零售业</v>
      </c>
    </row>
    <row r="37" spans="1:17">
      <c r="A37" t="s">
        <v>49</v>
      </c>
      <c r="B37" s="14" t="s">
        <v>68</v>
      </c>
      <c r="C37" s="1" t="e">
        <f t="shared" si="5"/>
        <v>#VALUE!</v>
      </c>
      <c r="D37" s="2" t="e">
        <f t="shared" si="6"/>
        <v>#VALUE!</v>
      </c>
      <c r="E37" s="3" t="e">
        <f t="shared" si="7"/>
        <v>#VALUE!</v>
      </c>
      <c r="F37" s="3">
        <v>1</v>
      </c>
      <c r="G37" s="4" t="e">
        <f t="shared" si="8"/>
        <v>#VALUE!</v>
      </c>
      <c r="H37" s="2" t="e">
        <f>AVERAGEIF([1]个股!$P$9:$P$2788,[1]行业!$B14,[1]个股!BC$9:BC$2788)</f>
        <v>#VALUE!</v>
      </c>
      <c r="I37" s="2" t="e">
        <f>AVERAGEIF([1]个股!$P$9:$P$2788,[1]行业!$B14,[1]个股!BD$9:BD$2788)</f>
        <v>#VALUE!</v>
      </c>
      <c r="J37" s="2" t="e">
        <f>AVERAGEIF([1]个股!$P$9:$P$2788,[1]行业!$B14,[1]个股!BE$9:BE$2788)</f>
        <v>#VALUE!</v>
      </c>
      <c r="K37" s="2" t="e">
        <f>AVERAGEIF([1]个股!$P$9:$P$2788,[1]行业!$B14,[1]个股!BF$9:BF$2788)</f>
        <v>#VALUE!</v>
      </c>
      <c r="L37" s="2" t="e">
        <f>AVERAGEIF([1]个股!$P$9:$P$2788,[1]行业!$B14,[1]个股!BG$9:BG$2788)</f>
        <v>#VALUE!</v>
      </c>
      <c r="M37" s="5" t="e">
        <f>SUMIF([1]个股!$P$9:$P$2788,B37,[1]个股!$M$9:$M$2788)</f>
        <v>#VALUE!</v>
      </c>
      <c r="N37" s="6" t="e">
        <f>SUMIF([1]个股!$P$9:$P$2788,B37,[1]个股!$N$9:$N$2788)</f>
        <v>#VALUE!</v>
      </c>
      <c r="O37" s="7" t="e">
        <f t="shared" si="9"/>
        <v>#VALUE!</v>
      </c>
      <c r="P37" t="e">
        <f t="shared" ca="1" si="10"/>
        <v>#NAME?</v>
      </c>
      <c r="Q37" t="str">
        <f t="shared" si="12"/>
        <v>行业2 半导体与半导体生产设备</v>
      </c>
    </row>
    <row r="38" spans="1:17">
      <c r="A38" t="s">
        <v>69</v>
      </c>
      <c r="B38" s="14" t="s">
        <v>70</v>
      </c>
      <c r="C38" s="1" t="e">
        <f t="shared" si="5"/>
        <v>#VALUE!</v>
      </c>
      <c r="D38" s="2" t="e">
        <f t="shared" si="6"/>
        <v>#VALUE!</v>
      </c>
      <c r="E38" s="3" t="e">
        <f t="shared" si="7"/>
        <v>#VALUE!</v>
      </c>
      <c r="F38" s="3">
        <v>0.5</v>
      </c>
      <c r="G38" s="4" t="e">
        <f t="shared" si="8"/>
        <v>#VALUE!</v>
      </c>
      <c r="H38" s="2" t="e">
        <f>AVERAGEIF([1]个股!$Q$9:$Q$2788,[1]行业!$B78,[1]个股!BC$9:BC$2788)</f>
        <v>#VALUE!</v>
      </c>
      <c r="I38" s="2" t="e">
        <f>AVERAGEIF([1]个股!$Q$9:$Q$2788,[1]行业!$B78,[1]个股!BD$9:BD$2788)</f>
        <v>#VALUE!</v>
      </c>
      <c r="J38" s="2" t="e">
        <f>AVERAGEIF([1]个股!$Q$9:$Q$2788,[1]行业!$B78,[1]个股!BE$9:BE$2788)</f>
        <v>#VALUE!</v>
      </c>
      <c r="K38" s="2" t="e">
        <f>AVERAGEIF([1]个股!$Q$9:$Q$2788,[1]行业!$B78,[1]个股!BF$9:BF$2788)</f>
        <v>#VALUE!</v>
      </c>
      <c r="L38" s="2" t="e">
        <f>AVERAGEIF([1]个股!$Q$9:$Q$2788,[1]行业!$B78,[1]个股!BG$9:BG$2788)</f>
        <v>#VALUE!</v>
      </c>
      <c r="M38" s="5" t="e">
        <f>SUMIF([1]个股!$Q$9:$Q$2788,B38,[1]个股!$M$9:$M$2788)</f>
        <v>#VALUE!</v>
      </c>
      <c r="N38" s="6" t="e">
        <f>SUMIF([1]个股!$Q$9:$Q$2788,B38,[1]个股!$N$9:$N$2788)</f>
        <v>#VALUE!</v>
      </c>
      <c r="O38" s="7" t="e">
        <f t="shared" si="9"/>
        <v>#VALUE!</v>
      </c>
      <c r="P38" t="e">
        <f t="shared" ca="1" si="10"/>
        <v>#NAME?</v>
      </c>
      <c r="Q38" t="str">
        <f t="shared" si="12"/>
        <v>行业3 商业银行</v>
      </c>
    </row>
    <row r="39" spans="1:17">
      <c r="A39" t="s">
        <v>69</v>
      </c>
      <c r="B39" s="14" t="s">
        <v>71</v>
      </c>
      <c r="C39" s="1" t="e">
        <f t="shared" si="5"/>
        <v>#VALUE!</v>
      </c>
      <c r="D39" s="2" t="e">
        <f t="shared" si="6"/>
        <v>#VALUE!</v>
      </c>
      <c r="E39" s="3" t="e">
        <f t="shared" si="7"/>
        <v>#VALUE!</v>
      </c>
      <c r="F39" s="3">
        <v>1</v>
      </c>
      <c r="G39" s="4" t="e">
        <f t="shared" si="8"/>
        <v>#VALUE!</v>
      </c>
      <c r="H39" s="2" t="e">
        <f>AVERAGEIF([1]个股!$Q$9:$Q$2788,[1]行业!$B51,[1]个股!BC$9:BC$2788)</f>
        <v>#VALUE!</v>
      </c>
      <c r="I39" s="2" t="e">
        <f>AVERAGEIF([1]个股!$Q$9:$Q$2788,[1]行业!$B51,[1]个股!BD$9:BD$2788)</f>
        <v>#VALUE!</v>
      </c>
      <c r="J39" s="2" t="e">
        <f>AVERAGEIF([1]个股!$Q$9:$Q$2788,[1]行业!$B51,[1]个股!BE$9:BE$2788)</f>
        <v>#VALUE!</v>
      </c>
      <c r="K39" s="2" t="e">
        <f>AVERAGEIF([1]个股!$Q$9:$Q$2788,[1]行业!$B51,[1]个股!BF$9:BF$2788)</f>
        <v>#VALUE!</v>
      </c>
      <c r="L39" s="2" t="e">
        <f>AVERAGEIF([1]个股!$Q$9:$Q$2788,[1]行业!$B51,[1]个股!BG$9:BG$2788)</f>
        <v>#VALUE!</v>
      </c>
      <c r="M39" s="5" t="e">
        <f>SUMIF([1]个股!$Q$9:$Q$2788,B39,[1]个股!$M$9:$M$2788)</f>
        <v>#VALUE!</v>
      </c>
      <c r="N39" s="6" t="e">
        <f>SUMIF([1]个股!$Q$9:$Q$2788,B39,[1]个股!$N$9:$N$2788)</f>
        <v>#VALUE!</v>
      </c>
      <c r="O39" s="7" t="e">
        <f t="shared" si="9"/>
        <v>#VALUE!</v>
      </c>
      <c r="P39" t="e">
        <f t="shared" ca="1" si="10"/>
        <v>#NAME?</v>
      </c>
      <c r="Q39" t="str">
        <f t="shared" si="12"/>
        <v>行业3 个人用品Ⅲ</v>
      </c>
    </row>
    <row r="40" spans="1:17">
      <c r="A40" t="s">
        <v>69</v>
      </c>
      <c r="B40" s="14" t="s">
        <v>72</v>
      </c>
      <c r="C40" s="1" t="e">
        <f t="shared" si="5"/>
        <v>#VALUE!</v>
      </c>
      <c r="D40" s="2" t="e">
        <f t="shared" si="6"/>
        <v>#VALUE!</v>
      </c>
      <c r="E40" s="3" t="e">
        <f t="shared" si="7"/>
        <v>#VALUE!</v>
      </c>
      <c r="F40" s="3">
        <v>1</v>
      </c>
      <c r="G40" s="4" t="e">
        <f t="shared" si="8"/>
        <v>#VALUE!</v>
      </c>
      <c r="H40" s="2" t="e">
        <f>AVERAGEIF([1]个股!$Q$9:$Q$2788,[1]行业!$B98,[1]个股!BC$9:BC$2788)</f>
        <v>#VALUE!</v>
      </c>
      <c r="I40" s="2" t="e">
        <f>AVERAGEIF([1]个股!$Q$9:$Q$2788,[1]行业!$B98,[1]个股!BD$9:BD$2788)</f>
        <v>#VALUE!</v>
      </c>
      <c r="J40" s="2" t="e">
        <f>AVERAGEIF([1]个股!$Q$9:$Q$2788,[1]行业!$B98,[1]个股!BE$9:BE$2788)</f>
        <v>#VALUE!</v>
      </c>
      <c r="K40" s="2" t="e">
        <f>AVERAGEIF([1]个股!$Q$9:$Q$2788,[1]行业!$B98,[1]个股!BF$9:BF$2788)</f>
        <v>#VALUE!</v>
      </c>
      <c r="L40" s="2" t="e">
        <f>AVERAGEIF([1]个股!$Q$9:$Q$2788,[1]行业!$B98,[1]个股!BG$9:BG$2788)</f>
        <v>#VALUE!</v>
      </c>
      <c r="M40" s="5" t="e">
        <f>SUMIF([1]个股!$Q$9:$Q$2788,B40,[1]个股!$M$9:$M$2788)</f>
        <v>#VALUE!</v>
      </c>
      <c r="N40" s="6" t="e">
        <f>SUMIF([1]个股!$Q$9:$Q$2788,B40,[1]个股!$N$9:$N$2788)</f>
        <v>#VALUE!</v>
      </c>
      <c r="O40" s="7" t="e">
        <f t="shared" si="9"/>
        <v>#VALUE!</v>
      </c>
      <c r="P40" t="e">
        <f t="shared" ca="1" si="10"/>
        <v>#NAME?</v>
      </c>
      <c r="Q40" t="str">
        <f t="shared" si="12"/>
        <v>行业3 资本市场</v>
      </c>
    </row>
    <row r="41" spans="1:17">
      <c r="A41" t="s">
        <v>69</v>
      </c>
      <c r="B41" s="14" t="s">
        <v>73</v>
      </c>
      <c r="C41" s="1" t="e">
        <f t="shared" si="5"/>
        <v>#VALUE!</v>
      </c>
      <c r="D41" s="2" t="e">
        <f t="shared" si="6"/>
        <v>#VALUE!</v>
      </c>
      <c r="E41" s="3" t="e">
        <f t="shared" si="7"/>
        <v>#VALUE!</v>
      </c>
      <c r="F41" s="3">
        <v>0.8</v>
      </c>
      <c r="G41" s="4" t="e">
        <f t="shared" si="8"/>
        <v>#VALUE!</v>
      </c>
      <c r="H41" s="2" t="e">
        <f>AVERAGEIF([1]个股!$Q$9:$Q$2788,[1]行业!$B40,[1]个股!BC$9:BC$2788)</f>
        <v>#VALUE!</v>
      </c>
      <c r="I41" s="2" t="e">
        <f>AVERAGEIF([1]个股!$Q$9:$Q$2788,[1]行业!$B40,[1]个股!BD$9:BD$2788)</f>
        <v>#VALUE!</v>
      </c>
      <c r="J41" s="2" t="e">
        <f>AVERAGEIF([1]个股!$Q$9:$Q$2788,[1]行业!$B40,[1]个股!BE$9:BE$2788)</f>
        <v>#VALUE!</v>
      </c>
      <c r="K41" s="2" t="e">
        <f>AVERAGEIF([1]个股!$Q$9:$Q$2788,[1]行业!$B40,[1]个股!BF$9:BF$2788)</f>
        <v>#VALUE!</v>
      </c>
      <c r="L41" s="2" t="e">
        <f>AVERAGEIF([1]个股!$Q$9:$Q$2788,[1]行业!$B40,[1]个股!BG$9:BG$2788)</f>
        <v>#VALUE!</v>
      </c>
      <c r="M41" s="5" t="e">
        <f>SUMIF([1]个股!$Q$9:$Q$2788,B41,[1]个股!$M$9:$M$2788)</f>
        <v>#VALUE!</v>
      </c>
      <c r="N41" s="6" t="e">
        <f>SUMIF([1]个股!$Q$9:$Q$2788,B41,[1]个股!$N$9:$N$2788)</f>
        <v>#VALUE!</v>
      </c>
      <c r="O41" s="7" t="e">
        <f t="shared" si="9"/>
        <v>#VALUE!</v>
      </c>
      <c r="P41" t="e">
        <f t="shared" ca="1" si="10"/>
        <v>#NAME?</v>
      </c>
      <c r="Q41" t="str">
        <f t="shared" si="12"/>
        <v>行业3 电力Ⅲ</v>
      </c>
    </row>
    <row r="42" spans="1:17">
      <c r="A42" t="s">
        <v>69</v>
      </c>
      <c r="B42" s="14" t="s">
        <v>74</v>
      </c>
      <c r="C42" s="1" t="e">
        <f t="shared" si="5"/>
        <v>#VALUE!</v>
      </c>
      <c r="D42" s="2" t="e">
        <f t="shared" si="6"/>
        <v>#VALUE!</v>
      </c>
      <c r="E42" s="3" t="e">
        <f t="shared" si="7"/>
        <v>#VALUE!</v>
      </c>
      <c r="F42" s="3">
        <v>1</v>
      </c>
      <c r="G42" s="4" t="e">
        <f t="shared" si="8"/>
        <v>#VALUE!</v>
      </c>
      <c r="H42" s="2" t="e">
        <f>AVERAGEIF([1]个股!$Q$9:$Q$2788,[1]行业!$B72,[1]个股!BC$9:BC$2788)</f>
        <v>#VALUE!</v>
      </c>
      <c r="I42" s="2" t="e">
        <f>AVERAGEIF([1]个股!$Q$9:$Q$2788,[1]行业!$B72,[1]个股!BD$9:BD$2788)</f>
        <v>#VALUE!</v>
      </c>
      <c r="J42" s="2" t="e">
        <f>AVERAGEIF([1]个股!$Q$9:$Q$2788,[1]行业!$B72,[1]个股!BE$9:BE$2788)</f>
        <v>#VALUE!</v>
      </c>
      <c r="K42" s="2" t="e">
        <f>AVERAGEIF([1]个股!$Q$9:$Q$2788,[1]行业!$B72,[1]个股!BF$9:BF$2788)</f>
        <v>#VALUE!</v>
      </c>
      <c r="L42" s="2" t="e">
        <f>AVERAGEIF([1]个股!$Q$9:$Q$2788,[1]行业!$B72,[1]个股!BG$9:BG$2788)</f>
        <v>#VALUE!</v>
      </c>
      <c r="M42" s="5" t="e">
        <f>SUMIF([1]个股!$Q$9:$Q$2788,B42,[1]个股!$M$9:$M$2788)</f>
        <v>#VALUE!</v>
      </c>
      <c r="N42" s="6" t="e">
        <f>SUMIF([1]个股!$Q$9:$Q$2788,B42,[1]个股!$N$9:$N$2788)</f>
        <v>#VALUE!</v>
      </c>
      <c r="O42" s="7" t="e">
        <f t="shared" si="9"/>
        <v>#VALUE!</v>
      </c>
      <c r="P42" t="e">
        <f t="shared" ca="1" si="10"/>
        <v>#NAME?</v>
      </c>
      <c r="Q42" t="str">
        <f t="shared" si="12"/>
        <v>行业3 汽车</v>
      </c>
    </row>
    <row r="43" spans="1:17">
      <c r="A43" t="s">
        <v>69</v>
      </c>
      <c r="B43" s="14" t="s">
        <v>75</v>
      </c>
      <c r="C43" s="1" t="e">
        <f t="shared" si="5"/>
        <v>#VALUE!</v>
      </c>
      <c r="D43" s="2" t="e">
        <f t="shared" si="6"/>
        <v>#VALUE!</v>
      </c>
      <c r="E43" s="3" t="e">
        <f t="shared" si="7"/>
        <v>#VALUE!</v>
      </c>
      <c r="F43" s="3">
        <v>1</v>
      </c>
      <c r="G43" s="4" t="e">
        <f t="shared" si="8"/>
        <v>#VALUE!</v>
      </c>
      <c r="H43" s="2" t="e">
        <f>AVERAGEIF([1]个股!$Q$9:$Q$2788,[1]行业!$B54,[1]个股!BC$9:BC$2788)</f>
        <v>#VALUE!</v>
      </c>
      <c r="I43" s="2" t="e">
        <f>AVERAGEIF([1]个股!$Q$9:$Q$2788,[1]行业!$B54,[1]个股!BD$9:BD$2788)</f>
        <v>#VALUE!</v>
      </c>
      <c r="J43" s="2" t="e">
        <f>AVERAGEIF([1]个股!$Q$9:$Q$2788,[1]行业!$B54,[1]个股!BE$9:BE$2788)</f>
        <v>#VALUE!</v>
      </c>
      <c r="K43" s="2" t="e">
        <f>AVERAGEIF([1]个股!$Q$9:$Q$2788,[1]行业!$B54,[1]个股!BF$9:BF$2788)</f>
        <v>#VALUE!</v>
      </c>
      <c r="L43" s="2" t="e">
        <f>AVERAGEIF([1]个股!$Q$9:$Q$2788,[1]行业!$B54,[1]个股!BG$9:BG$2788)</f>
        <v>#VALUE!</v>
      </c>
      <c r="M43" s="5" t="e">
        <f>SUMIF([1]个股!$Q$9:$Q$2788,B43,[1]个股!$M$9:$M$2788)</f>
        <v>#VALUE!</v>
      </c>
      <c r="N43" s="6" t="e">
        <f>SUMIF([1]个股!$Q$9:$Q$2788,B43,[1]个股!$N$9:$N$2788)</f>
        <v>#VALUE!</v>
      </c>
      <c r="O43" s="7" t="e">
        <f t="shared" si="9"/>
        <v>#VALUE!</v>
      </c>
      <c r="P43" t="e">
        <f t="shared" ca="1" si="10"/>
        <v>#NAME?</v>
      </c>
      <c r="Q43" t="str">
        <f t="shared" si="12"/>
        <v>行业3 航空Ⅲ</v>
      </c>
    </row>
    <row r="44" spans="1:17">
      <c r="A44" t="s">
        <v>69</v>
      </c>
      <c r="B44" s="14" t="s">
        <v>76</v>
      </c>
      <c r="C44" s="1" t="e">
        <f t="shared" si="5"/>
        <v>#VALUE!</v>
      </c>
      <c r="D44" s="2" t="e">
        <f t="shared" si="6"/>
        <v>#VALUE!</v>
      </c>
      <c r="E44" s="3" t="e">
        <f t="shared" si="7"/>
        <v>#VALUE!</v>
      </c>
      <c r="F44" s="3">
        <v>1</v>
      </c>
      <c r="G44" s="4" t="e">
        <f t="shared" si="8"/>
        <v>#VALUE!</v>
      </c>
      <c r="H44" s="2" t="e">
        <f>AVERAGEIF([1]个股!$Q$9:$Q$2788,[1]行业!$B61,[1]个股!BC$9:BC$2788)</f>
        <v>#VALUE!</v>
      </c>
      <c r="I44" s="2" t="e">
        <f>AVERAGEIF([1]个股!$Q$9:$Q$2788,[1]行业!$B61,[1]个股!BD$9:BD$2788)</f>
        <v>#VALUE!</v>
      </c>
      <c r="J44" s="2" t="e">
        <f>AVERAGEIF([1]个股!$Q$9:$Q$2788,[1]行业!$B61,[1]个股!BE$9:BE$2788)</f>
        <v>#VALUE!</v>
      </c>
      <c r="K44" s="2" t="e">
        <f>AVERAGEIF([1]个股!$Q$9:$Q$2788,[1]行业!$B61,[1]个股!BF$9:BF$2788)</f>
        <v>#VALUE!</v>
      </c>
      <c r="L44" s="2" t="e">
        <f>AVERAGEIF([1]个股!$Q$9:$Q$2788,[1]行业!$B61,[1]个股!BG$9:BG$2788)</f>
        <v>#VALUE!</v>
      </c>
      <c r="M44" s="5" t="e">
        <f>SUMIF([1]个股!$Q$9:$Q$2788,B44,[1]个股!$M$9:$M$2788)</f>
        <v>#VALUE!</v>
      </c>
      <c r="N44" s="6" t="e">
        <f>SUMIF([1]个股!$Q$9:$Q$2788,B44,[1]个股!$N$9:$N$2788)</f>
        <v>#VALUE!</v>
      </c>
      <c r="O44" s="7" t="e">
        <f t="shared" si="9"/>
        <v>#VALUE!</v>
      </c>
      <c r="P44" t="e">
        <f t="shared" ca="1" si="10"/>
        <v>#NAME?</v>
      </c>
      <c r="Q44" t="str">
        <f t="shared" si="12"/>
        <v>行业3 家庭耐用消费品</v>
      </c>
    </row>
    <row r="45" spans="1:17">
      <c r="A45" t="s">
        <v>69</v>
      </c>
      <c r="B45" s="14" t="s">
        <v>77</v>
      </c>
      <c r="C45" s="1" t="e">
        <f t="shared" si="5"/>
        <v>#VALUE!</v>
      </c>
      <c r="D45" s="2" t="e">
        <f t="shared" si="6"/>
        <v>#VALUE!</v>
      </c>
      <c r="E45" s="3" t="e">
        <f t="shared" si="7"/>
        <v>#VALUE!</v>
      </c>
      <c r="F45" s="3">
        <v>1</v>
      </c>
      <c r="G45" s="4" t="e">
        <f t="shared" si="8"/>
        <v>#VALUE!</v>
      </c>
      <c r="H45" s="2" t="e">
        <f>AVERAGEIF([1]个股!$Q$9:$Q$2788,[1]行业!$B44,[1]个股!BC$9:BC$2788)</f>
        <v>#VALUE!</v>
      </c>
      <c r="I45" s="2" t="e">
        <f>AVERAGEIF([1]个股!$Q$9:$Q$2788,[1]行业!$B44,[1]个股!BD$9:BD$2788)</f>
        <v>#VALUE!</v>
      </c>
      <c r="J45" s="2" t="e">
        <f>AVERAGEIF([1]个股!$Q$9:$Q$2788,[1]行业!$B44,[1]个股!BE$9:BE$2788)</f>
        <v>#VALUE!</v>
      </c>
      <c r="K45" s="2" t="e">
        <f>AVERAGEIF([1]个股!$Q$9:$Q$2788,[1]行业!$B44,[1]个股!BF$9:BF$2788)</f>
        <v>#VALUE!</v>
      </c>
      <c r="L45" s="2" t="e">
        <f>AVERAGEIF([1]个股!$Q$9:$Q$2788,[1]行业!$B44,[1]个股!BG$9:BG$2788)</f>
        <v>#VALUE!</v>
      </c>
      <c r="M45" s="5" t="e">
        <f>SUMIF([1]个股!$Q$9:$Q$2788,B45,[1]个股!$M$9:$M$2788)</f>
        <v>#VALUE!</v>
      </c>
      <c r="N45" s="6" t="e">
        <f>SUMIF([1]个股!$Q$9:$Q$2788,B45,[1]个股!$N$9:$N$2788)</f>
        <v>#VALUE!</v>
      </c>
      <c r="O45" s="7" t="e">
        <f t="shared" si="9"/>
        <v>#VALUE!</v>
      </c>
      <c r="P45" t="e">
        <f t="shared" ca="1" si="10"/>
        <v>#NAME?</v>
      </c>
      <c r="Q45" t="str">
        <f t="shared" si="12"/>
        <v>行业3 独立电力生产商与能源贸易商Ⅲ</v>
      </c>
    </row>
    <row r="46" spans="1:17">
      <c r="A46" t="s">
        <v>78</v>
      </c>
      <c r="B46" s="14" t="s">
        <v>79</v>
      </c>
      <c r="C46" s="1" t="e">
        <f t="shared" si="5"/>
        <v>#VALUE!</v>
      </c>
      <c r="D46" s="2" t="e">
        <f t="shared" si="6"/>
        <v>#VALUE!</v>
      </c>
      <c r="E46" s="3" t="e">
        <f t="shared" si="7"/>
        <v>#VALUE!</v>
      </c>
      <c r="F46" s="3">
        <v>0.6</v>
      </c>
      <c r="G46" s="4" t="e">
        <f t="shared" si="8"/>
        <v>#VALUE!</v>
      </c>
      <c r="H46" s="2" t="e">
        <f>AVERAGEIF([1]个股!$Q$9:$Q$2788,[1]行业!$B39,[1]个股!BC$9:BC$2788)</f>
        <v>#VALUE!</v>
      </c>
      <c r="I46" s="2" t="e">
        <f>AVERAGEIF([1]个股!$Q$9:$Q$2788,[1]行业!$B39,[1]个股!BD$9:BD$2788)</f>
        <v>#VALUE!</v>
      </c>
      <c r="J46" s="2" t="e">
        <f>AVERAGEIF([1]个股!$Q$9:$Q$2788,[1]行业!$B39,[1]个股!BE$9:BE$2788)</f>
        <v>#VALUE!</v>
      </c>
      <c r="K46" s="2" t="e">
        <f>AVERAGEIF([1]个股!$Q$9:$Q$2788,[1]行业!$B39,[1]个股!BF$9:BF$2788)</f>
        <v>#VALUE!</v>
      </c>
      <c r="L46" s="2" t="e">
        <f>AVERAGEIF([1]个股!$Q$9:$Q$2788,[1]行业!$B39,[1]个股!BG$9:BG$2788)</f>
        <v>#VALUE!</v>
      </c>
      <c r="M46" s="5" t="e">
        <f>SUMIF([1]个股!$Q$9:$Q$2788,B46,[1]个股!$M$9:$M$2788)</f>
        <v>#VALUE!</v>
      </c>
      <c r="N46" s="6" t="e">
        <f>SUMIF([1]个股!$Q$9:$Q$2788,B46,[1]个股!$N$9:$N$2788)</f>
        <v>#VALUE!</v>
      </c>
      <c r="O46" s="7" t="e">
        <f t="shared" si="9"/>
        <v>#VALUE!</v>
      </c>
      <c r="P46" t="e">
        <f t="shared" ca="1" si="10"/>
        <v>#NAME?</v>
      </c>
      <c r="Q46" t="str">
        <f t="shared" si="12"/>
        <v>行业3 保险Ⅲ</v>
      </c>
    </row>
    <row r="47" spans="1:17">
      <c r="A47" t="s">
        <v>69</v>
      </c>
      <c r="B47" s="14" t="s">
        <v>80</v>
      </c>
      <c r="C47" s="1" t="e">
        <f t="shared" si="5"/>
        <v>#VALUE!</v>
      </c>
      <c r="D47" s="2" t="e">
        <f t="shared" si="6"/>
        <v>#VALUE!</v>
      </c>
      <c r="E47" s="3" t="e">
        <f t="shared" si="7"/>
        <v>#VALUE!</v>
      </c>
      <c r="F47" s="3">
        <v>1</v>
      </c>
      <c r="G47" s="4" t="e">
        <f t="shared" si="8"/>
        <v>#VALUE!</v>
      </c>
      <c r="H47" s="2" t="e">
        <f>AVERAGEIF([1]个股!$Q$9:$Q$2788,[1]行业!$B52,[1]个股!BC$9:BC$2788)</f>
        <v>#VALUE!</v>
      </c>
      <c r="I47" s="2" t="e">
        <f>AVERAGEIF([1]个股!$Q$9:$Q$2788,[1]行业!$B52,[1]个股!BD$9:BD$2788)</f>
        <v>#VALUE!</v>
      </c>
      <c r="J47" s="2" t="e">
        <f>AVERAGEIF([1]个股!$Q$9:$Q$2788,[1]行业!$B52,[1]个股!BE$9:BE$2788)</f>
        <v>#VALUE!</v>
      </c>
      <c r="K47" s="2" t="e">
        <f>AVERAGEIF([1]个股!$Q$9:$Q$2788,[1]行业!$B52,[1]个股!BF$9:BF$2788)</f>
        <v>#VALUE!</v>
      </c>
      <c r="L47" s="2" t="e">
        <f>AVERAGEIF([1]个股!$Q$9:$Q$2788,[1]行业!$B52,[1]个股!BG$9:BG$2788)</f>
        <v>#VALUE!</v>
      </c>
      <c r="M47" s="5" t="e">
        <f>SUMIF([1]个股!$Q$9:$Q$2788,B47,[1]个股!$M$9:$M$2788)</f>
        <v>#VALUE!</v>
      </c>
      <c r="N47" s="6" t="e">
        <f>SUMIF([1]个股!$Q$9:$Q$2788,B47,[1]个股!$N$9:$N$2788)</f>
        <v>#VALUE!</v>
      </c>
      <c r="O47" s="7" t="e">
        <f t="shared" si="9"/>
        <v>#VALUE!</v>
      </c>
      <c r="P47" t="e">
        <f t="shared" ca="1" si="10"/>
        <v>#NAME?</v>
      </c>
      <c r="Q47" t="str">
        <f t="shared" si="12"/>
        <v>行业3 公路与铁路运输</v>
      </c>
    </row>
    <row r="48" spans="1:17">
      <c r="A48" t="s">
        <v>69</v>
      </c>
      <c r="B48" s="14" t="s">
        <v>81</v>
      </c>
      <c r="C48" s="1" t="e">
        <f t="shared" si="5"/>
        <v>#VALUE!</v>
      </c>
      <c r="D48" s="2" t="e">
        <f t="shared" si="6"/>
        <v>#VALUE!</v>
      </c>
      <c r="E48" s="3" t="e">
        <f t="shared" si="7"/>
        <v>#VALUE!</v>
      </c>
      <c r="F48" s="3">
        <v>1</v>
      </c>
      <c r="G48" s="4" t="e">
        <f t="shared" si="8"/>
        <v>#VALUE!</v>
      </c>
      <c r="H48" s="2" t="e">
        <f>AVERAGEIF([1]个股!$Q$9:$Q$2788,[1]行业!$B93,[1]个股!BC$9:BC$2788)</f>
        <v>#VALUE!</v>
      </c>
      <c r="I48" s="2" t="e">
        <f>AVERAGEIF([1]个股!$Q$9:$Q$2788,[1]行业!$B93,[1]个股!BD$9:BD$2788)</f>
        <v>#VALUE!</v>
      </c>
      <c r="J48" s="2" t="e">
        <f>AVERAGEIF([1]个股!$Q$9:$Q$2788,[1]行业!$B93,[1]个股!BE$9:BE$2788)</f>
        <v>#VALUE!</v>
      </c>
      <c r="K48" s="2" t="e">
        <f>AVERAGEIF([1]个股!$Q$9:$Q$2788,[1]行业!$B93,[1]个股!BF$9:BF$2788)</f>
        <v>#VALUE!</v>
      </c>
      <c r="L48" s="2" t="e">
        <f>AVERAGEIF([1]个股!$Q$9:$Q$2788,[1]行业!$B93,[1]个股!BG$9:BG$2788)</f>
        <v>#VALUE!</v>
      </c>
      <c r="M48" s="5" t="e">
        <f>SUMIF([1]个股!$Q$9:$Q$2788,B48,[1]个股!$M$9:$M$2788)</f>
        <v>#VALUE!</v>
      </c>
      <c r="N48" s="6" t="e">
        <f>SUMIF([1]个股!$Q$9:$Q$2788,B48,[1]个股!$N$9:$N$2788)</f>
        <v>#VALUE!</v>
      </c>
      <c r="O48" s="7" t="e">
        <f t="shared" si="9"/>
        <v>#VALUE!</v>
      </c>
      <c r="P48" t="e">
        <f t="shared" ca="1" si="10"/>
        <v>#NAME?</v>
      </c>
      <c r="Q48" t="str">
        <f t="shared" si="12"/>
        <v>行业3 饮料</v>
      </c>
    </row>
    <row r="49" spans="1:17">
      <c r="A49" t="s">
        <v>69</v>
      </c>
      <c r="B49" s="14" t="s">
        <v>82</v>
      </c>
      <c r="C49" s="1" t="e">
        <f t="shared" si="5"/>
        <v>#VALUE!</v>
      </c>
      <c r="D49" s="2" t="e">
        <f t="shared" si="6"/>
        <v>#VALUE!</v>
      </c>
      <c r="E49" s="3" t="e">
        <f t="shared" si="7"/>
        <v>#VALUE!</v>
      </c>
      <c r="F49" s="3">
        <v>1</v>
      </c>
      <c r="G49" s="4" t="e">
        <f t="shared" si="8"/>
        <v>#VALUE!</v>
      </c>
      <c r="H49" s="2" t="e">
        <f>AVERAGEIF([1]个股!$Q$9:$Q$2788,[1]行业!$B65,[1]个股!BC$9:BC$2788)</f>
        <v>#VALUE!</v>
      </c>
      <c r="I49" s="2" t="e">
        <f>AVERAGEIF([1]个股!$Q$9:$Q$2788,[1]行业!$B65,[1]个股!BD$9:BD$2788)</f>
        <v>#VALUE!</v>
      </c>
      <c r="J49" s="2" t="e">
        <f>AVERAGEIF([1]个股!$Q$9:$Q$2788,[1]行业!$B65,[1]个股!BE$9:BE$2788)</f>
        <v>#VALUE!</v>
      </c>
      <c r="K49" s="2" t="e">
        <f>AVERAGEIF([1]个股!$Q$9:$Q$2788,[1]行业!$B65,[1]个股!BF$9:BF$2788)</f>
        <v>#VALUE!</v>
      </c>
      <c r="L49" s="2" t="e">
        <f>AVERAGEIF([1]个股!$Q$9:$Q$2788,[1]行业!$B65,[1]个股!BG$9:BG$2788)</f>
        <v>#VALUE!</v>
      </c>
      <c r="M49" s="5" t="e">
        <f>SUMIF([1]个股!$Q$9:$Q$2788,B49,[1]个股!$M$9:$M$2788)</f>
        <v>#VALUE!</v>
      </c>
      <c r="N49" s="6" t="e">
        <f>SUMIF([1]个股!$Q$9:$Q$2788,B49,[1]个股!$N$9:$N$2788)</f>
        <v>#VALUE!</v>
      </c>
      <c r="O49" s="7" t="e">
        <f t="shared" si="9"/>
        <v>#VALUE!</v>
      </c>
      <c r="P49" t="e">
        <f t="shared" ca="1" si="10"/>
        <v>#NAME?</v>
      </c>
      <c r="Q49" t="str">
        <f t="shared" si="12"/>
        <v>行业3 建筑与工程Ⅲ</v>
      </c>
    </row>
    <row r="50" spans="1:17">
      <c r="A50" t="s">
        <v>69</v>
      </c>
      <c r="B50" s="14" t="s">
        <v>83</v>
      </c>
      <c r="C50" s="1" t="e">
        <f t="shared" si="5"/>
        <v>#VALUE!</v>
      </c>
      <c r="D50" s="2" t="e">
        <f t="shared" si="6"/>
        <v>#VALUE!</v>
      </c>
      <c r="E50" s="3" t="e">
        <f t="shared" si="7"/>
        <v>#VALUE!</v>
      </c>
      <c r="F50" s="3">
        <v>1</v>
      </c>
      <c r="G50" s="4" t="e">
        <f t="shared" si="8"/>
        <v>#VALUE!</v>
      </c>
      <c r="H50" s="2" t="e">
        <f>AVERAGEIF([1]个股!$Q$9:$Q$2788,[1]行业!$B57,[1]个股!BC$9:BC$2788)</f>
        <v>#VALUE!</v>
      </c>
      <c r="I50" s="2" t="e">
        <f>AVERAGEIF([1]个股!$Q$9:$Q$2788,[1]行业!$B57,[1]个股!BD$9:BD$2788)</f>
        <v>#VALUE!</v>
      </c>
      <c r="J50" s="2" t="e">
        <f>AVERAGEIF([1]个股!$Q$9:$Q$2788,[1]行业!$B57,[1]个股!BE$9:BE$2788)</f>
        <v>#VALUE!</v>
      </c>
      <c r="K50" s="2" t="e">
        <f>AVERAGEIF([1]个股!$Q$9:$Q$2788,[1]行业!$B57,[1]个股!BF$9:BF$2788)</f>
        <v>#VALUE!</v>
      </c>
      <c r="L50" s="2" t="e">
        <f>AVERAGEIF([1]个股!$Q$9:$Q$2788,[1]行业!$B57,[1]个股!BG$9:BG$2788)</f>
        <v>#VALUE!</v>
      </c>
      <c r="M50" s="5" t="e">
        <f>SUMIF([1]个股!$Q$9:$Q$2788,B50,[1]个股!$M$9:$M$2788)</f>
        <v>#VALUE!</v>
      </c>
      <c r="N50" s="6" t="e">
        <f>SUMIF([1]个股!$Q$9:$Q$2788,B50,[1]个股!$N$9:$N$2788)</f>
        <v>#VALUE!</v>
      </c>
      <c r="O50" s="7" t="e">
        <f t="shared" si="9"/>
        <v>#VALUE!</v>
      </c>
      <c r="P50" t="e">
        <f t="shared" ca="1" si="10"/>
        <v>#NAME?</v>
      </c>
      <c r="Q50" t="str">
        <f t="shared" si="12"/>
        <v>行业3 互联网软件与服务Ⅲ</v>
      </c>
    </row>
    <row r="51" spans="1:17">
      <c r="A51" t="s">
        <v>69</v>
      </c>
      <c r="B51" s="14" t="s">
        <v>84</v>
      </c>
      <c r="C51" s="1" t="e">
        <f t="shared" si="5"/>
        <v>#VALUE!</v>
      </c>
      <c r="D51" s="2" t="e">
        <f t="shared" si="6"/>
        <v>#VALUE!</v>
      </c>
      <c r="E51" s="3" t="e">
        <f t="shared" si="7"/>
        <v>#VALUE!</v>
      </c>
      <c r="F51" s="3">
        <v>1</v>
      </c>
      <c r="G51" s="4" t="e">
        <f t="shared" si="8"/>
        <v>#VALUE!</v>
      </c>
      <c r="H51" s="2" t="e">
        <f>AVERAGEIF([1]个股!$Q$9:$Q$2788,[1]行业!$B80,[1]个股!BC$9:BC$2788)</f>
        <v>#VALUE!</v>
      </c>
      <c r="I51" s="2" t="e">
        <f>AVERAGEIF([1]个股!$Q$9:$Q$2788,[1]行业!$B80,[1]个股!BD$9:BD$2788)</f>
        <v>#VALUE!</v>
      </c>
      <c r="J51" s="2" t="e">
        <f>AVERAGEIF([1]个股!$Q$9:$Q$2788,[1]行业!$B80,[1]个股!BE$9:BE$2788)</f>
        <v>#VALUE!</v>
      </c>
      <c r="K51" s="2" t="e">
        <f>AVERAGEIF([1]个股!$Q$9:$Q$2788,[1]行业!$B80,[1]个股!BF$9:BF$2788)</f>
        <v>#VALUE!</v>
      </c>
      <c r="L51" s="2" t="e">
        <f>AVERAGEIF([1]个股!$Q$9:$Q$2788,[1]行业!$B80,[1]个股!BG$9:BG$2788)</f>
        <v>#VALUE!</v>
      </c>
      <c r="M51" s="5" t="e">
        <f>SUMIF([1]个股!$Q$9:$Q$2788,B51,[1]个股!$M$9:$M$2788)</f>
        <v>#VALUE!</v>
      </c>
      <c r="N51" s="6" t="e">
        <f>SUMIF([1]个股!$Q$9:$Q$2788,B51,[1]个股!$N$9:$N$2788)</f>
        <v>#VALUE!</v>
      </c>
      <c r="O51" s="7" t="e">
        <f t="shared" si="9"/>
        <v>#VALUE!</v>
      </c>
      <c r="P51" t="e">
        <f t="shared" ca="1" si="10"/>
        <v>#NAME?</v>
      </c>
      <c r="Q51" t="str">
        <f t="shared" si="12"/>
        <v>行业3 生物科技Ⅲ</v>
      </c>
    </row>
    <row r="52" spans="1:17">
      <c r="A52" t="s">
        <v>69</v>
      </c>
      <c r="B52" s="14" t="s">
        <v>85</v>
      </c>
      <c r="C52" s="1" t="e">
        <f t="shared" si="5"/>
        <v>#VALUE!</v>
      </c>
      <c r="D52" s="2" t="e">
        <f t="shared" si="6"/>
        <v>#VALUE!</v>
      </c>
      <c r="E52" s="3" t="e">
        <f t="shared" si="7"/>
        <v>#VALUE!</v>
      </c>
      <c r="F52" s="3">
        <v>1</v>
      </c>
      <c r="G52" s="4" t="e">
        <f t="shared" si="8"/>
        <v>#VALUE!</v>
      </c>
      <c r="H52" s="2" t="e">
        <f>AVERAGEIF([1]个股!$Q$9:$Q$2788,[1]行业!$B95,[1]个股!BC$9:BC$2788)</f>
        <v>#VALUE!</v>
      </c>
      <c r="I52" s="2" t="e">
        <f>AVERAGEIF([1]个股!$Q$9:$Q$2788,[1]行业!$B95,[1]个股!BD$9:BD$2788)</f>
        <v>#VALUE!</v>
      </c>
      <c r="J52" s="2" t="e">
        <f>AVERAGEIF([1]个股!$Q$9:$Q$2788,[1]行业!$B95,[1]个股!BE$9:BE$2788)</f>
        <v>#VALUE!</v>
      </c>
      <c r="K52" s="2" t="e">
        <f>AVERAGEIF([1]个股!$Q$9:$Q$2788,[1]行业!$B95,[1]个股!BF$9:BF$2788)</f>
        <v>#VALUE!</v>
      </c>
      <c r="L52" s="2" t="e">
        <f>AVERAGEIF([1]个股!$Q$9:$Q$2788,[1]行业!$B95,[1]个股!BG$9:BG$2788)</f>
        <v>#VALUE!</v>
      </c>
      <c r="M52" s="5" t="e">
        <f>SUMIF([1]个股!$Q$9:$Q$2788,B52,[1]个股!$M$9:$M$2788)</f>
        <v>#VALUE!</v>
      </c>
      <c r="N52" s="6" t="e">
        <f>SUMIF([1]个股!$Q$9:$Q$2788,B52,[1]个股!$N$9:$N$2788)</f>
        <v>#VALUE!</v>
      </c>
      <c r="O52" s="7" t="e">
        <f t="shared" si="9"/>
        <v>#VALUE!</v>
      </c>
      <c r="P52" t="e">
        <f t="shared" ca="1" si="10"/>
        <v>#NAME?</v>
      </c>
      <c r="Q52" t="str">
        <f t="shared" si="12"/>
        <v>行业3 制药</v>
      </c>
    </row>
    <row r="53" spans="1:17">
      <c r="A53" t="s">
        <v>69</v>
      </c>
      <c r="B53" s="14" t="s">
        <v>86</v>
      </c>
      <c r="C53" s="1" t="e">
        <f t="shared" si="5"/>
        <v>#VALUE!</v>
      </c>
      <c r="D53" s="2" t="e">
        <f t="shared" si="6"/>
        <v>#VALUE!</v>
      </c>
      <c r="E53" s="3" t="e">
        <f t="shared" si="7"/>
        <v>#VALUE!</v>
      </c>
      <c r="F53" s="3">
        <v>0.6</v>
      </c>
      <c r="G53" s="4" t="e">
        <f t="shared" si="8"/>
        <v>#VALUE!</v>
      </c>
      <c r="H53" s="2" t="e">
        <f>AVERAGEIF([1]个股!$Q$9:$Q$2788,[1]行业!$B49,[1]个股!BC$9:BC$2788)</f>
        <v>#VALUE!</v>
      </c>
      <c r="I53" s="2" t="e">
        <f>AVERAGEIF([1]个股!$Q$9:$Q$2788,[1]行业!$B49,[1]个股!BD$9:BD$2788)</f>
        <v>#VALUE!</v>
      </c>
      <c r="J53" s="2" t="e">
        <f>AVERAGEIF([1]个股!$Q$9:$Q$2788,[1]行业!$B49,[1]个股!BE$9:BE$2788)</f>
        <v>#VALUE!</v>
      </c>
      <c r="K53" s="2" t="e">
        <f>AVERAGEIF([1]个股!$Q$9:$Q$2788,[1]行业!$B49,[1]个股!BF$9:BF$2788)</f>
        <v>#VALUE!</v>
      </c>
      <c r="L53" s="2" t="e">
        <f>AVERAGEIF([1]个股!$Q$9:$Q$2788,[1]行业!$B49,[1]个股!BG$9:BG$2788)</f>
        <v>#VALUE!</v>
      </c>
      <c r="M53" s="5" t="e">
        <f>SUMIF([1]个股!$Q$9:$Q$2788,B53,[1]个股!$M$9:$M$2788)</f>
        <v>#VALUE!</v>
      </c>
      <c r="N53" s="6" t="e">
        <f>SUMIF([1]个股!$Q$9:$Q$2788,B53,[1]个股!$N$9:$N$2788)</f>
        <v>#VALUE!</v>
      </c>
      <c r="O53" s="7" t="e">
        <f t="shared" si="9"/>
        <v>#VALUE!</v>
      </c>
      <c r="P53" t="e">
        <f t="shared" ca="1" si="10"/>
        <v>#NAME?</v>
      </c>
      <c r="Q53" t="str">
        <f t="shared" si="12"/>
        <v>行业3 纺织品、服装与奢侈品</v>
      </c>
    </row>
    <row r="54" spans="1:17">
      <c r="A54" t="s">
        <v>69</v>
      </c>
      <c r="B54" s="14" t="s">
        <v>87</v>
      </c>
      <c r="C54" s="1" t="e">
        <f t="shared" si="5"/>
        <v>#VALUE!</v>
      </c>
      <c r="D54" s="2" t="e">
        <f t="shared" si="6"/>
        <v>#VALUE!</v>
      </c>
      <c r="E54" s="3" t="e">
        <f t="shared" si="7"/>
        <v>#VALUE!</v>
      </c>
      <c r="F54" s="3">
        <v>1</v>
      </c>
      <c r="G54" s="4" t="e">
        <f t="shared" si="8"/>
        <v>#VALUE!</v>
      </c>
      <c r="H54" s="2" t="e">
        <f>AVERAGEIF([1]个股!$Q$9:$Q$2788,[1]行业!$B66,[1]个股!BC$9:BC$2788)</f>
        <v>#VALUE!</v>
      </c>
      <c r="I54" s="2" t="e">
        <f>AVERAGEIF([1]个股!$Q$9:$Q$2788,[1]行业!$B66,[1]个股!BD$9:BD$2788)</f>
        <v>#VALUE!</v>
      </c>
      <c r="J54" s="2" t="e">
        <f>AVERAGEIF([1]个股!$Q$9:$Q$2788,[1]行业!$B66,[1]个股!BE$9:BE$2788)</f>
        <v>#VALUE!</v>
      </c>
      <c r="K54" s="2" t="e">
        <f>AVERAGEIF([1]个股!$Q$9:$Q$2788,[1]行业!$B66,[1]个股!BF$9:BF$2788)</f>
        <v>#VALUE!</v>
      </c>
      <c r="L54" s="2" t="e">
        <f>AVERAGEIF([1]个股!$Q$9:$Q$2788,[1]行业!$B66,[1]个股!BG$9:BG$2788)</f>
        <v>#VALUE!</v>
      </c>
      <c r="M54" s="5" t="e">
        <f>SUMIF([1]个股!$Q$9:$Q$2788,B54,[1]个股!$M$9:$M$2788)</f>
        <v>#VALUE!</v>
      </c>
      <c r="N54" s="6" t="e">
        <f>SUMIF([1]个股!$Q$9:$Q$2788,B54,[1]个股!$N$9:$N$2788)</f>
        <v>#VALUE!</v>
      </c>
      <c r="O54" s="7" t="e">
        <f t="shared" si="9"/>
        <v>#VALUE!</v>
      </c>
      <c r="P54" t="e">
        <f t="shared" ca="1" si="10"/>
        <v>#NAME?</v>
      </c>
      <c r="Q54" t="str">
        <f t="shared" si="12"/>
        <v>行业3 交通基础设施</v>
      </c>
    </row>
    <row r="55" spans="1:17">
      <c r="A55" t="s">
        <v>69</v>
      </c>
      <c r="B55" s="14" t="s">
        <v>88</v>
      </c>
      <c r="C55" s="1" t="e">
        <f t="shared" si="5"/>
        <v>#VALUE!</v>
      </c>
      <c r="D55" s="2" t="e">
        <f t="shared" si="6"/>
        <v>#VALUE!</v>
      </c>
      <c r="E55" s="3" t="e">
        <f t="shared" si="7"/>
        <v>#VALUE!</v>
      </c>
      <c r="F55" s="3">
        <v>1</v>
      </c>
      <c r="G55" s="4" t="e">
        <f t="shared" si="8"/>
        <v>#VALUE!</v>
      </c>
      <c r="H55" s="2" t="e">
        <f>AVERAGEIF([1]个股!$Q$9:$Q$2788,[1]行业!$B42,[1]个股!BC$9:BC$2788)</f>
        <v>#VALUE!</v>
      </c>
      <c r="I55" s="2" t="e">
        <f>AVERAGEIF([1]个股!$Q$9:$Q$2788,[1]行业!$B42,[1]个股!BD$9:BD$2788)</f>
        <v>#VALUE!</v>
      </c>
      <c r="J55" s="2" t="e">
        <f>AVERAGEIF([1]个股!$Q$9:$Q$2788,[1]行业!$B42,[1]个股!BE$9:BE$2788)</f>
        <v>#VALUE!</v>
      </c>
      <c r="K55" s="2" t="e">
        <f>AVERAGEIF([1]个股!$Q$9:$Q$2788,[1]行业!$B42,[1]个股!BF$9:BF$2788)</f>
        <v>#VALUE!</v>
      </c>
      <c r="L55" s="2" t="e">
        <f>AVERAGEIF([1]个股!$Q$9:$Q$2788,[1]行业!$B42,[1]个股!BG$9:BG$2788)</f>
        <v>#VALUE!</v>
      </c>
      <c r="M55" s="5" t="e">
        <f>SUMIF([1]个股!$Q$9:$Q$2788,B55,[1]个股!$M$9:$M$2788)</f>
        <v>#VALUE!</v>
      </c>
      <c r="N55" s="6" t="e">
        <f>SUMIF([1]个股!$Q$9:$Q$2788,B55,[1]个股!$N$9:$N$2788)</f>
        <v>#VALUE!</v>
      </c>
      <c r="O55" s="7" t="e">
        <f t="shared" si="9"/>
        <v>#VALUE!</v>
      </c>
      <c r="P55" t="e">
        <f t="shared" ca="1" si="10"/>
        <v>#NAME?</v>
      </c>
      <c r="Q55" t="str">
        <f t="shared" si="12"/>
        <v>行业3 电气设备</v>
      </c>
    </row>
    <row r="56" spans="1:17">
      <c r="A56" t="s">
        <v>69</v>
      </c>
      <c r="B56" s="14" t="s">
        <v>89</v>
      </c>
      <c r="C56" s="1" t="e">
        <f t="shared" si="5"/>
        <v>#VALUE!</v>
      </c>
      <c r="D56" s="2" t="e">
        <f t="shared" si="6"/>
        <v>#VALUE!</v>
      </c>
      <c r="E56" s="3" t="e">
        <f t="shared" si="7"/>
        <v>#VALUE!</v>
      </c>
      <c r="F56" s="3">
        <v>1</v>
      </c>
      <c r="G56" s="4" t="e">
        <f t="shared" si="8"/>
        <v>#VALUE!</v>
      </c>
      <c r="H56" s="2" t="e">
        <f>AVERAGEIF([1]个股!$Q$9:$Q$2788,[1]行业!$B59,[1]个股!BC$9:BC$2788)</f>
        <v>#VALUE!</v>
      </c>
      <c r="I56" s="2" t="e">
        <f>AVERAGEIF([1]个股!$Q$9:$Q$2788,[1]行业!$B59,[1]个股!BD$9:BD$2788)</f>
        <v>#VALUE!</v>
      </c>
      <c r="J56" s="2" t="e">
        <f>AVERAGEIF([1]个股!$Q$9:$Q$2788,[1]行业!$B59,[1]个股!BE$9:BE$2788)</f>
        <v>#VALUE!</v>
      </c>
      <c r="K56" s="2" t="e">
        <f>AVERAGEIF([1]个股!$Q$9:$Q$2788,[1]行业!$B59,[1]个股!BF$9:BF$2788)</f>
        <v>#VALUE!</v>
      </c>
      <c r="L56" s="2" t="e">
        <f>AVERAGEIF([1]个股!$Q$9:$Q$2788,[1]行业!$B59,[1]个股!BG$9:BG$2788)</f>
        <v>#VALUE!</v>
      </c>
      <c r="M56" s="5" t="e">
        <f>SUMIF([1]个股!$Q$9:$Q$2788,B56,[1]个股!$M$9:$M$2788)</f>
        <v>#VALUE!</v>
      </c>
      <c r="N56" s="6" t="e">
        <f>SUMIF([1]个股!$Q$9:$Q$2788,B56,[1]个股!$N$9:$N$2788)</f>
        <v>#VALUE!</v>
      </c>
      <c r="O56" s="7" t="e">
        <f t="shared" si="9"/>
        <v>#VALUE!</v>
      </c>
      <c r="P56" t="e">
        <f t="shared" ca="1" si="10"/>
        <v>#NAME?</v>
      </c>
      <c r="Q56" t="str">
        <f t="shared" si="12"/>
        <v>行业3 化工</v>
      </c>
    </row>
    <row r="57" spans="1:17">
      <c r="A57" t="s">
        <v>69</v>
      </c>
      <c r="B57" s="14" t="s">
        <v>90</v>
      </c>
      <c r="C57" s="1" t="e">
        <f t="shared" si="5"/>
        <v>#VALUE!</v>
      </c>
      <c r="D57" s="2" t="e">
        <f t="shared" si="6"/>
        <v>#VALUE!</v>
      </c>
      <c r="E57" s="3" t="e">
        <f t="shared" si="7"/>
        <v>#VALUE!</v>
      </c>
      <c r="F57" s="3">
        <v>1</v>
      </c>
      <c r="G57" s="4" t="e">
        <f t="shared" si="8"/>
        <v>#VALUE!</v>
      </c>
      <c r="H57" s="2" t="e">
        <f>AVERAGEIF([1]个股!$Q$9:$Q$2788,[1]行业!$B82,[1]个股!BC$9:BC$2788)</f>
        <v>#VALUE!</v>
      </c>
      <c r="I57" s="2" t="e">
        <f>AVERAGEIF([1]个股!$Q$9:$Q$2788,[1]行业!$B82,[1]个股!BD$9:BD$2788)</f>
        <v>#VALUE!</v>
      </c>
      <c r="J57" s="2" t="e">
        <f>AVERAGEIF([1]个股!$Q$9:$Q$2788,[1]行业!$B82,[1]个股!BE$9:BE$2788)</f>
        <v>#VALUE!</v>
      </c>
      <c r="K57" s="2" t="e">
        <f>AVERAGEIF([1]个股!$Q$9:$Q$2788,[1]行业!$B82,[1]个股!BF$9:BF$2788)</f>
        <v>#VALUE!</v>
      </c>
      <c r="L57" s="2" t="e">
        <f>AVERAGEIF([1]个股!$Q$9:$Q$2788,[1]行业!$B82,[1]个股!BG$9:BG$2788)</f>
        <v>#VALUE!</v>
      </c>
      <c r="M57" s="5" t="e">
        <f>SUMIF([1]个股!$Q$9:$Q$2788,B57,[1]个股!$M$9:$M$2788)</f>
        <v>#VALUE!</v>
      </c>
      <c r="N57" s="6" t="e">
        <f>SUMIF([1]个股!$Q$9:$Q$2788,B57,[1]个股!$N$9:$N$2788)</f>
        <v>#VALUE!</v>
      </c>
      <c r="O57" s="7" t="e">
        <f t="shared" si="9"/>
        <v>#VALUE!</v>
      </c>
      <c r="P57" t="e">
        <f t="shared" ca="1" si="10"/>
        <v>#NAME?</v>
      </c>
      <c r="Q57" t="str">
        <f t="shared" si="12"/>
        <v>行业3 食品</v>
      </c>
    </row>
    <row r="58" spans="1:17">
      <c r="A58" t="s">
        <v>69</v>
      </c>
      <c r="B58" s="14" t="s">
        <v>91</v>
      </c>
      <c r="C58" s="1" t="e">
        <f t="shared" si="5"/>
        <v>#VALUE!</v>
      </c>
      <c r="D58" s="2" t="e">
        <f t="shared" si="6"/>
        <v>#VALUE!</v>
      </c>
      <c r="E58" s="3" t="e">
        <f t="shared" si="7"/>
        <v>#VALUE!</v>
      </c>
      <c r="F58" s="3">
        <v>1</v>
      </c>
      <c r="G58" s="4" t="e">
        <f t="shared" si="8"/>
        <v>#VALUE!</v>
      </c>
      <c r="H58" s="2" t="e">
        <f>AVERAGEIF([1]个股!$Q$9:$Q$2788,[1]行业!$B84,[1]个股!BC$9:BC$2788)</f>
        <v>#VALUE!</v>
      </c>
      <c r="I58" s="2" t="e">
        <f>AVERAGEIF([1]个股!$Q$9:$Q$2788,[1]行业!$B84,[1]个股!BD$9:BD$2788)</f>
        <v>#VALUE!</v>
      </c>
      <c r="J58" s="2" t="e">
        <f>AVERAGEIF([1]个股!$Q$9:$Q$2788,[1]行业!$B84,[1]个股!BE$9:BE$2788)</f>
        <v>#VALUE!</v>
      </c>
      <c r="K58" s="2" t="e">
        <f>AVERAGEIF([1]个股!$Q$9:$Q$2788,[1]行业!$B84,[1]个股!BF$9:BF$2788)</f>
        <v>#VALUE!</v>
      </c>
      <c r="L58" s="2" t="e">
        <f>AVERAGEIF([1]个股!$Q$9:$Q$2788,[1]行业!$B84,[1]个股!BG$9:BG$2788)</f>
        <v>#VALUE!</v>
      </c>
      <c r="M58" s="5" t="e">
        <f>SUMIF([1]个股!$Q$9:$Q$2788,B58,[1]个股!$M$9:$M$2788)</f>
        <v>#VALUE!</v>
      </c>
      <c r="N58" s="6" t="e">
        <f>SUMIF([1]个股!$Q$9:$Q$2788,B58,[1]个股!$N$9:$N$2788)</f>
        <v>#VALUE!</v>
      </c>
      <c r="O58" s="7" t="e">
        <f t="shared" si="9"/>
        <v>#VALUE!</v>
      </c>
      <c r="P58" t="e">
        <f t="shared" ca="1" si="10"/>
        <v>#NAME?</v>
      </c>
      <c r="Q58" t="str">
        <f t="shared" si="12"/>
        <v>行业3 水务Ⅲ</v>
      </c>
    </row>
    <row r="59" spans="1:17">
      <c r="A59" t="s">
        <v>69</v>
      </c>
      <c r="B59" s="14" t="s">
        <v>92</v>
      </c>
      <c r="C59" s="1" t="e">
        <f t="shared" si="5"/>
        <v>#VALUE!</v>
      </c>
      <c r="D59" s="2" t="e">
        <f t="shared" si="6"/>
        <v>#VALUE!</v>
      </c>
      <c r="E59" s="3" t="e">
        <f t="shared" si="7"/>
        <v>#VALUE!</v>
      </c>
      <c r="F59" s="3">
        <v>1</v>
      </c>
      <c r="G59" s="4" t="e">
        <f t="shared" si="8"/>
        <v>#VALUE!</v>
      </c>
      <c r="H59" s="2" t="e">
        <f>AVERAGEIF([1]个股!$Q$9:$Q$2788,[1]行业!$B75,[1]个股!BC$9:BC$2788)</f>
        <v>#VALUE!</v>
      </c>
      <c r="I59" s="2" t="e">
        <f>AVERAGEIF([1]个股!$Q$9:$Q$2788,[1]行业!$B75,[1]个股!BD$9:BD$2788)</f>
        <v>#VALUE!</v>
      </c>
      <c r="J59" s="2" t="e">
        <f>AVERAGEIF([1]个股!$Q$9:$Q$2788,[1]行业!$B75,[1]个股!BE$9:BE$2788)</f>
        <v>#VALUE!</v>
      </c>
      <c r="K59" s="2" t="e">
        <f>AVERAGEIF([1]个股!$Q$9:$Q$2788,[1]行业!$B75,[1]个股!BF$9:BF$2788)</f>
        <v>#VALUE!</v>
      </c>
      <c r="L59" s="2" t="e">
        <f>AVERAGEIF([1]个股!$Q$9:$Q$2788,[1]行业!$B75,[1]个股!BG$9:BG$2788)</f>
        <v>#VALUE!</v>
      </c>
      <c r="M59" s="5" t="e">
        <f>SUMIF([1]个股!$Q$9:$Q$2788,B59,[1]个股!$M$9:$M$2788)</f>
        <v>#VALUE!</v>
      </c>
      <c r="N59" s="6" t="e">
        <f>SUMIF([1]个股!$Q$9:$Q$2788,B59,[1]个股!$N$9:$N$2788)</f>
        <v>#VALUE!</v>
      </c>
      <c r="O59" s="7" t="e">
        <f t="shared" si="9"/>
        <v>#VALUE!</v>
      </c>
      <c r="P59" t="e">
        <f t="shared" ca="1" si="10"/>
        <v>#NAME?</v>
      </c>
      <c r="Q59" t="str">
        <f t="shared" si="12"/>
        <v>行业3 容器与包装</v>
      </c>
    </row>
    <row r="60" spans="1:17">
      <c r="A60" t="s">
        <v>69</v>
      </c>
      <c r="B60" s="14" t="s">
        <v>93</v>
      </c>
      <c r="C60" s="1" t="e">
        <f t="shared" si="5"/>
        <v>#VALUE!</v>
      </c>
      <c r="D60" s="2" t="e">
        <f t="shared" si="6"/>
        <v>#VALUE!</v>
      </c>
      <c r="E60" s="3" t="e">
        <f t="shared" si="7"/>
        <v>#VALUE!</v>
      </c>
      <c r="F60" s="3">
        <v>1</v>
      </c>
      <c r="G60" s="4" t="e">
        <f t="shared" si="8"/>
        <v>#VALUE!</v>
      </c>
      <c r="H60" s="2" t="e">
        <f>AVERAGEIF([1]个股!$Q$9:$Q$2788,[1]行业!$B71,[1]个股!BC$9:BC$2788)</f>
        <v>#VALUE!</v>
      </c>
      <c r="I60" s="2" t="e">
        <f>AVERAGEIF([1]个股!$Q$9:$Q$2788,[1]行业!$B71,[1]个股!BD$9:BD$2788)</f>
        <v>#VALUE!</v>
      </c>
      <c r="J60" s="2" t="e">
        <f>AVERAGEIF([1]个股!$Q$9:$Q$2788,[1]行业!$B71,[1]个股!BE$9:BE$2788)</f>
        <v>#VALUE!</v>
      </c>
      <c r="K60" s="2" t="e">
        <f>AVERAGEIF([1]个股!$Q$9:$Q$2788,[1]行业!$B71,[1]个股!BF$9:BF$2788)</f>
        <v>#VALUE!</v>
      </c>
      <c r="L60" s="2" t="e">
        <f>AVERAGEIF([1]个股!$Q$9:$Q$2788,[1]行业!$B71,[1]个股!BG$9:BG$2788)</f>
        <v>#VALUE!</v>
      </c>
      <c r="M60" s="5" t="e">
        <f>SUMIF([1]个股!$Q$9:$Q$2788,B60,[1]个股!$M$9:$M$2788)</f>
        <v>#VALUE!</v>
      </c>
      <c r="N60" s="6" t="e">
        <f>SUMIF([1]个股!$Q$9:$Q$2788,B60,[1]个股!$N$9:$N$2788)</f>
        <v>#VALUE!</v>
      </c>
      <c r="O60" s="7" t="e">
        <f t="shared" si="9"/>
        <v>#VALUE!</v>
      </c>
      <c r="P60" t="e">
        <f t="shared" ca="1" si="10"/>
        <v>#NAME?</v>
      </c>
      <c r="Q60" t="str">
        <f t="shared" si="12"/>
        <v>行业3 能源设备与服务</v>
      </c>
    </row>
    <row r="61" spans="1:17">
      <c r="A61" t="s">
        <v>69</v>
      </c>
      <c r="B61" s="14" t="s">
        <v>94</v>
      </c>
      <c r="C61" s="1" t="e">
        <f t="shared" si="5"/>
        <v>#VALUE!</v>
      </c>
      <c r="D61" s="2" t="e">
        <f t="shared" si="6"/>
        <v>#VALUE!</v>
      </c>
      <c r="E61" s="3" t="e">
        <f t="shared" si="7"/>
        <v>#VALUE!</v>
      </c>
      <c r="F61" s="3">
        <v>0.8</v>
      </c>
      <c r="G61" s="4" t="e">
        <f t="shared" si="8"/>
        <v>#VALUE!</v>
      </c>
      <c r="H61" s="2" t="e">
        <f>AVERAGEIF([1]个股!$Q$9:$Q$2788,[1]行业!$B63,[1]个股!BC$9:BC$2788)</f>
        <v>#VALUE!</v>
      </c>
      <c r="I61" s="2" t="e">
        <f>AVERAGEIF([1]个股!$Q$9:$Q$2788,[1]行业!$B63,[1]个股!BD$9:BD$2788)</f>
        <v>#VALUE!</v>
      </c>
      <c r="J61" s="2" t="e">
        <f>AVERAGEIF([1]个股!$Q$9:$Q$2788,[1]行业!$B63,[1]个股!BE$9:BE$2788)</f>
        <v>#VALUE!</v>
      </c>
      <c r="K61" s="2" t="e">
        <f>AVERAGEIF([1]个股!$Q$9:$Q$2788,[1]行业!$B63,[1]个股!BF$9:BF$2788)</f>
        <v>#VALUE!</v>
      </c>
      <c r="L61" s="2" t="e">
        <f>AVERAGEIF([1]个股!$Q$9:$Q$2788,[1]行业!$B63,[1]个股!BG$9:BG$2788)</f>
        <v>#VALUE!</v>
      </c>
      <c r="M61" s="5" t="e">
        <f>SUMIF([1]个股!$Q$9:$Q$2788,B61,[1]个股!$M$9:$M$2788)</f>
        <v>#VALUE!</v>
      </c>
      <c r="N61" s="6" t="e">
        <f>SUMIF([1]个股!$Q$9:$Q$2788,B61,[1]个股!$N$9:$N$2788)</f>
        <v>#VALUE!</v>
      </c>
      <c r="O61" s="7" t="e">
        <f t="shared" si="9"/>
        <v>#VALUE!</v>
      </c>
      <c r="P61" t="e">
        <f t="shared" ca="1" si="10"/>
        <v>#NAME?</v>
      </c>
      <c r="Q61" t="str">
        <f t="shared" si="12"/>
        <v>行业3 建材Ⅲ</v>
      </c>
    </row>
    <row r="62" spans="1:17">
      <c r="A62" t="s">
        <v>69</v>
      </c>
      <c r="B62" s="14" t="s">
        <v>95</v>
      </c>
      <c r="C62" s="1" t="e">
        <f t="shared" si="5"/>
        <v>#VALUE!</v>
      </c>
      <c r="D62" s="2" t="e">
        <f t="shared" si="6"/>
        <v>#VALUE!</v>
      </c>
      <c r="E62" s="3" t="e">
        <f t="shared" si="7"/>
        <v>#VALUE!</v>
      </c>
      <c r="F62" s="3">
        <v>1</v>
      </c>
      <c r="G62" s="4" t="e">
        <f t="shared" si="8"/>
        <v>#VALUE!</v>
      </c>
      <c r="H62" s="2" t="e">
        <f>AVERAGEIF([1]个股!$Q$9:$Q$2788,[1]行业!$B73,[1]个股!BC$9:BC$2788)</f>
        <v>#VALUE!</v>
      </c>
      <c r="I62" s="2" t="e">
        <f>AVERAGEIF([1]个股!$Q$9:$Q$2788,[1]行业!$B73,[1]个股!BD$9:BD$2788)</f>
        <v>#VALUE!</v>
      </c>
      <c r="J62" s="2" t="e">
        <f>AVERAGEIF([1]个股!$Q$9:$Q$2788,[1]行业!$B73,[1]个股!BE$9:BE$2788)</f>
        <v>#VALUE!</v>
      </c>
      <c r="K62" s="2" t="e">
        <f>AVERAGEIF([1]个股!$Q$9:$Q$2788,[1]行业!$B73,[1]个股!BF$9:BF$2788)</f>
        <v>#VALUE!</v>
      </c>
      <c r="L62" s="2" t="e">
        <f>AVERAGEIF([1]个股!$Q$9:$Q$2788,[1]行业!$B73,[1]个股!BG$9:BG$2788)</f>
        <v>#VALUE!</v>
      </c>
      <c r="M62" s="5" t="e">
        <f>SUMIF([1]个股!$Q$9:$Q$2788,B62,[1]个股!$M$9:$M$2788)</f>
        <v>#VALUE!</v>
      </c>
      <c r="N62" s="6" t="e">
        <f>SUMIF([1]个股!$Q$9:$Q$2788,B62,[1]个股!$N$9:$N$2788)</f>
        <v>#VALUE!</v>
      </c>
      <c r="O62" s="7" t="e">
        <f t="shared" si="9"/>
        <v>#VALUE!</v>
      </c>
      <c r="P62" t="e">
        <f t="shared" ca="1" si="10"/>
        <v>#NAME?</v>
      </c>
      <c r="Q62" t="str">
        <f t="shared" si="12"/>
        <v>行业3 汽车零配件</v>
      </c>
    </row>
    <row r="63" spans="1:17">
      <c r="A63" t="s">
        <v>69</v>
      </c>
      <c r="B63" s="14" t="s">
        <v>96</v>
      </c>
      <c r="C63" s="1" t="e">
        <f t="shared" si="5"/>
        <v>#VALUE!</v>
      </c>
      <c r="D63" s="2" t="e">
        <f t="shared" si="6"/>
        <v>#VALUE!</v>
      </c>
      <c r="E63" s="3" t="e">
        <f t="shared" si="7"/>
        <v>#VALUE!</v>
      </c>
      <c r="F63" s="3">
        <v>1</v>
      </c>
      <c r="G63" s="4" t="e">
        <f t="shared" si="8"/>
        <v>#VALUE!</v>
      </c>
      <c r="H63" s="2" t="e">
        <f>AVERAGEIF([1]个股!$Q$9:$Q$2788,[1]行业!$B77,[1]个股!BC$9:BC$2788)</f>
        <v>#VALUE!</v>
      </c>
      <c r="I63" s="2" t="e">
        <f>AVERAGEIF([1]个股!$Q$9:$Q$2788,[1]行业!$B77,[1]个股!BD$9:BD$2788)</f>
        <v>#VALUE!</v>
      </c>
      <c r="J63" s="2" t="e">
        <f>AVERAGEIF([1]个股!$Q$9:$Q$2788,[1]行业!$B77,[1]个股!BE$9:BE$2788)</f>
        <v>#VALUE!</v>
      </c>
      <c r="K63" s="2" t="e">
        <f>AVERAGEIF([1]个股!$Q$9:$Q$2788,[1]行业!$B77,[1]个股!BF$9:BF$2788)</f>
        <v>#VALUE!</v>
      </c>
      <c r="L63" s="2" t="e">
        <f>AVERAGEIF([1]个股!$Q$9:$Q$2788,[1]行业!$B77,[1]个股!BG$9:BG$2788)</f>
        <v>#VALUE!</v>
      </c>
      <c r="M63" s="5" t="e">
        <f>SUMIF([1]个股!$Q$9:$Q$2788,B63,[1]个股!$M$9:$M$2788)</f>
        <v>#VALUE!</v>
      </c>
      <c r="N63" s="6" t="e">
        <f>SUMIF([1]个股!$Q$9:$Q$2788,B63,[1]个股!$N$9:$N$2788)</f>
        <v>#VALUE!</v>
      </c>
      <c r="O63" s="7" t="e">
        <f t="shared" si="9"/>
        <v>#VALUE!</v>
      </c>
      <c r="P63" t="e">
        <f t="shared" ca="1" si="10"/>
        <v>#NAME?</v>
      </c>
      <c r="Q63" t="str">
        <f t="shared" si="12"/>
        <v>行业3 商业服务与用品</v>
      </c>
    </row>
    <row r="64" spans="1:17">
      <c r="A64" t="s">
        <v>69</v>
      </c>
      <c r="B64" s="14" t="s">
        <v>97</v>
      </c>
      <c r="C64" s="1" t="e">
        <f t="shared" si="5"/>
        <v>#VALUE!</v>
      </c>
      <c r="D64" s="2" t="e">
        <f t="shared" si="6"/>
        <v>#VALUE!</v>
      </c>
      <c r="E64" s="3" t="e">
        <f t="shared" si="7"/>
        <v>#VALUE!</v>
      </c>
      <c r="F64" s="3">
        <v>1</v>
      </c>
      <c r="G64" s="4" t="e">
        <f t="shared" si="8"/>
        <v>#VALUE!</v>
      </c>
      <c r="H64" s="2" t="e">
        <f>AVERAGEIF([1]个股!$Q$9:$Q$2788,[1]行业!$B45,[1]个股!BC$9:BC$2788)</f>
        <v>#VALUE!</v>
      </c>
      <c r="I64" s="2" t="e">
        <f>AVERAGEIF([1]个股!$Q$9:$Q$2788,[1]行业!$B45,[1]个股!BD$9:BD$2788)</f>
        <v>#VALUE!</v>
      </c>
      <c r="J64" s="2" t="e">
        <f>AVERAGEIF([1]个股!$Q$9:$Q$2788,[1]行业!$B45,[1]个股!BE$9:BE$2788)</f>
        <v>#VALUE!</v>
      </c>
      <c r="K64" s="2" t="e">
        <f>AVERAGEIF([1]个股!$Q$9:$Q$2788,[1]行业!$B45,[1]个股!BF$9:BF$2788)</f>
        <v>#VALUE!</v>
      </c>
      <c r="L64" s="2" t="e">
        <f>AVERAGEIF([1]个股!$Q$9:$Q$2788,[1]行业!$B45,[1]个股!BG$9:BG$2788)</f>
        <v>#VALUE!</v>
      </c>
      <c r="M64" s="5" t="e">
        <f>SUMIF([1]个股!$Q$9:$Q$2788,B64,[1]个股!$M$9:$M$2788)</f>
        <v>#VALUE!</v>
      </c>
      <c r="N64" s="6" t="e">
        <f>SUMIF([1]个股!$Q$9:$Q$2788,B64,[1]个股!$N$9:$N$2788)</f>
        <v>#VALUE!</v>
      </c>
      <c r="O64" s="7" t="e">
        <f t="shared" si="9"/>
        <v>#VALUE!</v>
      </c>
      <c r="P64" t="e">
        <f t="shared" ca="1" si="10"/>
        <v>#NAME?</v>
      </c>
      <c r="Q64" t="str">
        <f t="shared" si="12"/>
        <v>行业3 多元电信服务</v>
      </c>
    </row>
    <row r="65" spans="1:17">
      <c r="A65" t="s">
        <v>69</v>
      </c>
      <c r="B65" s="14" t="s">
        <v>98</v>
      </c>
      <c r="C65" s="1" t="e">
        <f t="shared" si="5"/>
        <v>#VALUE!</v>
      </c>
      <c r="D65" s="2" t="e">
        <f t="shared" si="6"/>
        <v>#VALUE!</v>
      </c>
      <c r="E65" s="3" t="e">
        <f t="shared" si="7"/>
        <v>#VALUE!</v>
      </c>
      <c r="F65" s="3">
        <v>1</v>
      </c>
      <c r="G65" s="4" t="e">
        <f t="shared" si="8"/>
        <v>#VALUE!</v>
      </c>
      <c r="H65" s="2" t="e">
        <f>AVERAGEIF([1]个股!$Q$9:$Q$2788,[1]行业!$B83,[1]个股!BC$9:BC$2788)</f>
        <v>#VALUE!</v>
      </c>
      <c r="I65" s="2" t="e">
        <f>AVERAGEIF([1]个股!$Q$9:$Q$2788,[1]行业!$B83,[1]个股!BD$9:BD$2788)</f>
        <v>#VALUE!</v>
      </c>
      <c r="J65" s="2" t="e">
        <f>AVERAGEIF([1]个股!$Q$9:$Q$2788,[1]行业!$B83,[1]个股!BE$9:BE$2788)</f>
        <v>#VALUE!</v>
      </c>
      <c r="K65" s="2" t="e">
        <f>AVERAGEIF([1]个股!$Q$9:$Q$2788,[1]行业!$B83,[1]个股!BF$9:BF$2788)</f>
        <v>#VALUE!</v>
      </c>
      <c r="L65" s="2" t="e">
        <f>AVERAGEIF([1]个股!$Q$9:$Q$2788,[1]行业!$B83,[1]个股!BG$9:BG$2788)</f>
        <v>#VALUE!</v>
      </c>
      <c r="M65" s="5" t="e">
        <f>SUMIF([1]个股!$Q$9:$Q$2788,B65,[1]个股!$M$9:$M$2788)</f>
        <v>#VALUE!</v>
      </c>
      <c r="N65" s="6" t="e">
        <f>SUMIF([1]个股!$Q$9:$Q$2788,B65,[1]个股!$N$9:$N$2788)</f>
        <v>#VALUE!</v>
      </c>
      <c r="O65" s="7" t="e">
        <f t="shared" si="9"/>
        <v>#VALUE!</v>
      </c>
      <c r="P65" t="e">
        <f t="shared" ca="1" si="10"/>
        <v>#NAME?</v>
      </c>
      <c r="Q65" t="str">
        <f t="shared" si="12"/>
        <v>行业3 食品与主要用品零售Ⅲ</v>
      </c>
    </row>
    <row r="66" spans="1:17">
      <c r="A66" t="s">
        <v>69</v>
      </c>
      <c r="B66" s="14" t="s">
        <v>99</v>
      </c>
      <c r="C66" s="1" t="e">
        <f t="shared" si="5"/>
        <v>#VALUE!</v>
      </c>
      <c r="D66" s="2" t="e">
        <f t="shared" si="6"/>
        <v>#VALUE!</v>
      </c>
      <c r="E66" s="3" t="e">
        <f t="shared" si="7"/>
        <v>#VALUE!</v>
      </c>
      <c r="F66" s="3">
        <v>1</v>
      </c>
      <c r="G66" s="4" t="e">
        <f t="shared" si="8"/>
        <v>#VALUE!</v>
      </c>
      <c r="H66" s="2" t="e">
        <f>AVERAGEIF([1]个股!$Q$9:$Q$2788,[1]行业!$B70,[1]个股!BC$9:BC$2788)</f>
        <v>#VALUE!</v>
      </c>
      <c r="I66" s="2" t="e">
        <f>AVERAGEIF([1]个股!$Q$9:$Q$2788,[1]行业!$B70,[1]个股!BD$9:BD$2788)</f>
        <v>#VALUE!</v>
      </c>
      <c r="J66" s="2" t="e">
        <f>AVERAGEIF([1]个股!$Q$9:$Q$2788,[1]行业!$B70,[1]个股!BE$9:BE$2788)</f>
        <v>#VALUE!</v>
      </c>
      <c r="K66" s="2" t="e">
        <f>AVERAGEIF([1]个股!$Q$9:$Q$2788,[1]行业!$B70,[1]个股!BF$9:BF$2788)</f>
        <v>#VALUE!</v>
      </c>
      <c r="L66" s="2" t="e">
        <f>AVERAGEIF([1]个股!$Q$9:$Q$2788,[1]行业!$B70,[1]个股!BG$9:BG$2788)</f>
        <v>#VALUE!</v>
      </c>
      <c r="M66" s="5" t="e">
        <f>SUMIF([1]个股!$Q$9:$Q$2788,B66,[1]个股!$M$9:$M$2788)</f>
        <v>#VALUE!</v>
      </c>
      <c r="N66" s="6" t="e">
        <f>SUMIF([1]个股!$Q$9:$Q$2788,B66,[1]个股!$N$9:$N$2788)</f>
        <v>#VALUE!</v>
      </c>
      <c r="O66" s="7" t="e">
        <f t="shared" si="9"/>
        <v>#VALUE!</v>
      </c>
      <c r="P66" t="e">
        <f t="shared" ca="1" si="10"/>
        <v>#NAME?</v>
      </c>
      <c r="Q66" t="str">
        <f t="shared" si="12"/>
        <v>行业3 媒体Ⅲ</v>
      </c>
    </row>
    <row r="67" spans="1:17">
      <c r="A67" t="s">
        <v>69</v>
      </c>
      <c r="B67" s="14" t="s">
        <v>100</v>
      </c>
      <c r="C67" s="1" t="e">
        <f t="shared" si="5"/>
        <v>#VALUE!</v>
      </c>
      <c r="D67" s="2" t="e">
        <f t="shared" si="6"/>
        <v>#VALUE!</v>
      </c>
      <c r="E67" s="3" t="e">
        <f t="shared" si="7"/>
        <v>#VALUE!</v>
      </c>
      <c r="F67" s="3">
        <v>1</v>
      </c>
      <c r="G67" s="4" t="e">
        <f t="shared" si="8"/>
        <v>#VALUE!</v>
      </c>
      <c r="H67" s="2" t="e">
        <f>AVERAGEIF([1]个股!$Q$9:$Q$2788,[1]行业!$B64,[1]个股!BC$9:BC$2788)</f>
        <v>#VALUE!</v>
      </c>
      <c r="I67" s="2" t="e">
        <f>AVERAGEIF([1]个股!$Q$9:$Q$2788,[1]行业!$B64,[1]个股!BD$9:BD$2788)</f>
        <v>#VALUE!</v>
      </c>
      <c r="J67" s="2" t="e">
        <f>AVERAGEIF([1]个股!$Q$9:$Q$2788,[1]行业!$B64,[1]个股!BE$9:BE$2788)</f>
        <v>#VALUE!</v>
      </c>
      <c r="K67" s="2" t="e">
        <f>AVERAGEIF([1]个股!$Q$9:$Q$2788,[1]行业!$B64,[1]个股!BF$9:BF$2788)</f>
        <v>#VALUE!</v>
      </c>
      <c r="L67" s="2" t="e">
        <f>AVERAGEIF([1]个股!$Q$9:$Q$2788,[1]行业!$B64,[1]个股!BG$9:BG$2788)</f>
        <v>#VALUE!</v>
      </c>
      <c r="M67" s="5" t="e">
        <f>SUMIF([1]个股!$Q$9:$Q$2788,B67,[1]个股!$M$9:$M$2788)</f>
        <v>#VALUE!</v>
      </c>
      <c r="N67" s="6" t="e">
        <f>SUMIF([1]个股!$Q$9:$Q$2788,B67,[1]个股!$N$9:$N$2788)</f>
        <v>#VALUE!</v>
      </c>
      <c r="O67" s="7" t="e">
        <f t="shared" si="9"/>
        <v>#VALUE!</v>
      </c>
      <c r="P67" t="e">
        <f t="shared" ca="1" si="10"/>
        <v>#NAME?</v>
      </c>
      <c r="Q67" t="str">
        <f t="shared" si="12"/>
        <v>行业3 建筑产品Ⅲ</v>
      </c>
    </row>
    <row r="68" spans="1:17">
      <c r="A68" t="s">
        <v>69</v>
      </c>
      <c r="B68" s="14" t="s">
        <v>101</v>
      </c>
      <c r="C68" s="1" t="e">
        <f t="shared" ref="C68:C131" si="13">AVERAGEIF(A$4:A$231,A68,D$4:D$231)</f>
        <v>#VALUE!</v>
      </c>
      <c r="D68" s="2" t="e">
        <f t="shared" ref="D68:D131" si="14">K68*30%+ L68*70%</f>
        <v>#VALUE!</v>
      </c>
      <c r="E68" s="3" t="e">
        <f t="shared" ref="E68:E131" si="15">IF((D68+C68)/(2*C68)&gt;0,((D68+C68)/(2*C68))^0.5,50%)</f>
        <v>#VALUE!</v>
      </c>
      <c r="F68" s="3">
        <v>1</v>
      </c>
      <c r="G68" s="4" t="e">
        <f t="shared" ref="G68:G131" si="16">E68*F68</f>
        <v>#VALUE!</v>
      </c>
      <c r="H68" s="2" t="e">
        <f>AVERAGEIF([1]个股!$Q$9:$Q$2788,[1]行业!$B85,[1]个股!BC$9:BC$2788)</f>
        <v>#VALUE!</v>
      </c>
      <c r="I68" s="2" t="e">
        <f>AVERAGEIF([1]个股!$Q$9:$Q$2788,[1]行业!$B85,[1]个股!BD$9:BD$2788)</f>
        <v>#VALUE!</v>
      </c>
      <c r="J68" s="2" t="e">
        <f>AVERAGEIF([1]个股!$Q$9:$Q$2788,[1]行业!$B85,[1]个股!BE$9:BE$2788)</f>
        <v>#VALUE!</v>
      </c>
      <c r="K68" s="2" t="e">
        <f>AVERAGEIF([1]个股!$Q$9:$Q$2788,[1]行业!$B85,[1]个股!BF$9:BF$2788)</f>
        <v>#VALUE!</v>
      </c>
      <c r="L68" s="2" t="e">
        <f>AVERAGEIF([1]个股!$Q$9:$Q$2788,[1]行业!$B85,[1]个股!BG$9:BG$2788)</f>
        <v>#VALUE!</v>
      </c>
      <c r="M68" s="5" t="e">
        <f>SUMIF([1]个股!$Q$9:$Q$2788,B68,[1]个股!$M$9:$M$2788)</f>
        <v>#VALUE!</v>
      </c>
      <c r="N68" s="6" t="e">
        <f>SUMIF([1]个股!$Q$9:$Q$2788,B68,[1]个股!$N$9:$N$2788)</f>
        <v>#VALUE!</v>
      </c>
      <c r="O68" s="7" t="e">
        <f t="shared" ref="O68:O131" si="17">(M68-N68)/N68</f>
        <v>#VALUE!</v>
      </c>
      <c r="P68" t="e">
        <f t="shared" ca="1" si="10"/>
        <v>#NAME?</v>
      </c>
      <c r="Q68" t="str">
        <f t="shared" si="12"/>
        <v>行业3 通信设备Ⅲ</v>
      </c>
    </row>
    <row r="69" spans="1:17">
      <c r="A69" t="s">
        <v>69</v>
      </c>
      <c r="B69" s="14" t="s">
        <v>102</v>
      </c>
      <c r="C69" s="1" t="e">
        <f t="shared" si="13"/>
        <v>#VALUE!</v>
      </c>
      <c r="D69" s="2" t="e">
        <f t="shared" si="14"/>
        <v>#VALUE!</v>
      </c>
      <c r="E69" s="3" t="e">
        <f t="shared" si="15"/>
        <v>#VALUE!</v>
      </c>
      <c r="F69" s="3">
        <v>1</v>
      </c>
      <c r="G69" s="4" t="e">
        <f t="shared" si="16"/>
        <v>#VALUE!</v>
      </c>
      <c r="H69" s="2" t="e">
        <f>AVERAGEIF([1]个股!$Q$9:$Q$2788,[1]行业!$B43,[1]个股!BC$9:BC$2788)</f>
        <v>#VALUE!</v>
      </c>
      <c r="I69" s="2" t="e">
        <f>AVERAGEIF([1]个股!$Q$9:$Q$2788,[1]行业!$B43,[1]个股!BD$9:BD$2788)</f>
        <v>#VALUE!</v>
      </c>
      <c r="J69" s="2" t="e">
        <f>AVERAGEIF([1]个股!$Q$9:$Q$2788,[1]行业!$B43,[1]个股!BE$9:BE$2788)</f>
        <v>#VALUE!</v>
      </c>
      <c r="K69" s="2" t="e">
        <f>AVERAGEIF([1]个股!$Q$9:$Q$2788,[1]行业!$B43,[1]个股!BF$9:BF$2788)</f>
        <v>#VALUE!</v>
      </c>
      <c r="L69" s="2" t="e">
        <f>AVERAGEIF([1]个股!$Q$9:$Q$2788,[1]行业!$B43,[1]个股!BG$9:BG$2788)</f>
        <v>#VALUE!</v>
      </c>
      <c r="M69" s="5" t="e">
        <f>SUMIF([1]个股!$Q$9:$Q$2788,B69,[1]个股!$M$9:$M$2788)</f>
        <v>#VALUE!</v>
      </c>
      <c r="N69" s="6" t="e">
        <f>SUMIF([1]个股!$Q$9:$Q$2788,B69,[1]个股!$N$9:$N$2788)</f>
        <v>#VALUE!</v>
      </c>
      <c r="O69" s="7" t="e">
        <f t="shared" si="17"/>
        <v>#VALUE!</v>
      </c>
      <c r="P69" t="e">
        <f t="shared" ref="P69:P132" ca="1" si="18">LOWER(hztopy(B69))&amp;RIGHT(A69,1)</f>
        <v>#NAME?</v>
      </c>
      <c r="Q69" t="str">
        <f t="shared" si="12"/>
        <v>行业3 电子设备、仪器和元件</v>
      </c>
    </row>
    <row r="70" spans="1:17">
      <c r="A70" t="s">
        <v>69</v>
      </c>
      <c r="B70" s="14" t="s">
        <v>103</v>
      </c>
      <c r="C70" s="1" t="e">
        <f t="shared" si="13"/>
        <v>#VALUE!</v>
      </c>
      <c r="D70" s="2" t="e">
        <f t="shared" si="14"/>
        <v>#VALUE!</v>
      </c>
      <c r="E70" s="3" t="e">
        <f t="shared" si="15"/>
        <v>#VALUE!</v>
      </c>
      <c r="F70" s="3">
        <v>1</v>
      </c>
      <c r="G70" s="4" t="e">
        <f t="shared" si="16"/>
        <v>#VALUE!</v>
      </c>
      <c r="H70" s="2" t="e">
        <f>AVERAGEIF([1]个股!$Q$9:$Q$2788,[1]行业!$B96,[1]个股!BC$9:BC$2788)</f>
        <v>#VALUE!</v>
      </c>
      <c r="I70" s="2" t="e">
        <f>AVERAGEIF([1]个股!$Q$9:$Q$2788,[1]行业!$B96,[1]个股!BD$9:BD$2788)</f>
        <v>#VALUE!</v>
      </c>
      <c r="J70" s="2" t="e">
        <f>AVERAGEIF([1]个股!$Q$9:$Q$2788,[1]行业!$B96,[1]个股!BE$9:BE$2788)</f>
        <v>#VALUE!</v>
      </c>
      <c r="K70" s="2" t="e">
        <f>AVERAGEIF([1]个股!$Q$9:$Q$2788,[1]行业!$B96,[1]个股!BF$9:BF$2788)</f>
        <v>#VALUE!</v>
      </c>
      <c r="L70" s="2" t="e">
        <f>AVERAGEIF([1]个股!$Q$9:$Q$2788,[1]行业!$B96,[1]个股!BG$9:BG$2788)</f>
        <v>#VALUE!</v>
      </c>
      <c r="M70" s="5" t="e">
        <f>SUMIF([1]个股!$Q$9:$Q$2788,B70,[1]个股!$M$9:$M$2788)</f>
        <v>#VALUE!</v>
      </c>
      <c r="N70" s="6" t="e">
        <f>SUMIF([1]个股!$Q$9:$Q$2788,B70,[1]个股!$N$9:$N$2788)</f>
        <v>#VALUE!</v>
      </c>
      <c r="O70" s="7" t="e">
        <f t="shared" si="17"/>
        <v>#VALUE!</v>
      </c>
      <c r="P70" t="e">
        <f t="shared" ca="1" si="18"/>
        <v>#NAME?</v>
      </c>
      <c r="Q70" t="str">
        <f t="shared" si="12"/>
        <v>行业3 专业服务</v>
      </c>
    </row>
    <row r="71" spans="1:17">
      <c r="A71" t="s">
        <v>69</v>
      </c>
      <c r="B71" s="14" t="s">
        <v>104</v>
      </c>
      <c r="C71" s="1" t="e">
        <f t="shared" si="13"/>
        <v>#VALUE!</v>
      </c>
      <c r="D71" s="2" t="e">
        <f t="shared" si="14"/>
        <v>#VALUE!</v>
      </c>
      <c r="E71" s="3" t="e">
        <f t="shared" si="15"/>
        <v>#VALUE!</v>
      </c>
      <c r="F71" s="3">
        <v>1</v>
      </c>
      <c r="G71" s="4" t="e">
        <f t="shared" si="16"/>
        <v>#VALUE!</v>
      </c>
      <c r="H71" s="2" t="e">
        <f>AVERAGEIF([1]个股!$Q$9:$Q$2788,[1]行业!$B68,[1]个股!BC$9:BC$2788)</f>
        <v>#VALUE!</v>
      </c>
      <c r="I71" s="2" t="e">
        <f>AVERAGEIF([1]个股!$Q$9:$Q$2788,[1]行业!$B68,[1]个股!BD$9:BD$2788)</f>
        <v>#VALUE!</v>
      </c>
      <c r="J71" s="2" t="e">
        <f>AVERAGEIF([1]个股!$Q$9:$Q$2788,[1]行业!$B68,[1]个股!BE$9:BE$2788)</f>
        <v>#VALUE!</v>
      </c>
      <c r="K71" s="2" t="e">
        <f>AVERAGEIF([1]个股!$Q$9:$Q$2788,[1]行业!$B68,[1]个股!BF$9:BF$2788)</f>
        <v>#VALUE!</v>
      </c>
      <c r="L71" s="2" t="e">
        <f>AVERAGEIF([1]个股!$Q$9:$Q$2788,[1]行业!$B68,[1]个股!BG$9:BG$2788)</f>
        <v>#VALUE!</v>
      </c>
      <c r="M71" s="5" t="e">
        <f>SUMIF([1]个股!$Q$9:$Q$2788,B71,[1]个股!$M$9:$M$2788)</f>
        <v>#VALUE!</v>
      </c>
      <c r="N71" s="6" t="e">
        <f>SUMIF([1]个股!$Q$9:$Q$2788,B71,[1]个股!$N$9:$N$2788)</f>
        <v>#VALUE!</v>
      </c>
      <c r="O71" s="7" t="e">
        <f t="shared" si="17"/>
        <v>#VALUE!</v>
      </c>
      <c r="P71" t="e">
        <f t="shared" ca="1" si="18"/>
        <v>#NAME?</v>
      </c>
      <c r="Q71" t="str">
        <f t="shared" si="12"/>
        <v>行业3 酒店、餐馆与休闲Ⅲ</v>
      </c>
    </row>
    <row r="72" spans="1:17">
      <c r="A72" t="s">
        <v>69</v>
      </c>
      <c r="B72" s="14" t="s">
        <v>105</v>
      </c>
      <c r="C72" s="1" t="e">
        <f t="shared" si="13"/>
        <v>#VALUE!</v>
      </c>
      <c r="D72" s="2" t="e">
        <f t="shared" si="14"/>
        <v>#VALUE!</v>
      </c>
      <c r="E72" s="3" t="e">
        <f t="shared" si="15"/>
        <v>#VALUE!</v>
      </c>
      <c r="F72" s="3">
        <v>1</v>
      </c>
      <c r="G72" s="4" t="e">
        <f t="shared" si="16"/>
        <v>#VALUE!</v>
      </c>
      <c r="H72" s="2" t="e">
        <f>AVERAGEIF([1]个股!$Q$9:$Q$2788,[1]行业!$B76,[1]个股!BC$9:BC$2788)</f>
        <v>#VALUE!</v>
      </c>
      <c r="I72" s="2" t="e">
        <f>AVERAGEIF([1]个股!$Q$9:$Q$2788,[1]行业!$B76,[1]个股!BD$9:BD$2788)</f>
        <v>#VALUE!</v>
      </c>
      <c r="J72" s="2" t="e">
        <f>AVERAGEIF([1]个股!$Q$9:$Q$2788,[1]行业!$B76,[1]个股!BE$9:BE$2788)</f>
        <v>#VALUE!</v>
      </c>
      <c r="K72" s="2" t="e">
        <f>AVERAGEIF([1]个股!$Q$9:$Q$2788,[1]行业!$B76,[1]个股!BF$9:BF$2788)</f>
        <v>#VALUE!</v>
      </c>
      <c r="L72" s="2" t="e">
        <f>AVERAGEIF([1]个股!$Q$9:$Q$2788,[1]行业!$B76,[1]个股!BG$9:BG$2788)</f>
        <v>#VALUE!</v>
      </c>
      <c r="M72" s="5" t="e">
        <f>SUMIF([1]个股!$Q$9:$Q$2788,B72,[1]个股!$M$9:$M$2788)</f>
        <v>#VALUE!</v>
      </c>
      <c r="N72" s="6" t="e">
        <f>SUMIF([1]个股!$Q$9:$Q$2788,B72,[1]个股!$N$9:$N$2788)</f>
        <v>#VALUE!</v>
      </c>
      <c r="O72" s="7" t="e">
        <f t="shared" si="17"/>
        <v>#VALUE!</v>
      </c>
      <c r="P72" t="e">
        <f t="shared" ca="1" si="18"/>
        <v>#NAME?</v>
      </c>
      <c r="Q72" t="str">
        <f t="shared" si="12"/>
        <v>行业3 软件</v>
      </c>
    </row>
    <row r="73" spans="1:17">
      <c r="A73" t="s">
        <v>69</v>
      </c>
      <c r="B73" s="14" t="s">
        <v>106</v>
      </c>
      <c r="C73" s="1" t="e">
        <f t="shared" si="13"/>
        <v>#VALUE!</v>
      </c>
      <c r="D73" s="2" t="e">
        <f t="shared" si="14"/>
        <v>#VALUE!</v>
      </c>
      <c r="E73" s="3" t="e">
        <f t="shared" si="15"/>
        <v>#VALUE!</v>
      </c>
      <c r="F73" s="3">
        <v>0.7</v>
      </c>
      <c r="G73" s="4" t="e">
        <f t="shared" si="16"/>
        <v>#VALUE!</v>
      </c>
      <c r="H73" s="2" t="e">
        <f>AVERAGEIF([1]个股!$Q$9:$Q$2788,[1]行业!$B48,[1]个股!BC$9:BC$2788)</f>
        <v>#VALUE!</v>
      </c>
      <c r="I73" s="2" t="e">
        <f>AVERAGEIF([1]个股!$Q$9:$Q$2788,[1]行业!$B48,[1]个股!BD$9:BD$2788)</f>
        <v>#VALUE!</v>
      </c>
      <c r="J73" s="2" t="e">
        <f>AVERAGEIF([1]个股!$Q$9:$Q$2788,[1]行业!$B48,[1]个股!BE$9:BE$2788)</f>
        <v>#VALUE!</v>
      </c>
      <c r="K73" s="2" t="e">
        <f>AVERAGEIF([1]个股!$Q$9:$Q$2788,[1]行业!$B48,[1]个股!BF$9:BF$2788)</f>
        <v>#VALUE!</v>
      </c>
      <c r="L73" s="2" t="e">
        <f>AVERAGEIF([1]个股!$Q$9:$Q$2788,[1]行业!$B48,[1]个股!BG$9:BG$2788)</f>
        <v>#VALUE!</v>
      </c>
      <c r="M73" s="5" t="e">
        <f>SUMIF([1]个股!$Q$9:$Q$2788,B73,[1]个股!$M$9:$M$2788)</f>
        <v>#VALUE!</v>
      </c>
      <c r="N73" s="6" t="e">
        <f>SUMIF([1]个股!$Q$9:$Q$2788,B73,[1]个股!$N$9:$N$2788)</f>
        <v>#VALUE!</v>
      </c>
      <c r="O73" s="7" t="e">
        <f t="shared" si="17"/>
        <v>#VALUE!</v>
      </c>
      <c r="P73" t="e">
        <f t="shared" ca="1" si="18"/>
        <v>#NAME?</v>
      </c>
      <c r="Q73" t="str">
        <f t="shared" si="12"/>
        <v>行业3 房地产管理与开发</v>
      </c>
    </row>
    <row r="74" spans="1:17">
      <c r="A74" t="s">
        <v>69</v>
      </c>
      <c r="B74" s="14" t="s">
        <v>107</v>
      </c>
      <c r="C74" s="1" t="e">
        <f t="shared" si="13"/>
        <v>#VALUE!</v>
      </c>
      <c r="D74" s="2" t="e">
        <f t="shared" si="14"/>
        <v>#VALUE!</v>
      </c>
      <c r="E74" s="3" t="e">
        <f t="shared" si="15"/>
        <v>#VALUE!</v>
      </c>
      <c r="F74" s="3">
        <v>1</v>
      </c>
      <c r="G74" s="4" t="e">
        <f t="shared" si="16"/>
        <v>#VALUE!</v>
      </c>
      <c r="H74" s="2" t="e">
        <f>AVERAGEIF([1]个股!$Q$9:$Q$2788,[1]行业!$B79,[1]个股!BC$9:BC$2788)</f>
        <v>#VALUE!</v>
      </c>
      <c r="I74" s="2" t="e">
        <f>AVERAGEIF([1]个股!$Q$9:$Q$2788,[1]行业!$B79,[1]个股!BD$9:BD$2788)</f>
        <v>#VALUE!</v>
      </c>
      <c r="J74" s="2" t="e">
        <f>AVERAGEIF([1]个股!$Q$9:$Q$2788,[1]行业!$B79,[1]个股!BE$9:BE$2788)</f>
        <v>#VALUE!</v>
      </c>
      <c r="K74" s="2" t="e">
        <f>AVERAGEIF([1]个股!$Q$9:$Q$2788,[1]行业!$B79,[1]个股!BF$9:BF$2788)</f>
        <v>#VALUE!</v>
      </c>
      <c r="L74" s="2" t="e">
        <f>AVERAGEIF([1]个股!$Q$9:$Q$2788,[1]行业!$B79,[1]个股!BG$9:BG$2788)</f>
        <v>#VALUE!</v>
      </c>
      <c r="M74" s="5" t="e">
        <f>SUMIF([1]个股!$Q$9:$Q$2788,B74,[1]个股!$M$9:$M$2788)</f>
        <v>#VALUE!</v>
      </c>
      <c r="N74" s="6" t="e">
        <f>SUMIF([1]个股!$Q$9:$Q$2788,B74,[1]个股!$N$9:$N$2788)</f>
        <v>#VALUE!</v>
      </c>
      <c r="O74" s="7" t="e">
        <f t="shared" si="17"/>
        <v>#VALUE!</v>
      </c>
      <c r="P74" t="e">
        <f t="shared" ca="1" si="18"/>
        <v>#NAME?</v>
      </c>
      <c r="Q74" t="str">
        <f t="shared" si="12"/>
        <v>行业3 生命科学工具和服务Ⅲ</v>
      </c>
    </row>
    <row r="75" spans="1:17">
      <c r="A75" t="s">
        <v>69</v>
      </c>
      <c r="B75" s="14" t="s">
        <v>108</v>
      </c>
      <c r="C75" s="1" t="e">
        <f t="shared" si="13"/>
        <v>#VALUE!</v>
      </c>
      <c r="D75" s="2" t="e">
        <f t="shared" si="14"/>
        <v>#VALUE!</v>
      </c>
      <c r="E75" s="3" t="e">
        <f t="shared" si="15"/>
        <v>#VALUE!</v>
      </c>
      <c r="F75" s="3">
        <v>1</v>
      </c>
      <c r="G75" s="4" t="e">
        <f t="shared" si="16"/>
        <v>#VALUE!</v>
      </c>
      <c r="H75" s="2" t="e">
        <f>AVERAGEIF([1]个股!$Q$9:$Q$2788,[1]行业!$B56,[1]个股!BC$9:BC$2788)</f>
        <v>#VALUE!</v>
      </c>
      <c r="I75" s="2" t="e">
        <f>AVERAGEIF([1]个股!$Q$9:$Q$2788,[1]行业!$B56,[1]个股!BD$9:BD$2788)</f>
        <v>#VALUE!</v>
      </c>
      <c r="J75" s="2" t="e">
        <f>AVERAGEIF([1]个股!$Q$9:$Q$2788,[1]行业!$B56,[1]个股!BE$9:BE$2788)</f>
        <v>#VALUE!</v>
      </c>
      <c r="K75" s="2" t="e">
        <f>AVERAGEIF([1]个股!$Q$9:$Q$2788,[1]行业!$B56,[1]个股!BF$9:BF$2788)</f>
        <v>#VALUE!</v>
      </c>
      <c r="L75" s="2" t="e">
        <f>AVERAGEIF([1]个股!$Q$9:$Q$2788,[1]行业!$B56,[1]个股!BG$9:BG$2788)</f>
        <v>#VALUE!</v>
      </c>
      <c r="M75" s="5" t="e">
        <f>SUMIF([1]个股!$Q$9:$Q$2788,B75,[1]个股!$M$9:$M$2788)</f>
        <v>#VALUE!</v>
      </c>
      <c r="N75" s="6" t="e">
        <f>SUMIF([1]个股!$Q$9:$Q$2788,B75,[1]个股!$N$9:$N$2788)</f>
        <v>#VALUE!</v>
      </c>
      <c r="O75" s="7" t="e">
        <f t="shared" si="17"/>
        <v>#VALUE!</v>
      </c>
      <c r="P75" t="e">
        <f t="shared" ca="1" si="18"/>
        <v>#NAME?</v>
      </c>
      <c r="Q75" t="str">
        <f t="shared" si="12"/>
        <v>行业3 航空货运与物流Ⅲ</v>
      </c>
    </row>
    <row r="76" spans="1:17">
      <c r="A76" t="s">
        <v>69</v>
      </c>
      <c r="B76" s="14" t="s">
        <v>109</v>
      </c>
      <c r="C76" s="1" t="e">
        <f t="shared" si="13"/>
        <v>#VALUE!</v>
      </c>
      <c r="D76" s="2" t="e">
        <f t="shared" si="14"/>
        <v>#VALUE!</v>
      </c>
      <c r="E76" s="3" t="e">
        <f t="shared" si="15"/>
        <v>#VALUE!</v>
      </c>
      <c r="F76" s="3">
        <v>1</v>
      </c>
      <c r="G76" s="4" t="e">
        <f t="shared" si="16"/>
        <v>#VALUE!</v>
      </c>
      <c r="H76" s="2" t="e">
        <f>AVERAGEIF([1]个股!$Q$9:$Q$2788,[1]行业!$B88,[1]个股!BC$9:BC$2788)</f>
        <v>#VALUE!</v>
      </c>
      <c r="I76" s="2" t="e">
        <f>AVERAGEIF([1]个股!$Q$9:$Q$2788,[1]行业!$B88,[1]个股!BD$9:BD$2788)</f>
        <v>#VALUE!</v>
      </c>
      <c r="J76" s="2" t="e">
        <f>AVERAGEIF([1]个股!$Q$9:$Q$2788,[1]行业!$B88,[1]个股!BE$9:BE$2788)</f>
        <v>#VALUE!</v>
      </c>
      <c r="K76" s="2" t="e">
        <f>AVERAGEIF([1]个股!$Q$9:$Q$2788,[1]行业!$B88,[1]个股!BF$9:BF$2788)</f>
        <v>#VALUE!</v>
      </c>
      <c r="L76" s="2" t="e">
        <f>AVERAGEIF([1]个股!$Q$9:$Q$2788,[1]行业!$B88,[1]个股!BG$9:BG$2788)</f>
        <v>#VALUE!</v>
      </c>
      <c r="M76" s="5" t="e">
        <f>SUMIF([1]个股!$Q$9:$Q$2788,B76,[1]个股!$M$9:$M$2788)</f>
        <v>#VALUE!</v>
      </c>
      <c r="N76" s="6" t="e">
        <f>SUMIF([1]个股!$Q$9:$Q$2788,B76,[1]个股!$N$9:$N$2788)</f>
        <v>#VALUE!</v>
      </c>
      <c r="O76" s="7" t="e">
        <f t="shared" si="17"/>
        <v>#VALUE!</v>
      </c>
      <c r="P76" t="e">
        <f t="shared" ca="1" si="18"/>
        <v>#NAME?</v>
      </c>
      <c r="Q76" t="str">
        <f t="shared" si="12"/>
        <v>行业3 信息技术服务</v>
      </c>
    </row>
    <row r="77" spans="1:17">
      <c r="A77" t="s">
        <v>69</v>
      </c>
      <c r="B77" s="14" t="s">
        <v>110</v>
      </c>
      <c r="C77" s="1" t="e">
        <f t="shared" si="13"/>
        <v>#VALUE!</v>
      </c>
      <c r="D77" s="2" t="e">
        <f t="shared" si="14"/>
        <v>#VALUE!</v>
      </c>
      <c r="E77" s="3" t="e">
        <f t="shared" si="15"/>
        <v>#VALUE!</v>
      </c>
      <c r="F77" s="3">
        <v>1</v>
      </c>
      <c r="G77" s="4" t="e">
        <f t="shared" si="16"/>
        <v>#VALUE!</v>
      </c>
      <c r="H77" s="2" t="e">
        <f>AVERAGEIF([1]个股!$Q$9:$Q$2788,[1]行业!$B60,[1]个股!BC$9:BC$2788)</f>
        <v>#VALUE!</v>
      </c>
      <c r="I77" s="2" t="e">
        <f>AVERAGEIF([1]个股!$Q$9:$Q$2788,[1]行业!$B60,[1]个股!BD$9:BD$2788)</f>
        <v>#VALUE!</v>
      </c>
      <c r="J77" s="2" t="e">
        <f>AVERAGEIF([1]个股!$Q$9:$Q$2788,[1]行业!$B60,[1]个股!BE$9:BE$2788)</f>
        <v>#VALUE!</v>
      </c>
      <c r="K77" s="2" t="e">
        <f>AVERAGEIF([1]个股!$Q$9:$Q$2788,[1]行业!$B60,[1]个股!BF$9:BF$2788)</f>
        <v>#VALUE!</v>
      </c>
      <c r="L77" s="2" t="e">
        <f>AVERAGEIF([1]个股!$Q$9:$Q$2788,[1]行业!$B60,[1]个股!BG$9:BG$2788)</f>
        <v>#VALUE!</v>
      </c>
      <c r="M77" s="5" t="e">
        <f>SUMIF([1]个股!$Q$9:$Q$2788,B77,[1]个股!$M$9:$M$2788)</f>
        <v>#VALUE!</v>
      </c>
      <c r="N77" s="6" t="e">
        <f>SUMIF([1]个股!$Q$9:$Q$2788,B77,[1]个股!$N$9:$N$2788)</f>
        <v>#VALUE!</v>
      </c>
      <c r="O77" s="7" t="e">
        <f t="shared" si="17"/>
        <v>#VALUE!</v>
      </c>
      <c r="P77" t="e">
        <f t="shared" ca="1" si="18"/>
        <v>#NAME?</v>
      </c>
      <c r="Q77" t="str">
        <f t="shared" si="12"/>
        <v>行业3 机械</v>
      </c>
    </row>
    <row r="78" spans="1:17">
      <c r="A78" t="s">
        <v>69</v>
      </c>
      <c r="B78" s="14" t="s">
        <v>111</v>
      </c>
      <c r="C78" s="1" t="e">
        <f t="shared" si="13"/>
        <v>#VALUE!</v>
      </c>
      <c r="D78" s="2" t="e">
        <f t="shared" si="14"/>
        <v>#VALUE!</v>
      </c>
      <c r="E78" s="3" t="e">
        <f t="shared" si="15"/>
        <v>#VALUE!</v>
      </c>
      <c r="F78" s="3">
        <v>1</v>
      </c>
      <c r="G78" s="4" t="e">
        <f t="shared" si="16"/>
        <v>#VALUE!</v>
      </c>
      <c r="H78" s="2" t="e">
        <f>AVERAGEIF([1]个股!$Q$9:$Q$2788,[1]行业!$B46,[1]个股!BC$9:BC$2788)</f>
        <v>#VALUE!</v>
      </c>
      <c r="I78" s="2" t="e">
        <f>AVERAGEIF([1]个股!$Q$9:$Q$2788,[1]行业!$B46,[1]个股!BD$9:BD$2788)</f>
        <v>#VALUE!</v>
      </c>
      <c r="J78" s="2" t="e">
        <f>AVERAGEIF([1]个股!$Q$9:$Q$2788,[1]行业!$B46,[1]个股!BE$9:BE$2788)</f>
        <v>#VALUE!</v>
      </c>
      <c r="K78" s="2" t="e">
        <f>AVERAGEIF([1]个股!$Q$9:$Q$2788,[1]行业!$B46,[1]个股!BF$9:BF$2788)</f>
        <v>#VALUE!</v>
      </c>
      <c r="L78" s="2" t="e">
        <f>AVERAGEIF([1]个股!$Q$9:$Q$2788,[1]行业!$B46,[1]个股!BG$9:BG$2788)</f>
        <v>#VALUE!</v>
      </c>
      <c r="M78" s="5" t="e">
        <f>SUMIF([1]个股!$Q$9:$Q$2788,B78,[1]个股!$M$9:$M$2788)</f>
        <v>#VALUE!</v>
      </c>
      <c r="N78" s="6" t="e">
        <f>SUMIF([1]个股!$Q$9:$Q$2788,B78,[1]个股!$N$9:$N$2788)</f>
        <v>#VALUE!</v>
      </c>
      <c r="O78" s="7" t="e">
        <f t="shared" si="17"/>
        <v>#VALUE!</v>
      </c>
      <c r="P78" t="e">
        <f t="shared" ca="1" si="18"/>
        <v>#NAME?</v>
      </c>
      <c r="Q78" t="str">
        <f t="shared" si="12"/>
        <v>行业3 多元化零售</v>
      </c>
    </row>
    <row r="79" spans="1:17">
      <c r="A79" t="s">
        <v>69</v>
      </c>
      <c r="B79" s="14" t="s">
        <v>112</v>
      </c>
      <c r="C79" s="1" t="e">
        <f t="shared" si="13"/>
        <v>#VALUE!</v>
      </c>
      <c r="D79" s="2" t="e">
        <f t="shared" si="14"/>
        <v>#VALUE!</v>
      </c>
      <c r="E79" s="3" t="e">
        <f t="shared" si="15"/>
        <v>#VALUE!</v>
      </c>
      <c r="F79" s="3">
        <v>1</v>
      </c>
      <c r="G79" s="4" t="e">
        <f t="shared" si="16"/>
        <v>#VALUE!</v>
      </c>
      <c r="H79" s="2" t="e">
        <f>AVERAGEIF([1]个股!$Q$9:$Q$2788,[1]行业!$B74,[1]个股!BC$9:BC$2788)</f>
        <v>#VALUE!</v>
      </c>
      <c r="I79" s="2" t="e">
        <f>AVERAGEIF([1]个股!$Q$9:$Q$2788,[1]行业!$B74,[1]个股!BD$9:BD$2788)</f>
        <v>#VALUE!</v>
      </c>
      <c r="J79" s="2" t="e">
        <f>AVERAGEIF([1]个股!$Q$9:$Q$2788,[1]行业!$B74,[1]个股!BE$9:BE$2788)</f>
        <v>#VALUE!</v>
      </c>
      <c r="K79" s="2" t="e">
        <f>AVERAGEIF([1]个股!$Q$9:$Q$2788,[1]行业!$B74,[1]个股!BF$9:BF$2788)</f>
        <v>#VALUE!</v>
      </c>
      <c r="L79" s="2" t="e">
        <f>AVERAGEIF([1]个股!$Q$9:$Q$2788,[1]行业!$B74,[1]个股!BG$9:BG$2788)</f>
        <v>#VALUE!</v>
      </c>
      <c r="M79" s="5" t="e">
        <f>SUMIF([1]个股!$Q$9:$Q$2788,B79,[1]个股!$M$9:$M$2788)</f>
        <v>#VALUE!</v>
      </c>
      <c r="N79" s="6" t="e">
        <f>SUMIF([1]个股!$Q$9:$Q$2788,B79,[1]个股!$N$9:$N$2788)</f>
        <v>#VALUE!</v>
      </c>
      <c r="O79" s="7" t="e">
        <f t="shared" si="17"/>
        <v>#VALUE!</v>
      </c>
      <c r="P79" t="e">
        <f t="shared" ca="1" si="18"/>
        <v>#NAME?</v>
      </c>
      <c r="Q79" t="str">
        <f t="shared" si="12"/>
        <v>行业3 燃气Ⅲ</v>
      </c>
    </row>
    <row r="80" spans="1:17">
      <c r="A80" t="s">
        <v>69</v>
      </c>
      <c r="B80" s="14" t="s">
        <v>113</v>
      </c>
      <c r="C80" s="1" t="e">
        <f t="shared" si="13"/>
        <v>#VALUE!</v>
      </c>
      <c r="D80" s="2" t="e">
        <f t="shared" si="14"/>
        <v>#VALUE!</v>
      </c>
      <c r="E80" s="3" t="e">
        <f t="shared" si="15"/>
        <v>#VALUE!</v>
      </c>
      <c r="F80" s="3">
        <v>1</v>
      </c>
      <c r="G80" s="4" t="e">
        <f t="shared" si="16"/>
        <v>#VALUE!</v>
      </c>
      <c r="H80" s="2" t="e">
        <f>AVERAGEIF([1]个股!$Q$9:$Q$2788,[1]行业!$B94,[1]个股!BC$9:BC$2788)</f>
        <v>#VALUE!</v>
      </c>
      <c r="I80" s="2" t="e">
        <f>AVERAGEIF([1]个股!$Q$9:$Q$2788,[1]行业!$B94,[1]个股!BD$9:BD$2788)</f>
        <v>#VALUE!</v>
      </c>
      <c r="J80" s="2" t="e">
        <f>AVERAGEIF([1]个股!$Q$9:$Q$2788,[1]行业!$B94,[1]个股!BE$9:BE$2788)</f>
        <v>#VALUE!</v>
      </c>
      <c r="K80" s="2" t="e">
        <f>AVERAGEIF([1]个股!$Q$9:$Q$2788,[1]行业!$B94,[1]个股!BF$9:BF$2788)</f>
        <v>#VALUE!</v>
      </c>
      <c r="L80" s="2" t="e">
        <f>AVERAGEIF([1]个股!$Q$9:$Q$2788,[1]行业!$B94,[1]个股!BG$9:BG$2788)</f>
        <v>#VALUE!</v>
      </c>
      <c r="M80" s="5" t="e">
        <f>SUMIF([1]个股!$Q$9:$Q$2788,B80,[1]个股!$M$9:$M$2788)</f>
        <v>#VALUE!</v>
      </c>
      <c r="N80" s="6" t="e">
        <f>SUMIF([1]个股!$Q$9:$Q$2788,B80,[1]个股!$N$9:$N$2788)</f>
        <v>#VALUE!</v>
      </c>
      <c r="O80" s="7" t="e">
        <f t="shared" si="17"/>
        <v>#VALUE!</v>
      </c>
      <c r="P80" t="e">
        <f t="shared" ca="1" si="18"/>
        <v>#NAME?</v>
      </c>
      <c r="Q80" t="str">
        <f t="shared" si="12"/>
        <v>行业3 纸与林木产品</v>
      </c>
    </row>
    <row r="81" spans="1:17">
      <c r="A81" t="s">
        <v>69</v>
      </c>
      <c r="B81" s="14" t="s">
        <v>114</v>
      </c>
      <c r="C81" s="1" t="e">
        <f t="shared" si="13"/>
        <v>#VALUE!</v>
      </c>
      <c r="D81" s="2" t="e">
        <f t="shared" si="14"/>
        <v>#VALUE!</v>
      </c>
      <c r="E81" s="3" t="e">
        <f t="shared" si="15"/>
        <v>#VALUE!</v>
      </c>
      <c r="F81" s="3">
        <v>1</v>
      </c>
      <c r="G81" s="4" t="e">
        <f t="shared" si="16"/>
        <v>#VALUE!</v>
      </c>
      <c r="H81" s="2" t="e">
        <f>AVERAGEIF([1]个股!$Q$9:$Q$2788,[1]行业!$B53,[1]个股!BC$9:BC$2788)</f>
        <v>#VALUE!</v>
      </c>
      <c r="I81" s="2" t="e">
        <f>AVERAGEIF([1]个股!$Q$9:$Q$2788,[1]行业!$B53,[1]个股!BD$9:BD$2788)</f>
        <v>#VALUE!</v>
      </c>
      <c r="J81" s="2" t="e">
        <f>AVERAGEIF([1]个股!$Q$9:$Q$2788,[1]行业!$B53,[1]个股!BE$9:BE$2788)</f>
        <v>#VALUE!</v>
      </c>
      <c r="K81" s="2" t="e">
        <f>AVERAGEIF([1]个股!$Q$9:$Q$2788,[1]行业!$B53,[1]个股!BF$9:BF$2788)</f>
        <v>#VALUE!</v>
      </c>
      <c r="L81" s="2" t="e">
        <f>AVERAGEIF([1]个股!$Q$9:$Q$2788,[1]行业!$B53,[1]个股!BG$9:BG$2788)</f>
        <v>#VALUE!</v>
      </c>
      <c r="M81" s="5" t="e">
        <f>SUMIF([1]个股!$Q$9:$Q$2788,B81,[1]个股!$M$9:$M$2788)</f>
        <v>#VALUE!</v>
      </c>
      <c r="N81" s="6" t="e">
        <f>SUMIF([1]个股!$Q$9:$Q$2788,B81,[1]个股!$N$9:$N$2788)</f>
        <v>#VALUE!</v>
      </c>
      <c r="O81" s="7" t="e">
        <f t="shared" si="17"/>
        <v>#VALUE!</v>
      </c>
      <c r="P81" t="e">
        <f t="shared" ca="1" si="18"/>
        <v>#NAME?</v>
      </c>
      <c r="Q81" t="str">
        <f t="shared" si="12"/>
        <v>行业3 海运Ⅲ</v>
      </c>
    </row>
    <row r="82" spans="1:17">
      <c r="A82" t="s">
        <v>69</v>
      </c>
      <c r="B82" s="14" t="s">
        <v>115</v>
      </c>
      <c r="C82" s="1" t="e">
        <f t="shared" si="13"/>
        <v>#VALUE!</v>
      </c>
      <c r="D82" s="2" t="e">
        <f t="shared" si="14"/>
        <v>#VALUE!</v>
      </c>
      <c r="E82" s="3" t="e">
        <f t="shared" si="15"/>
        <v>#VALUE!</v>
      </c>
      <c r="F82" s="3">
        <v>1</v>
      </c>
      <c r="G82" s="4" t="e">
        <f t="shared" si="16"/>
        <v>#VALUE!</v>
      </c>
      <c r="H82" s="2" t="e">
        <f>AVERAGEIF([1]个股!$Q$9:$Q$2788,[1]行业!$B91,[1]个股!BC$9:BC$2788)</f>
        <v>#VALUE!</v>
      </c>
      <c r="I82" s="2" t="e">
        <f>AVERAGEIF([1]个股!$Q$9:$Q$2788,[1]行业!$B91,[1]个股!BD$9:BD$2788)</f>
        <v>#VALUE!</v>
      </c>
      <c r="J82" s="2" t="e">
        <f>AVERAGEIF([1]个股!$Q$9:$Q$2788,[1]行业!$B91,[1]个股!BE$9:BE$2788)</f>
        <v>#VALUE!</v>
      </c>
      <c r="K82" s="2" t="e">
        <f>AVERAGEIF([1]个股!$Q$9:$Q$2788,[1]行业!$B91,[1]个股!BF$9:BF$2788)</f>
        <v>#VALUE!</v>
      </c>
      <c r="L82" s="2" t="e">
        <f>AVERAGEIF([1]个股!$Q$9:$Q$2788,[1]行业!$B91,[1]个股!BG$9:BG$2788)</f>
        <v>#VALUE!</v>
      </c>
      <c r="M82" s="5" t="e">
        <f>SUMIF([1]个股!$Q$9:$Q$2788,B82,[1]个股!$M$9:$M$2788)</f>
        <v>#VALUE!</v>
      </c>
      <c r="N82" s="6" t="e">
        <f>SUMIF([1]个股!$Q$9:$Q$2788,B82,[1]个股!$N$9:$N$2788)</f>
        <v>#VALUE!</v>
      </c>
      <c r="O82" s="7" t="e">
        <f t="shared" si="17"/>
        <v>#VALUE!</v>
      </c>
      <c r="P82" t="e">
        <f t="shared" ca="1" si="18"/>
        <v>#NAME?</v>
      </c>
      <c r="Q82" t="str">
        <f t="shared" si="12"/>
        <v>行业3 医疗保健设备与用品</v>
      </c>
    </row>
    <row r="83" spans="1:17">
      <c r="A83" t="s">
        <v>69</v>
      </c>
      <c r="B83" s="14" t="s">
        <v>116</v>
      </c>
      <c r="C83" s="1" t="e">
        <f t="shared" si="13"/>
        <v>#VALUE!</v>
      </c>
      <c r="D83" s="2" t="e">
        <f t="shared" si="14"/>
        <v>#VALUE!</v>
      </c>
      <c r="E83" s="3" t="e">
        <f t="shared" si="15"/>
        <v>#VALUE!</v>
      </c>
      <c r="F83" s="3">
        <v>1</v>
      </c>
      <c r="G83" s="4" t="e">
        <f t="shared" si="16"/>
        <v>#VALUE!</v>
      </c>
      <c r="H83" s="2" t="e">
        <f>AVERAGEIF([1]个股!$Q$9:$Q$2788,[1]行业!$B69,[1]个股!BC$9:BC$2788)</f>
        <v>#VALUE!</v>
      </c>
      <c r="I83" s="2" t="e">
        <f>AVERAGEIF([1]个股!$Q$9:$Q$2788,[1]行业!$B69,[1]个股!BD$9:BD$2788)</f>
        <v>#VALUE!</v>
      </c>
      <c r="J83" s="2" t="e">
        <f>AVERAGEIF([1]个股!$Q$9:$Q$2788,[1]行业!$B69,[1]个股!BE$9:BE$2788)</f>
        <v>#VALUE!</v>
      </c>
      <c r="K83" s="2" t="e">
        <f>AVERAGEIF([1]个股!$Q$9:$Q$2788,[1]行业!$B69,[1]个股!BF$9:BF$2788)</f>
        <v>#VALUE!</v>
      </c>
      <c r="L83" s="2" t="e">
        <f>AVERAGEIF([1]个股!$Q$9:$Q$2788,[1]行业!$B69,[1]个股!BG$9:BG$2788)</f>
        <v>#VALUE!</v>
      </c>
      <c r="M83" s="5" t="e">
        <f>SUMIF([1]个股!$Q$9:$Q$2788,B83,[1]个股!$M$9:$M$2788)</f>
        <v>#VALUE!</v>
      </c>
      <c r="N83" s="6" t="e">
        <f>SUMIF([1]个股!$Q$9:$Q$2788,B83,[1]个股!$N$9:$N$2788)</f>
        <v>#VALUE!</v>
      </c>
      <c r="O83" s="7" t="e">
        <f t="shared" si="17"/>
        <v>#VALUE!</v>
      </c>
      <c r="P83" t="e">
        <f t="shared" ca="1" si="18"/>
        <v>#NAME?</v>
      </c>
      <c r="Q83" t="str">
        <f t="shared" si="12"/>
        <v>行业3 贸易公司与工业品经销商Ⅲ</v>
      </c>
    </row>
    <row r="84" spans="1:17">
      <c r="A84" t="s">
        <v>69</v>
      </c>
      <c r="B84" s="14" t="s">
        <v>117</v>
      </c>
      <c r="C84" s="1" t="e">
        <f t="shared" si="13"/>
        <v>#VALUE!</v>
      </c>
      <c r="D84" s="2" t="e">
        <f t="shared" si="14"/>
        <v>#VALUE!</v>
      </c>
      <c r="E84" s="3" t="e">
        <f t="shared" si="15"/>
        <v>#VALUE!</v>
      </c>
      <c r="F84" s="3">
        <v>1</v>
      </c>
      <c r="G84" s="4" t="e">
        <f t="shared" si="16"/>
        <v>#VALUE!</v>
      </c>
      <c r="H84" s="2" t="e">
        <f>AVERAGEIF([1]个股!$Q$9:$Q$2788,[1]行业!$B50,[1]个股!BC$9:BC$2788)</f>
        <v>#VALUE!</v>
      </c>
      <c r="I84" s="2" t="e">
        <f>AVERAGEIF([1]个股!$Q$9:$Q$2788,[1]行业!$B50,[1]个股!BD$9:BD$2788)</f>
        <v>#VALUE!</v>
      </c>
      <c r="J84" s="2" t="e">
        <f>AVERAGEIF([1]个股!$Q$9:$Q$2788,[1]行业!$B50,[1]个股!BE$9:BE$2788)</f>
        <v>#VALUE!</v>
      </c>
      <c r="K84" s="2" t="e">
        <f>AVERAGEIF([1]个股!$Q$9:$Q$2788,[1]行业!$B50,[1]个股!BF$9:BF$2788)</f>
        <v>#VALUE!</v>
      </c>
      <c r="L84" s="2" t="e">
        <f>AVERAGEIF([1]个股!$Q$9:$Q$2788,[1]行业!$B50,[1]个股!BG$9:BG$2788)</f>
        <v>#VALUE!</v>
      </c>
      <c r="M84" s="5" t="e">
        <f>SUMIF([1]个股!$Q$9:$Q$2788,B84,[1]个股!$M$9:$M$2788)</f>
        <v>#VALUE!</v>
      </c>
      <c r="N84" s="6" t="e">
        <f>SUMIF([1]个股!$Q$9:$Q$2788,B84,[1]个股!$N$9:$N$2788)</f>
        <v>#VALUE!</v>
      </c>
      <c r="O84" s="7" t="e">
        <f t="shared" si="17"/>
        <v>#VALUE!</v>
      </c>
      <c r="P84" t="e">
        <f t="shared" ca="1" si="18"/>
        <v>#NAME?</v>
      </c>
      <c r="Q84" t="str">
        <f t="shared" si="12"/>
        <v>行业3 复合型公用事业Ⅲ</v>
      </c>
    </row>
    <row r="85" spans="1:17">
      <c r="A85" t="s">
        <v>69</v>
      </c>
      <c r="B85" s="14" t="s">
        <v>118</v>
      </c>
      <c r="C85" s="1" t="e">
        <f t="shared" si="13"/>
        <v>#VALUE!</v>
      </c>
      <c r="D85" s="2" t="e">
        <f t="shared" si="14"/>
        <v>#VALUE!</v>
      </c>
      <c r="E85" s="3" t="e">
        <f t="shared" si="15"/>
        <v>#VALUE!</v>
      </c>
      <c r="F85" s="3">
        <v>1</v>
      </c>
      <c r="G85" s="4" t="e">
        <f t="shared" si="16"/>
        <v>#VALUE!</v>
      </c>
      <c r="H85" s="2" t="e">
        <f>AVERAGEIF([1]个股!$Q$9:$Q$2788,[1]行业!$B41,[1]个股!BC$9:BC$2788)</f>
        <v>#VALUE!</v>
      </c>
      <c r="I85" s="2" t="e">
        <f>AVERAGEIF([1]个股!$Q$9:$Q$2788,[1]行业!$B41,[1]个股!BD$9:BD$2788)</f>
        <v>#VALUE!</v>
      </c>
      <c r="J85" s="2" t="e">
        <f>AVERAGEIF([1]个股!$Q$9:$Q$2788,[1]行业!$B41,[1]个股!BE$9:BE$2788)</f>
        <v>#VALUE!</v>
      </c>
      <c r="K85" s="2" t="e">
        <f>AVERAGEIF([1]个股!$Q$9:$Q$2788,[1]行业!$B41,[1]个股!BF$9:BF$2788)</f>
        <v>#VALUE!</v>
      </c>
      <c r="L85" s="2" t="e">
        <f>AVERAGEIF([1]个股!$Q$9:$Q$2788,[1]行业!$B41,[1]个股!BG$9:BG$2788)</f>
        <v>#VALUE!</v>
      </c>
      <c r="M85" s="5" t="e">
        <f>SUMIF([1]个股!$Q$9:$Q$2788,B85,[1]个股!$M$9:$M$2788)</f>
        <v>#VALUE!</v>
      </c>
      <c r="N85" s="6" t="e">
        <f>SUMIF([1]个股!$Q$9:$Q$2788,B85,[1]个股!$N$9:$N$2788)</f>
        <v>#VALUE!</v>
      </c>
      <c r="O85" s="7" t="e">
        <f t="shared" si="17"/>
        <v>#VALUE!</v>
      </c>
      <c r="P85" t="e">
        <f t="shared" ca="1" si="18"/>
        <v>#NAME?</v>
      </c>
      <c r="Q85" t="str">
        <f t="shared" si="12"/>
        <v>行业3 电脑与外围设备</v>
      </c>
    </row>
    <row r="86" spans="1:17">
      <c r="A86" t="s">
        <v>69</v>
      </c>
      <c r="B86" s="14" t="s">
        <v>119</v>
      </c>
      <c r="C86" s="1" t="e">
        <f t="shared" si="13"/>
        <v>#VALUE!</v>
      </c>
      <c r="D86" s="2" t="e">
        <f t="shared" si="14"/>
        <v>#VALUE!</v>
      </c>
      <c r="E86" s="3" t="e">
        <f t="shared" si="15"/>
        <v>#VALUE!</v>
      </c>
      <c r="F86" s="3">
        <v>0.8</v>
      </c>
      <c r="G86" s="4" t="e">
        <f t="shared" si="16"/>
        <v>#VALUE!</v>
      </c>
      <c r="H86" s="2" t="e">
        <f>AVERAGEIF([1]个股!$Q$9:$Q$2788,[1]行业!$B67,[1]个股!BC$9:BC$2788)</f>
        <v>#VALUE!</v>
      </c>
      <c r="I86" s="2" t="e">
        <f>AVERAGEIF([1]个股!$Q$9:$Q$2788,[1]行业!$B67,[1]个股!BD$9:BD$2788)</f>
        <v>#VALUE!</v>
      </c>
      <c r="J86" s="2" t="e">
        <f>AVERAGEIF([1]个股!$Q$9:$Q$2788,[1]行业!$B67,[1]个股!BE$9:BE$2788)</f>
        <v>#VALUE!</v>
      </c>
      <c r="K86" s="2" t="e">
        <f>AVERAGEIF([1]个股!$Q$9:$Q$2788,[1]行业!$B67,[1]个股!BF$9:BF$2788)</f>
        <v>#VALUE!</v>
      </c>
      <c r="L86" s="2" t="e">
        <f>AVERAGEIF([1]个股!$Q$9:$Q$2788,[1]行业!$B67,[1]个股!BG$9:BG$2788)</f>
        <v>#VALUE!</v>
      </c>
      <c r="M86" s="5" t="e">
        <f>SUMIF([1]个股!$Q$9:$Q$2788,B86,[1]个股!$M$9:$M$2788)</f>
        <v>#VALUE!</v>
      </c>
      <c r="N86" s="6" t="e">
        <f>SUMIF([1]个股!$Q$9:$Q$2788,B86,[1]个股!$N$9:$N$2788)</f>
        <v>#VALUE!</v>
      </c>
      <c r="O86" s="7" t="e">
        <f t="shared" si="17"/>
        <v>#VALUE!</v>
      </c>
      <c r="P86" t="e">
        <f t="shared" ca="1" si="18"/>
        <v>#NAME?</v>
      </c>
      <c r="Q86" t="str">
        <f t="shared" si="12"/>
        <v>行业3 金属、非金属与采矿</v>
      </c>
    </row>
    <row r="87" spans="1:17">
      <c r="A87" t="s">
        <v>69</v>
      </c>
      <c r="B87" s="14" t="s">
        <v>120</v>
      </c>
      <c r="C87" s="1" t="e">
        <f t="shared" si="13"/>
        <v>#VALUE!</v>
      </c>
      <c r="D87" s="2" t="e">
        <f t="shared" si="14"/>
        <v>#VALUE!</v>
      </c>
      <c r="E87" s="3" t="e">
        <f t="shared" si="15"/>
        <v>#VALUE!</v>
      </c>
      <c r="F87" s="3">
        <v>1</v>
      </c>
      <c r="G87" s="4" t="e">
        <f t="shared" si="16"/>
        <v>#VALUE!</v>
      </c>
      <c r="H87" s="2" t="e">
        <f>AVERAGEIF([1]个股!$Q$9:$Q$2788,[1]行业!$B92,[1]个股!BC$9:BC$2788)</f>
        <v>#VALUE!</v>
      </c>
      <c r="I87" s="2" t="e">
        <f>AVERAGEIF([1]个股!$Q$9:$Q$2788,[1]行业!$B92,[1]个股!BD$9:BD$2788)</f>
        <v>#VALUE!</v>
      </c>
      <c r="J87" s="2" t="e">
        <f>AVERAGEIF([1]个股!$Q$9:$Q$2788,[1]行业!$B92,[1]个股!BE$9:BE$2788)</f>
        <v>#VALUE!</v>
      </c>
      <c r="K87" s="2" t="e">
        <f>AVERAGEIF([1]个股!$Q$9:$Q$2788,[1]行业!$B92,[1]个股!BF$9:BF$2788)</f>
        <v>#VALUE!</v>
      </c>
      <c r="L87" s="2" t="e">
        <f>AVERAGEIF([1]个股!$Q$9:$Q$2788,[1]行业!$B92,[1]个股!BG$9:BG$2788)</f>
        <v>#VALUE!</v>
      </c>
      <c r="M87" s="5" t="e">
        <f>SUMIF([1]个股!$Q$9:$Q$2788,B87,[1]个股!$M$9:$M$2788)</f>
        <v>#VALUE!</v>
      </c>
      <c r="N87" s="6" t="e">
        <f>SUMIF([1]个股!$Q$9:$Q$2788,B87,[1]个股!$N$9:$N$2788)</f>
        <v>#VALUE!</v>
      </c>
      <c r="O87" s="7" t="e">
        <f t="shared" si="17"/>
        <v>#VALUE!</v>
      </c>
      <c r="P87" t="e">
        <f t="shared" ca="1" si="18"/>
        <v>#NAME?</v>
      </c>
      <c r="Q87" t="str">
        <f t="shared" ref="Q87:Q150" si="19">A87&amp;" "&amp;B87</f>
        <v>行业3 医疗保健提供商与服务</v>
      </c>
    </row>
    <row r="88" spans="1:17">
      <c r="A88" t="s">
        <v>78</v>
      </c>
      <c r="B88" s="14" t="s">
        <v>121</v>
      </c>
      <c r="C88" s="1" t="e">
        <f t="shared" si="13"/>
        <v>#VALUE!</v>
      </c>
      <c r="D88" s="2" t="e">
        <f t="shared" si="14"/>
        <v>#VALUE!</v>
      </c>
      <c r="E88" s="3" t="e">
        <f t="shared" si="15"/>
        <v>#VALUE!</v>
      </c>
      <c r="F88" s="3">
        <v>1</v>
      </c>
      <c r="G88" s="4" t="e">
        <f t="shared" si="16"/>
        <v>#VALUE!</v>
      </c>
      <c r="H88" s="2" t="e">
        <f>AVERAGEIF([1]个股!$Q$9:$Q$2788,[1]行业!$B38,[1]个股!BC$9:BC$2788)</f>
        <v>#VALUE!</v>
      </c>
      <c r="I88" s="2" t="e">
        <f>AVERAGEIF([1]个股!$Q$9:$Q$2788,[1]行业!$B38,[1]个股!BD$9:BD$2788)</f>
        <v>#VALUE!</v>
      </c>
      <c r="J88" s="2" t="e">
        <f>AVERAGEIF([1]个股!$Q$9:$Q$2788,[1]行业!$B38,[1]个股!BE$9:BE$2788)</f>
        <v>#VALUE!</v>
      </c>
      <c r="K88" s="2" t="e">
        <f>AVERAGEIF([1]个股!$Q$9:$Q$2788,[1]行业!$B38,[1]个股!BF$9:BF$2788)</f>
        <v>#VALUE!</v>
      </c>
      <c r="L88" s="2" t="e">
        <f>AVERAGEIF([1]个股!$Q$9:$Q$2788,[1]行业!$B38,[1]个股!BG$9:BG$2788)</f>
        <v>#VALUE!</v>
      </c>
      <c r="M88" s="5" t="e">
        <f>SUMIF([1]个股!$Q$9:$Q$2788,B88,[1]个股!$M$9:$M$2788)</f>
        <v>#VALUE!</v>
      </c>
      <c r="N88" s="6" t="e">
        <f>SUMIF([1]个股!$Q$9:$Q$2788,B88,[1]个股!$N$9:$N$2788)</f>
        <v>#VALUE!</v>
      </c>
      <c r="O88" s="7" t="e">
        <f t="shared" si="17"/>
        <v>#VALUE!</v>
      </c>
      <c r="P88" t="e">
        <f t="shared" ca="1" si="18"/>
        <v>#NAME?</v>
      </c>
      <c r="Q88" t="str">
        <f t="shared" si="19"/>
        <v>行业3 半导体产品与半导体设备</v>
      </c>
    </row>
    <row r="89" spans="1:17">
      <c r="A89" t="s">
        <v>69</v>
      </c>
      <c r="B89" s="14" t="s">
        <v>122</v>
      </c>
      <c r="C89" s="1" t="e">
        <f t="shared" si="13"/>
        <v>#VALUE!</v>
      </c>
      <c r="D89" s="2" t="e">
        <f t="shared" si="14"/>
        <v>#VALUE!</v>
      </c>
      <c r="E89" s="3" t="e">
        <f t="shared" si="15"/>
        <v>#VALUE!</v>
      </c>
      <c r="F89" s="3">
        <v>1</v>
      </c>
      <c r="G89" s="4" t="e">
        <f t="shared" si="16"/>
        <v>#VALUE!</v>
      </c>
      <c r="H89" s="2" t="e">
        <f>AVERAGEIF([1]个股!$Q$9:$Q$2788,[1]行业!$B97,[1]个股!BC$9:BC$2788)</f>
        <v>#VALUE!</v>
      </c>
      <c r="I89" s="2" t="e">
        <f>AVERAGEIF([1]个股!$Q$9:$Q$2788,[1]行业!$B97,[1]个股!BD$9:BD$2788)</f>
        <v>#VALUE!</v>
      </c>
      <c r="J89" s="2" t="e">
        <f>AVERAGEIF([1]个股!$Q$9:$Q$2788,[1]行业!$B97,[1]个股!BE$9:BE$2788)</f>
        <v>#VALUE!</v>
      </c>
      <c r="K89" s="2" t="e">
        <f>AVERAGEIF([1]个股!$Q$9:$Q$2788,[1]行业!$B97,[1]个股!BF$9:BF$2788)</f>
        <v>#VALUE!</v>
      </c>
      <c r="L89" s="2" t="e">
        <f>AVERAGEIF([1]个股!$Q$9:$Q$2788,[1]行业!$B97,[1]个股!BG$9:BG$2788)</f>
        <v>#VALUE!</v>
      </c>
      <c r="M89" s="5" t="e">
        <f>SUMIF([1]个股!$Q$9:$Q$2788,B89,[1]个股!$M$9:$M$2788)</f>
        <v>#VALUE!</v>
      </c>
      <c r="N89" s="6" t="e">
        <f>SUMIF([1]个股!$Q$9:$Q$2788,B89,[1]个股!$N$9:$N$2788)</f>
        <v>#VALUE!</v>
      </c>
      <c r="O89" s="7" t="e">
        <f t="shared" si="17"/>
        <v>#VALUE!</v>
      </c>
      <c r="P89" t="e">
        <f t="shared" ca="1" si="18"/>
        <v>#NAME?</v>
      </c>
      <c r="Q89" t="str">
        <f t="shared" si="19"/>
        <v>行业3 专营零售</v>
      </c>
    </row>
    <row r="90" spans="1:17">
      <c r="A90" t="s">
        <v>69</v>
      </c>
      <c r="B90" s="14" t="s">
        <v>123</v>
      </c>
      <c r="C90" s="1" t="e">
        <f t="shared" si="13"/>
        <v>#VALUE!</v>
      </c>
      <c r="D90" s="2" t="e">
        <f t="shared" si="14"/>
        <v>#VALUE!</v>
      </c>
      <c r="E90" s="3" t="e">
        <f t="shared" si="15"/>
        <v>#VALUE!</v>
      </c>
      <c r="F90" s="3">
        <v>0.8</v>
      </c>
      <c r="G90" s="4" t="e">
        <f t="shared" si="16"/>
        <v>#VALUE!</v>
      </c>
      <c r="H90" s="2" t="e">
        <f>AVERAGEIF([1]个股!$Q$9:$Q$2788,[1]行业!$B81,[1]个股!BC$9:BC$2788)</f>
        <v>#VALUE!</v>
      </c>
      <c r="I90" s="2" t="e">
        <f>AVERAGEIF([1]个股!$Q$9:$Q$2788,[1]行业!$B81,[1]个股!BD$9:BD$2788)</f>
        <v>#VALUE!</v>
      </c>
      <c r="J90" s="2" t="e">
        <f>AVERAGEIF([1]个股!$Q$9:$Q$2788,[1]行业!$B81,[1]个股!BE$9:BE$2788)</f>
        <v>#VALUE!</v>
      </c>
      <c r="K90" s="2" t="e">
        <f>AVERAGEIF([1]个股!$Q$9:$Q$2788,[1]行业!$B81,[1]个股!BF$9:BF$2788)</f>
        <v>#VALUE!</v>
      </c>
      <c r="L90" s="2" t="e">
        <f>AVERAGEIF([1]个股!$Q$9:$Q$2788,[1]行业!$B81,[1]个股!BG$9:BG$2788)</f>
        <v>#VALUE!</v>
      </c>
      <c r="M90" s="5" t="e">
        <f>SUMIF([1]个股!$Q$9:$Q$2788,B90,[1]个股!$M$9:$M$2788)</f>
        <v>#VALUE!</v>
      </c>
      <c r="N90" s="6" t="e">
        <f>SUMIF([1]个股!$Q$9:$Q$2788,B90,[1]个股!$N$9:$N$2788)</f>
        <v>#VALUE!</v>
      </c>
      <c r="O90" s="7" t="e">
        <f t="shared" si="17"/>
        <v>#VALUE!</v>
      </c>
      <c r="P90" t="e">
        <f t="shared" ca="1" si="18"/>
        <v>#NAME?</v>
      </c>
      <c r="Q90" t="str">
        <f t="shared" si="19"/>
        <v>行业3 石油、天然气与供消费用燃料</v>
      </c>
    </row>
    <row r="91" spans="1:17">
      <c r="A91" t="s">
        <v>69</v>
      </c>
      <c r="B91" s="14" t="s">
        <v>124</v>
      </c>
      <c r="C91" s="1" t="e">
        <f t="shared" si="13"/>
        <v>#VALUE!</v>
      </c>
      <c r="D91" s="2" t="e">
        <f t="shared" si="14"/>
        <v>#VALUE!</v>
      </c>
      <c r="E91" s="3" t="e">
        <f t="shared" si="15"/>
        <v>#VALUE!</v>
      </c>
      <c r="F91" s="3">
        <v>1</v>
      </c>
      <c r="G91" s="4" t="e">
        <f t="shared" si="16"/>
        <v>#VALUE!</v>
      </c>
      <c r="H91" s="2" t="e">
        <f>AVERAGEIF([1]个股!$Q$9:$Q$2788,[1]行业!$B90,[1]个股!BC$9:BC$2788)</f>
        <v>#VALUE!</v>
      </c>
      <c r="I91" s="2" t="e">
        <f>AVERAGEIF([1]个股!$Q$9:$Q$2788,[1]行业!$B90,[1]个股!BD$9:BD$2788)</f>
        <v>#VALUE!</v>
      </c>
      <c r="J91" s="2" t="e">
        <f>AVERAGEIF([1]个股!$Q$9:$Q$2788,[1]行业!$B90,[1]个股!BE$9:BE$2788)</f>
        <v>#VALUE!</v>
      </c>
      <c r="K91" s="2" t="e">
        <f>AVERAGEIF([1]个股!$Q$9:$Q$2788,[1]行业!$B90,[1]个股!BF$9:BF$2788)</f>
        <v>#VALUE!</v>
      </c>
      <c r="L91" s="2" t="e">
        <f>AVERAGEIF([1]个股!$Q$9:$Q$2788,[1]行业!$B90,[1]个股!BG$9:BG$2788)</f>
        <v>#VALUE!</v>
      </c>
      <c r="M91" s="5" t="e">
        <f>SUMIF([1]个股!$Q$9:$Q$2788,B91,[1]个股!$M$9:$M$2788)</f>
        <v>#VALUE!</v>
      </c>
      <c r="N91" s="6" t="e">
        <f>SUMIF([1]个股!$Q$9:$Q$2788,B91,[1]个股!$N$9:$N$2788)</f>
        <v>#VALUE!</v>
      </c>
      <c r="O91" s="7" t="e">
        <f t="shared" si="17"/>
        <v>#VALUE!</v>
      </c>
      <c r="P91" t="e">
        <f t="shared" ca="1" si="18"/>
        <v>#NAME?</v>
      </c>
      <c r="Q91" t="str">
        <f t="shared" si="19"/>
        <v>行业3 医疗保健技术Ⅲ</v>
      </c>
    </row>
    <row r="92" spans="1:17">
      <c r="A92" t="s">
        <v>69</v>
      </c>
      <c r="B92" s="14" t="s">
        <v>125</v>
      </c>
      <c r="C92" s="1" t="e">
        <f t="shared" si="13"/>
        <v>#VALUE!</v>
      </c>
      <c r="D92" s="2" t="e">
        <f t="shared" si="14"/>
        <v>#VALUE!</v>
      </c>
      <c r="E92" s="3" t="e">
        <f t="shared" si="15"/>
        <v>#VALUE!</v>
      </c>
      <c r="F92" s="3">
        <v>1</v>
      </c>
      <c r="G92" s="4" t="e">
        <f t="shared" si="16"/>
        <v>#VALUE!</v>
      </c>
      <c r="H92" s="2" t="e">
        <f>AVERAGEIF([1]个股!$Q$9:$Q$2788,[1]行业!$B99,[1]个股!BC$9:BC$2788)</f>
        <v>#VALUE!</v>
      </c>
      <c r="I92" s="2" t="e">
        <f>AVERAGEIF([1]个股!$Q$9:$Q$2788,[1]行业!$B99,[1]个股!BD$9:BD$2788)</f>
        <v>#VALUE!</v>
      </c>
      <c r="J92" s="2" t="e">
        <f>AVERAGEIF([1]个股!$Q$9:$Q$2788,[1]行业!$B99,[1]个股!BE$9:BE$2788)</f>
        <v>#VALUE!</v>
      </c>
      <c r="K92" s="2" t="e">
        <f>AVERAGEIF([1]个股!$Q$9:$Q$2788,[1]行业!$B99,[1]个股!BF$9:BF$2788)</f>
        <v>#VALUE!</v>
      </c>
      <c r="L92" s="2" t="e">
        <f>AVERAGEIF([1]个股!$Q$9:$Q$2788,[1]行业!$B99,[1]个股!BG$9:BG$2788)</f>
        <v>#VALUE!</v>
      </c>
      <c r="M92" s="5" t="e">
        <f>SUMIF([1]个股!$Q$9:$Q$2788,B92,[1]个股!$M$9:$M$2788)</f>
        <v>#VALUE!</v>
      </c>
      <c r="N92" s="6" t="e">
        <f>SUMIF([1]个股!$Q$9:$Q$2788,B92,[1]个股!$N$9:$N$2788)</f>
        <v>#VALUE!</v>
      </c>
      <c r="O92" s="7" t="e">
        <f t="shared" si="17"/>
        <v>#VALUE!</v>
      </c>
      <c r="P92" t="e">
        <f t="shared" ca="1" si="18"/>
        <v>#NAME?</v>
      </c>
      <c r="Q92" t="str">
        <f t="shared" si="19"/>
        <v>行业3 综合类Ⅲ</v>
      </c>
    </row>
    <row r="93" spans="1:17">
      <c r="A93" t="s">
        <v>69</v>
      </c>
      <c r="B93" s="14" t="s">
        <v>126</v>
      </c>
      <c r="C93" s="1" t="e">
        <f t="shared" si="13"/>
        <v>#VALUE!</v>
      </c>
      <c r="D93" s="2" t="e">
        <f t="shared" si="14"/>
        <v>#VALUE!</v>
      </c>
      <c r="E93" s="3" t="e">
        <f t="shared" si="15"/>
        <v>#VALUE!</v>
      </c>
      <c r="F93" s="3">
        <v>1</v>
      </c>
      <c r="G93" s="4" t="e">
        <f t="shared" si="16"/>
        <v>#VALUE!</v>
      </c>
      <c r="H93" s="2" t="e">
        <f>AVERAGEIF([1]个股!$Q$9:$Q$2788,[1]行业!$B89,[1]个股!BC$9:BC$2788)</f>
        <v>#VALUE!</v>
      </c>
      <c r="I93" s="2" t="e">
        <f>AVERAGEIF([1]个股!$Q$9:$Q$2788,[1]行业!$B89,[1]个股!BD$9:BD$2788)</f>
        <v>#VALUE!</v>
      </c>
      <c r="J93" s="2" t="e">
        <f>AVERAGEIF([1]个股!$Q$9:$Q$2788,[1]行业!$B89,[1]个股!BE$9:BE$2788)</f>
        <v>#VALUE!</v>
      </c>
      <c r="K93" s="2" t="e">
        <f>AVERAGEIF([1]个股!$Q$9:$Q$2788,[1]行业!$B89,[1]个股!BF$9:BF$2788)</f>
        <v>#VALUE!</v>
      </c>
      <c r="L93" s="2" t="e">
        <f>AVERAGEIF([1]个股!$Q$9:$Q$2788,[1]行业!$B89,[1]个股!BG$9:BG$2788)</f>
        <v>#VALUE!</v>
      </c>
      <c r="M93" s="5" t="e">
        <f>SUMIF([1]个股!$Q$9:$Q$2788,B93,[1]个股!$M$9:$M$2788)</f>
        <v>#VALUE!</v>
      </c>
      <c r="N93" s="6" t="e">
        <f>SUMIF([1]个股!$Q$9:$Q$2788,B93,[1]个股!$N$9:$N$2788)</f>
        <v>#VALUE!</v>
      </c>
      <c r="O93" s="7" t="e">
        <f t="shared" si="17"/>
        <v>#VALUE!</v>
      </c>
      <c r="P93" t="e">
        <f t="shared" ca="1" si="18"/>
        <v>#NAME?</v>
      </c>
      <c r="Q93" t="str">
        <f t="shared" si="19"/>
        <v>行业3 休闲设备与用品</v>
      </c>
    </row>
    <row r="94" spans="1:17">
      <c r="A94" t="s">
        <v>69</v>
      </c>
      <c r="B94" s="14" t="s">
        <v>127</v>
      </c>
      <c r="C94" s="1" t="e">
        <f t="shared" si="13"/>
        <v>#VALUE!</v>
      </c>
      <c r="D94" s="2" t="e">
        <f t="shared" si="14"/>
        <v>#VALUE!</v>
      </c>
      <c r="E94" s="3" t="e">
        <f t="shared" si="15"/>
        <v>#VALUE!</v>
      </c>
      <c r="F94" s="3">
        <v>1</v>
      </c>
      <c r="G94" s="4" t="e">
        <f t="shared" si="16"/>
        <v>#VALUE!</v>
      </c>
      <c r="H94" s="2" t="e">
        <f>AVERAGEIF([1]个股!$Q$9:$Q$2788,[1]行业!$B100,[1]个股!BC$9:BC$2788)</f>
        <v>#VALUE!</v>
      </c>
      <c r="I94" s="2" t="e">
        <f>AVERAGEIF([1]个股!$Q$9:$Q$2788,[1]行业!$B100,[1]个股!BD$9:BD$2788)</f>
        <v>#VALUE!</v>
      </c>
      <c r="J94" s="2" t="e">
        <f>AVERAGEIF([1]个股!$Q$9:$Q$2788,[1]行业!$B100,[1]个股!BE$9:BE$2788)</f>
        <v>#VALUE!</v>
      </c>
      <c r="K94" s="2" t="e">
        <f>AVERAGEIF([1]个股!$Q$9:$Q$2788,[1]行业!$B100,[1]个股!BF$9:BF$2788)</f>
        <v>#VALUE!</v>
      </c>
      <c r="L94" s="2" t="e">
        <f>AVERAGEIF([1]个股!$Q$9:$Q$2788,[1]行业!$B100,[1]个股!BG$9:BG$2788)</f>
        <v>#VALUE!</v>
      </c>
      <c r="M94" s="5" t="e">
        <f>SUMIF([1]个股!$Q$9:$Q$2788,B94,[1]个股!$M$9:$M$2788)</f>
        <v>#VALUE!</v>
      </c>
      <c r="N94" s="6" t="e">
        <f>SUMIF([1]个股!$Q$9:$Q$2788,B94,[1]个股!$N$9:$N$2788)</f>
        <v>#VALUE!</v>
      </c>
      <c r="O94" s="7" t="e">
        <f t="shared" si="17"/>
        <v>#VALUE!</v>
      </c>
      <c r="P94" t="e">
        <f t="shared" ca="1" si="18"/>
        <v>#NAME?</v>
      </c>
      <c r="Q94" t="str">
        <f t="shared" si="19"/>
        <v>行业3 综合消费者服务Ⅲ</v>
      </c>
    </row>
    <row r="95" spans="1:17">
      <c r="A95" t="s">
        <v>69</v>
      </c>
      <c r="B95" s="14" t="s">
        <v>128</v>
      </c>
      <c r="C95" s="1" t="e">
        <f t="shared" si="13"/>
        <v>#VALUE!</v>
      </c>
      <c r="D95" s="2" t="e">
        <f t="shared" si="14"/>
        <v>#VALUE!</v>
      </c>
      <c r="E95" s="3" t="e">
        <f t="shared" si="15"/>
        <v>#VALUE!</v>
      </c>
      <c r="F95" s="3">
        <v>1</v>
      </c>
      <c r="G95" s="4" t="e">
        <f t="shared" si="16"/>
        <v>#VALUE!</v>
      </c>
      <c r="H95" s="2" t="e">
        <f>AVERAGEIF([1]个股!$Q$9:$Q$2788,[1]行业!$B87,[1]个股!BC$9:BC$2788)</f>
        <v>#VALUE!</v>
      </c>
      <c r="I95" s="2" t="e">
        <f>AVERAGEIF([1]个股!$Q$9:$Q$2788,[1]行业!$B87,[1]个股!BD$9:BD$2788)</f>
        <v>#VALUE!</v>
      </c>
      <c r="J95" s="2" t="e">
        <f>AVERAGEIF([1]个股!$Q$9:$Q$2788,[1]行业!$B87,[1]个股!BE$9:BE$2788)</f>
        <v>#VALUE!</v>
      </c>
      <c r="K95" s="2" t="e">
        <f>AVERAGEIF([1]个股!$Q$9:$Q$2788,[1]行业!$B87,[1]个股!BF$9:BF$2788)</f>
        <v>#VALUE!</v>
      </c>
      <c r="L95" s="2" t="e">
        <f>AVERAGEIF([1]个股!$Q$9:$Q$2788,[1]行业!$B87,[1]个股!BG$9:BG$2788)</f>
        <v>#VALUE!</v>
      </c>
      <c r="M95" s="5" t="e">
        <f>SUMIF([1]个股!$Q$9:$Q$2788,B95,[1]个股!$M$9:$M$2788)</f>
        <v>#VALUE!</v>
      </c>
      <c r="N95" s="6" t="e">
        <f>SUMIF([1]个股!$Q$9:$Q$2788,B95,[1]个股!$N$9:$N$2788)</f>
        <v>#VALUE!</v>
      </c>
      <c r="O95" s="7" t="e">
        <f t="shared" si="17"/>
        <v>#VALUE!</v>
      </c>
      <c r="P95" t="e">
        <f t="shared" ca="1" si="18"/>
        <v>#NAME?</v>
      </c>
      <c r="Q95" t="str">
        <f t="shared" si="19"/>
        <v>行业3 消费品经销商Ⅲ</v>
      </c>
    </row>
    <row r="96" spans="1:17">
      <c r="A96" t="s">
        <v>69</v>
      </c>
      <c r="B96" s="14" t="s">
        <v>129</v>
      </c>
      <c r="C96" s="1" t="e">
        <f t="shared" si="13"/>
        <v>#VALUE!</v>
      </c>
      <c r="D96" s="2" t="e">
        <f t="shared" si="14"/>
        <v>#VALUE!</v>
      </c>
      <c r="E96" s="3" t="e">
        <f t="shared" si="15"/>
        <v>#VALUE!</v>
      </c>
      <c r="F96" s="3">
        <v>0.6</v>
      </c>
      <c r="G96" s="4" t="e">
        <f t="shared" si="16"/>
        <v>#VALUE!</v>
      </c>
      <c r="H96" s="2" t="e">
        <f>AVERAGEIF([1]个股!$Q$9:$Q$2788,[1]行业!$B47,[1]个股!BC$9:BC$2788)</f>
        <v>#VALUE!</v>
      </c>
      <c r="I96" s="2" t="e">
        <f>AVERAGEIF([1]个股!$Q$9:$Q$2788,[1]行业!$B47,[1]个股!BD$9:BD$2788)</f>
        <v>#VALUE!</v>
      </c>
      <c r="J96" s="2" t="e">
        <f>AVERAGEIF([1]个股!$Q$9:$Q$2788,[1]行业!$B47,[1]个股!BE$9:BE$2788)</f>
        <v>#VALUE!</v>
      </c>
      <c r="K96" s="2" t="e">
        <f>AVERAGEIF([1]个股!$Q$9:$Q$2788,[1]行业!$B47,[1]个股!BF$9:BF$2788)</f>
        <v>#VALUE!</v>
      </c>
      <c r="L96" s="2" t="e">
        <f>AVERAGEIF([1]个股!$Q$9:$Q$2788,[1]行业!$B47,[1]个股!BG$9:BG$2788)</f>
        <v>#VALUE!</v>
      </c>
      <c r="M96" s="5" t="e">
        <f>SUMIF([1]个股!$Q$9:$Q$2788,B96,[1]个股!$M$9:$M$2788)</f>
        <v>#VALUE!</v>
      </c>
      <c r="N96" s="6" t="e">
        <f>SUMIF([1]个股!$Q$9:$Q$2788,B96,[1]个股!$N$9:$N$2788)</f>
        <v>#VALUE!</v>
      </c>
      <c r="O96" s="7" t="e">
        <f t="shared" si="17"/>
        <v>#VALUE!</v>
      </c>
      <c r="P96" t="e">
        <f t="shared" ca="1" si="18"/>
        <v>#NAME?</v>
      </c>
      <c r="Q96" t="str">
        <f t="shared" si="19"/>
        <v>行业3 多元金融服务</v>
      </c>
    </row>
    <row r="97" spans="1:27">
      <c r="A97" t="s">
        <v>69</v>
      </c>
      <c r="B97" s="14" t="s">
        <v>130</v>
      </c>
      <c r="C97" s="1" t="e">
        <f t="shared" si="13"/>
        <v>#VALUE!</v>
      </c>
      <c r="D97" s="2" t="e">
        <f t="shared" si="14"/>
        <v>#VALUE!</v>
      </c>
      <c r="E97" s="3" t="e">
        <f t="shared" si="15"/>
        <v>#VALUE!</v>
      </c>
      <c r="F97" s="3">
        <v>1</v>
      </c>
      <c r="G97" s="4" t="e">
        <f t="shared" si="16"/>
        <v>#VALUE!</v>
      </c>
      <c r="H97" s="2" t="e">
        <f>AVERAGEIF([1]个股!$Q$9:$Q$2788,[1]行业!$B62,[1]个股!BC$9:BC$2788)</f>
        <v>#VALUE!</v>
      </c>
      <c r="I97" s="2" t="e">
        <f>AVERAGEIF([1]个股!$Q$9:$Q$2788,[1]行业!$B62,[1]个股!BD$9:BD$2788)</f>
        <v>#VALUE!</v>
      </c>
      <c r="J97" s="2" t="e">
        <f>AVERAGEIF([1]个股!$Q$9:$Q$2788,[1]行业!$B62,[1]个股!BE$9:BE$2788)</f>
        <v>#VALUE!</v>
      </c>
      <c r="K97" s="2" t="e">
        <f>AVERAGEIF([1]个股!$Q$9:$Q$2788,[1]行业!$B62,[1]个股!BF$9:BF$2788)</f>
        <v>#VALUE!</v>
      </c>
      <c r="L97" s="2" t="e">
        <f>AVERAGEIF([1]个股!$Q$9:$Q$2788,[1]行业!$B62,[1]个股!BG$9:BG$2788)</f>
        <v>#VALUE!</v>
      </c>
      <c r="M97" s="5" t="e">
        <f>SUMIF([1]个股!$Q$9:$Q$2788,B97,[1]个股!$M$9:$M$2788)</f>
        <v>#VALUE!</v>
      </c>
      <c r="N97" s="6" t="e">
        <f>SUMIF([1]个股!$Q$9:$Q$2788,B97,[1]个股!$N$9:$N$2788)</f>
        <v>#VALUE!</v>
      </c>
      <c r="O97" s="7" t="e">
        <f t="shared" si="17"/>
        <v>#VALUE!</v>
      </c>
      <c r="P97" t="e">
        <f t="shared" ca="1" si="18"/>
        <v>#NAME?</v>
      </c>
      <c r="Q97" t="str">
        <f t="shared" si="19"/>
        <v>行业3 家庭用品Ⅲ</v>
      </c>
    </row>
    <row r="98" spans="1:27">
      <c r="A98" t="s">
        <v>69</v>
      </c>
      <c r="B98" s="14" t="s">
        <v>131</v>
      </c>
      <c r="C98" s="1" t="e">
        <f t="shared" si="13"/>
        <v>#VALUE!</v>
      </c>
      <c r="D98" s="2" t="e">
        <f t="shared" si="14"/>
        <v>#VALUE!</v>
      </c>
      <c r="E98" s="3" t="e">
        <f t="shared" si="15"/>
        <v>#VALUE!</v>
      </c>
      <c r="F98" s="3">
        <v>1</v>
      </c>
      <c r="G98" s="4" t="e">
        <f t="shared" si="16"/>
        <v>#VALUE!</v>
      </c>
      <c r="H98" s="2" t="e">
        <f>AVERAGEIF([1]个股!$Q$9:$Q$2788,[1]行业!$B86,[1]个股!BC$9:BC$2788)</f>
        <v>#VALUE!</v>
      </c>
      <c r="I98" s="2" t="e">
        <f>AVERAGEIF([1]个股!$Q$9:$Q$2788,[1]行业!$B86,[1]个股!BD$9:BD$2788)</f>
        <v>#VALUE!</v>
      </c>
      <c r="J98" s="2" t="e">
        <f>AVERAGEIF([1]个股!$Q$9:$Q$2788,[1]行业!$B86,[1]个股!BE$9:BE$2788)</f>
        <v>#VALUE!</v>
      </c>
      <c r="K98" s="2" t="e">
        <f>AVERAGEIF([1]个股!$Q$9:$Q$2788,[1]行业!$B86,[1]个股!BF$9:BF$2788)</f>
        <v>#VALUE!</v>
      </c>
      <c r="L98" s="2" t="e">
        <f>AVERAGEIF([1]个股!$Q$9:$Q$2788,[1]行业!$B86,[1]个股!BG$9:BG$2788)</f>
        <v>#VALUE!</v>
      </c>
      <c r="M98" s="5" t="e">
        <f>SUMIF([1]个股!$Q$9:$Q$2788,B98,[1]个股!$M$9:$M$2788)</f>
        <v>#VALUE!</v>
      </c>
      <c r="N98" s="6" t="e">
        <f>SUMIF([1]个股!$Q$9:$Q$2788,B98,[1]个股!$N$9:$N$2788)</f>
        <v>#VALUE!</v>
      </c>
      <c r="O98" s="7" t="e">
        <f t="shared" si="17"/>
        <v>#VALUE!</v>
      </c>
      <c r="P98" t="e">
        <f t="shared" ca="1" si="18"/>
        <v>#NAME?</v>
      </c>
      <c r="Q98" t="str">
        <f t="shared" si="19"/>
        <v>行业3 无线电信业务Ⅲ</v>
      </c>
    </row>
    <row r="99" spans="1:27">
      <c r="A99" t="s">
        <v>69</v>
      </c>
      <c r="B99" s="14" t="s">
        <v>132</v>
      </c>
      <c r="C99" s="1" t="e">
        <f t="shared" si="13"/>
        <v>#VALUE!</v>
      </c>
      <c r="D99" s="2" t="e">
        <f t="shared" si="14"/>
        <v>#VALUE!</v>
      </c>
      <c r="E99" s="3" t="e">
        <f t="shared" si="15"/>
        <v>#VALUE!</v>
      </c>
      <c r="F99" s="3">
        <v>1</v>
      </c>
      <c r="G99" s="4" t="e">
        <f t="shared" si="16"/>
        <v>#VALUE!</v>
      </c>
      <c r="H99" s="2" t="e">
        <f>AVERAGEIF([1]个股!$Q$9:$Q$2788,[1]行业!$B58,[1]个股!BC$9:BC$2788)</f>
        <v>#VALUE!</v>
      </c>
      <c r="I99" s="2" t="e">
        <f>AVERAGEIF([1]个股!$Q$9:$Q$2788,[1]行业!$B58,[1]个股!BD$9:BD$2788)</f>
        <v>#VALUE!</v>
      </c>
      <c r="J99" s="2" t="e">
        <f>AVERAGEIF([1]个股!$Q$9:$Q$2788,[1]行业!$B58,[1]个股!BE$9:BE$2788)</f>
        <v>#VALUE!</v>
      </c>
      <c r="K99" s="2" t="e">
        <f>AVERAGEIF([1]个股!$Q$9:$Q$2788,[1]行业!$B58,[1]个股!BF$9:BF$2788)</f>
        <v>#VALUE!</v>
      </c>
      <c r="L99" s="2" t="e">
        <f>AVERAGEIF([1]个股!$Q$9:$Q$2788,[1]行业!$B58,[1]个股!BG$9:BG$2788)</f>
        <v>#VALUE!</v>
      </c>
      <c r="M99" s="5" t="e">
        <f>SUMIF([1]个股!$Q$9:$Q$2788,B99,[1]个股!$M$9:$M$2788)</f>
        <v>#VALUE!</v>
      </c>
      <c r="N99" s="6" t="e">
        <f>SUMIF([1]个股!$Q$9:$Q$2788,B99,[1]个股!$N$9:$N$2788)</f>
        <v>#VALUE!</v>
      </c>
      <c r="O99" s="7" t="e">
        <f t="shared" si="17"/>
        <v>#VALUE!</v>
      </c>
      <c r="P99" t="e">
        <f t="shared" ca="1" si="18"/>
        <v>#NAME?</v>
      </c>
      <c r="Q99" t="str">
        <f t="shared" si="19"/>
        <v>行业3 互联网与售货目录零售</v>
      </c>
    </row>
    <row r="100" spans="1:27">
      <c r="A100" t="s">
        <v>69</v>
      </c>
      <c r="B100" s="14" t="s">
        <v>133</v>
      </c>
      <c r="C100" s="1" t="e">
        <f t="shared" si="13"/>
        <v>#VALUE!</v>
      </c>
      <c r="D100" s="2" t="e">
        <f t="shared" si="14"/>
        <v>#VALUE!</v>
      </c>
      <c r="E100" s="3" t="e">
        <f t="shared" si="15"/>
        <v>#VALUE!</v>
      </c>
      <c r="F100" s="3">
        <v>1</v>
      </c>
      <c r="G100" s="4" t="e">
        <f t="shared" si="16"/>
        <v>#VALUE!</v>
      </c>
      <c r="H100" s="2" t="e">
        <f>AVERAGEIF([1]个股!$Q$9:$Q$2788,[1]行业!$B55,[1]个股!BC$9:BC$2788)</f>
        <v>#VALUE!</v>
      </c>
      <c r="I100" s="2" t="e">
        <f>AVERAGEIF([1]个股!$Q$9:$Q$2788,[1]行业!$B55,[1]个股!BD$9:BD$2788)</f>
        <v>#VALUE!</v>
      </c>
      <c r="J100" s="2" t="e">
        <f>AVERAGEIF([1]个股!$Q$9:$Q$2788,[1]行业!$B55,[1]个股!BE$9:BE$2788)</f>
        <v>#VALUE!</v>
      </c>
      <c r="K100" s="2" t="e">
        <f>AVERAGEIF([1]个股!$Q$9:$Q$2788,[1]行业!$B55,[1]个股!BF$9:BF$2788)</f>
        <v>#VALUE!</v>
      </c>
      <c r="L100" s="2" t="e">
        <f>AVERAGEIF([1]个股!$Q$9:$Q$2788,[1]行业!$B55,[1]个股!BG$9:BG$2788)</f>
        <v>#VALUE!</v>
      </c>
      <c r="M100" s="5" t="e">
        <f>SUMIF([1]个股!$Q$9:$Q$2788,B100,[1]个股!$M$9:$M$2788)</f>
        <v>#VALUE!</v>
      </c>
      <c r="N100" s="6" t="e">
        <f>SUMIF([1]个股!$Q$9:$Q$2788,B100,[1]个股!$N$9:$N$2788)</f>
        <v>#VALUE!</v>
      </c>
      <c r="O100" s="7" t="e">
        <f t="shared" si="17"/>
        <v>#VALUE!</v>
      </c>
      <c r="P100" t="e">
        <f t="shared" ca="1" si="18"/>
        <v>#NAME?</v>
      </c>
      <c r="Q100" t="str">
        <f t="shared" si="19"/>
        <v>行业3 航空航天与国防Ⅲ</v>
      </c>
    </row>
    <row r="101" spans="1:27">
      <c r="A101" t="s">
        <v>134</v>
      </c>
      <c r="B101" s="15" t="s">
        <v>135</v>
      </c>
      <c r="C101" s="1" t="e">
        <f t="shared" si="13"/>
        <v>#VALUE!</v>
      </c>
      <c r="D101" s="2" t="e">
        <f t="shared" si="14"/>
        <v>#VALUE!</v>
      </c>
      <c r="E101" s="3" t="e">
        <f t="shared" si="15"/>
        <v>#VALUE!</v>
      </c>
      <c r="F101" s="3">
        <v>0.5</v>
      </c>
      <c r="G101" s="4" t="e">
        <f t="shared" si="16"/>
        <v>#VALUE!</v>
      </c>
      <c r="H101" s="2" t="e">
        <f>AVERAGEIF([1]个股!$D$9:$D$2788,[1]行业!$B126,[1]个股!BC$9:BC$2788)</f>
        <v>#VALUE!</v>
      </c>
      <c r="I101" s="2" t="e">
        <f>AVERAGEIF([1]个股!$D$9:$D$2788,[1]行业!$B126,[1]个股!BD$9:BD$2788)</f>
        <v>#VALUE!</v>
      </c>
      <c r="J101" s="2" t="e">
        <f>AVERAGEIF([1]个股!$D$9:$D$2788,[1]行业!$B126,[1]个股!BE$9:BE$2788)</f>
        <v>#VALUE!</v>
      </c>
      <c r="K101" s="2" t="e">
        <f>AVERAGEIF([1]个股!$D$9:$D$2788,[1]行业!$B126,[1]个股!BF$9:BF$2788)</f>
        <v>#VALUE!</v>
      </c>
      <c r="L101" s="2" t="e">
        <f>AVERAGEIF([1]个股!$D$9:$D$2788,[1]行业!$B126,[1]个股!BG$9:BG$2788)</f>
        <v>#VALUE!</v>
      </c>
      <c r="M101" s="5" t="e">
        <f>SUMIF([1]个股!$D$9:$D$2788,B101,[1]个股!$M$9:$M$2788)</f>
        <v>#VALUE!</v>
      </c>
      <c r="N101" s="6" t="e">
        <f>SUMIF([1]个股!$D$9:$D$2788,B101,[1]个股!$N$9:$N$2788)</f>
        <v>#VALUE!</v>
      </c>
      <c r="O101" s="7" t="e">
        <f t="shared" si="17"/>
        <v>#VALUE!</v>
      </c>
      <c r="P101" t="e">
        <f t="shared" ca="1" si="18"/>
        <v>#NAME?</v>
      </c>
      <c r="Q101" t="str">
        <f t="shared" si="19"/>
        <v>行业4 多元化银行</v>
      </c>
    </row>
    <row r="102" spans="1:27">
      <c r="A102" t="s">
        <v>134</v>
      </c>
      <c r="B102" s="15" t="s">
        <v>136</v>
      </c>
      <c r="C102" s="1" t="e">
        <f t="shared" si="13"/>
        <v>#VALUE!</v>
      </c>
      <c r="D102" s="2" t="e">
        <f t="shared" si="14"/>
        <v>#VALUE!</v>
      </c>
      <c r="E102" s="3" t="e">
        <f t="shared" si="15"/>
        <v>#VALUE!</v>
      </c>
      <c r="F102" s="3">
        <v>1</v>
      </c>
      <c r="G102" s="4" t="e">
        <f t="shared" si="16"/>
        <v>#VALUE!</v>
      </c>
      <c r="H102" s="2" t="e">
        <f>AVERAGEIF([1]个股!$D$9:$D$2788,[1]行业!$B135,[1]个股!BC$9:BC$2788)</f>
        <v>#VALUE!</v>
      </c>
      <c r="I102" s="2" t="e">
        <f>AVERAGEIF([1]个股!$D$9:$D$2788,[1]行业!$B135,[1]个股!BD$9:BD$2788)</f>
        <v>#VALUE!</v>
      </c>
      <c r="J102" s="2" t="e">
        <f>AVERAGEIF([1]个股!$D$9:$D$2788,[1]行业!$B135,[1]个股!BE$9:BE$2788)</f>
        <v>#VALUE!</v>
      </c>
      <c r="K102" s="2" t="e">
        <f>AVERAGEIF([1]个股!$D$9:$D$2788,[1]行业!$B135,[1]个股!BF$9:BF$2788)</f>
        <v>#VALUE!</v>
      </c>
      <c r="L102" s="2" t="e">
        <f>AVERAGEIF([1]个股!$D$9:$D$2788,[1]行业!$B135,[1]个股!BG$9:BG$2788)</f>
        <v>#VALUE!</v>
      </c>
      <c r="M102" s="5" t="e">
        <f>SUMIF([1]个股!$D$9:$D$2788,B102,[1]个股!$M$9:$M$2788)</f>
        <v>#VALUE!</v>
      </c>
      <c r="N102" s="6" t="e">
        <f>SUMIF([1]个股!$D$9:$D$2788,B102,[1]个股!$N$9:$N$2788)</f>
        <v>#VALUE!</v>
      </c>
      <c r="O102" s="7" t="e">
        <f t="shared" si="17"/>
        <v>#VALUE!</v>
      </c>
      <c r="P102" t="e">
        <f t="shared" ca="1" si="18"/>
        <v>#NAME?</v>
      </c>
      <c r="Q102" t="str">
        <f t="shared" si="19"/>
        <v>行业4 个人用品</v>
      </c>
    </row>
    <row r="103" spans="1:27">
      <c r="A103" t="s">
        <v>134</v>
      </c>
      <c r="B103" s="15" t="s">
        <v>137</v>
      </c>
      <c r="C103" s="1" t="e">
        <f t="shared" si="13"/>
        <v>#VALUE!</v>
      </c>
      <c r="D103" s="2" t="e">
        <f t="shared" si="14"/>
        <v>#VALUE!</v>
      </c>
      <c r="E103" s="3" t="e">
        <f t="shared" si="15"/>
        <v>#VALUE!</v>
      </c>
      <c r="F103" s="3">
        <v>1</v>
      </c>
      <c r="G103" s="4" t="e">
        <f t="shared" si="16"/>
        <v>#VALUE!</v>
      </c>
      <c r="H103" s="2" t="e">
        <f>AVERAGEIF([1]个股!$D$9:$D$2788,[1]行业!$B160,[1]个股!BC$9:BC$2788)</f>
        <v>#VALUE!</v>
      </c>
      <c r="I103" s="2" t="e">
        <f>AVERAGEIF([1]个股!$D$9:$D$2788,[1]行业!$B160,[1]个股!BD$9:BD$2788)</f>
        <v>#VALUE!</v>
      </c>
      <c r="J103" s="2" t="e">
        <f>AVERAGEIF([1]个股!$D$9:$D$2788,[1]行业!$B160,[1]个股!BE$9:BE$2788)</f>
        <v>#VALUE!</v>
      </c>
      <c r="K103" s="2" t="e">
        <f>AVERAGEIF([1]个股!$D$9:$D$2788,[1]行业!$B160,[1]个股!BF$9:BF$2788)</f>
        <v>#VALUE!</v>
      </c>
      <c r="L103" s="2" t="e">
        <f>AVERAGEIF([1]个股!$D$9:$D$2788,[1]行业!$B160,[1]个股!BG$9:BG$2788)</f>
        <v>#VALUE!</v>
      </c>
      <c r="M103" s="5" t="e">
        <f>SUMIF([1]个股!$D$9:$D$2788,B103,[1]个股!$M$9:$M$2788)</f>
        <v>#VALUE!</v>
      </c>
      <c r="N103" s="6" t="e">
        <f>SUMIF([1]个股!$D$9:$D$2788,B103,[1]个股!$N$9:$N$2788)</f>
        <v>#VALUE!</v>
      </c>
      <c r="O103" s="7" t="e">
        <f t="shared" si="17"/>
        <v>#VALUE!</v>
      </c>
      <c r="P103" t="e">
        <f t="shared" ca="1" si="18"/>
        <v>#NAME?</v>
      </c>
      <c r="Q103" t="str">
        <f t="shared" si="19"/>
        <v>行业4 家用电器</v>
      </c>
    </row>
    <row r="104" spans="1:27">
      <c r="A104" t="s">
        <v>134</v>
      </c>
      <c r="B104" s="15" t="s">
        <v>138</v>
      </c>
      <c r="C104" s="1" t="e">
        <f t="shared" si="13"/>
        <v>#VALUE!</v>
      </c>
      <c r="D104" s="2" t="e">
        <f t="shared" si="14"/>
        <v>#VALUE!</v>
      </c>
      <c r="E104" s="3" t="e">
        <f t="shared" si="15"/>
        <v>#VALUE!</v>
      </c>
      <c r="F104" s="3">
        <v>0.5</v>
      </c>
      <c r="G104" s="4" t="e">
        <f t="shared" si="16"/>
        <v>#VALUE!</v>
      </c>
      <c r="H104" s="2" t="e">
        <f>AVERAGEIF([1]个股!$D$9:$D$2788,[1]行业!$B204,[1]个股!BC$9:BC$2788)</f>
        <v>#VALUE!</v>
      </c>
      <c r="I104" s="2" t="e">
        <f>AVERAGEIF([1]个股!$D$9:$D$2788,[1]行业!$B204,[1]个股!BD$9:BD$2788)</f>
        <v>#VALUE!</v>
      </c>
      <c r="J104" s="2" t="e">
        <f>AVERAGEIF([1]个股!$D$9:$D$2788,[1]行业!$B204,[1]个股!BE$9:BE$2788)</f>
        <v>#VALUE!</v>
      </c>
      <c r="K104" s="2" t="e">
        <f>AVERAGEIF([1]个股!$D$9:$D$2788,[1]行业!$B204,[1]个股!BF$9:BF$2788)</f>
        <v>#VALUE!</v>
      </c>
      <c r="L104" s="2" t="e">
        <f>AVERAGEIF([1]个股!$D$9:$D$2788,[1]行业!$B204,[1]个股!BG$9:BG$2788)</f>
        <v>#VALUE!</v>
      </c>
      <c r="M104" s="5" t="e">
        <f>SUMIF([1]个股!$D$9:$D$2788,B104,[1]个股!$M$9:$M$2788)</f>
        <v>#VALUE!</v>
      </c>
      <c r="N104" s="6" t="e">
        <f>SUMIF([1]个股!$D$9:$D$2788,B104,[1]个股!$N$9:$N$2788)</f>
        <v>#VALUE!</v>
      </c>
      <c r="O104" s="7" t="e">
        <f t="shared" si="17"/>
        <v>#VALUE!</v>
      </c>
      <c r="P104" t="e">
        <f t="shared" ca="1" si="18"/>
        <v>#NAME?</v>
      </c>
      <c r="Q104" t="str">
        <f t="shared" si="19"/>
        <v>行业4 投资银行业与经纪业</v>
      </c>
      <c r="R104" s="2"/>
      <c r="S104" s="2"/>
      <c r="T104" s="2"/>
      <c r="U104" s="2"/>
      <c r="Y104" s="5"/>
      <c r="Z104" s="6"/>
      <c r="AA104" s="2"/>
    </row>
    <row r="105" spans="1:27">
      <c r="A105" t="s">
        <v>134</v>
      </c>
      <c r="B105" s="15" t="s">
        <v>139</v>
      </c>
      <c r="C105" s="1" t="e">
        <f t="shared" si="13"/>
        <v>#VALUE!</v>
      </c>
      <c r="D105" s="2" t="e">
        <f t="shared" si="14"/>
        <v>#VALUE!</v>
      </c>
      <c r="E105" s="3" t="e">
        <f t="shared" si="15"/>
        <v>#VALUE!</v>
      </c>
      <c r="F105" s="3">
        <v>0.5</v>
      </c>
      <c r="G105" s="4" t="e">
        <f t="shared" si="16"/>
        <v>#VALUE!</v>
      </c>
      <c r="H105" s="2" t="e">
        <f>AVERAGEIF([1]个股!$D$9:$D$2788,[1]行业!$B183,[1]个股!BC$9:BC$2788)</f>
        <v>#VALUE!</v>
      </c>
      <c r="I105" s="2" t="e">
        <f>AVERAGEIF([1]个股!$D$9:$D$2788,[1]行业!$B183,[1]个股!BD$9:BD$2788)</f>
        <v>#VALUE!</v>
      </c>
      <c r="J105" s="2" t="e">
        <f>AVERAGEIF([1]个股!$D$9:$D$2788,[1]行业!$B183,[1]个股!BE$9:BE$2788)</f>
        <v>#VALUE!</v>
      </c>
      <c r="K105" s="2" t="e">
        <f>AVERAGEIF([1]个股!$D$9:$D$2788,[1]行业!$B183,[1]个股!BF$9:BF$2788)</f>
        <v>#VALUE!</v>
      </c>
      <c r="L105" s="2" t="e">
        <f>AVERAGEIF([1]个股!$D$9:$D$2788,[1]行业!$B183,[1]个股!BG$9:BG$2788)</f>
        <v>#VALUE!</v>
      </c>
      <c r="M105" s="5" t="e">
        <f>SUMIF([1]个股!$D$9:$D$2788,B105,[1]个股!$M$9:$M$2788)</f>
        <v>#VALUE!</v>
      </c>
      <c r="N105" s="6" t="e">
        <f>SUMIF([1]个股!$D$9:$D$2788,B105,[1]个股!$N$9:$N$2788)</f>
        <v>#VALUE!</v>
      </c>
      <c r="O105" s="7" t="e">
        <f t="shared" si="17"/>
        <v>#VALUE!</v>
      </c>
      <c r="P105" t="e">
        <f t="shared" ca="1" si="18"/>
        <v>#NAME?</v>
      </c>
      <c r="Q105" t="str">
        <f t="shared" si="19"/>
        <v>行业4 区域性银行</v>
      </c>
      <c r="R105" s="2"/>
      <c r="S105" s="2"/>
      <c r="T105" s="2"/>
      <c r="U105" s="2"/>
      <c r="Y105" s="5"/>
      <c r="Z105" s="6"/>
      <c r="AA105" s="2"/>
    </row>
    <row r="106" spans="1:27">
      <c r="A106" t="s">
        <v>134</v>
      </c>
      <c r="B106" s="15" t="s">
        <v>140</v>
      </c>
      <c r="C106" s="1" t="e">
        <f t="shared" si="13"/>
        <v>#VALUE!</v>
      </c>
      <c r="D106" s="2" t="e">
        <f t="shared" si="14"/>
        <v>#VALUE!</v>
      </c>
      <c r="E106" s="3" t="e">
        <f t="shared" si="15"/>
        <v>#VALUE!</v>
      </c>
      <c r="F106" s="3">
        <v>0.8</v>
      </c>
      <c r="G106" s="4" t="e">
        <f t="shared" si="16"/>
        <v>#VALUE!</v>
      </c>
      <c r="H106" s="2" t="e">
        <f>AVERAGEIF([1]个股!$D$9:$D$2788,[1]行业!$B113,[1]个股!BC$9:BC$2788)</f>
        <v>#VALUE!</v>
      </c>
      <c r="I106" s="2" t="e">
        <f>AVERAGEIF([1]个股!$D$9:$D$2788,[1]行业!$B113,[1]个股!BD$9:BD$2788)</f>
        <v>#VALUE!</v>
      </c>
      <c r="J106" s="2" t="e">
        <f>AVERAGEIF([1]个股!$D$9:$D$2788,[1]行业!$B113,[1]个股!BE$9:BE$2788)</f>
        <v>#VALUE!</v>
      </c>
      <c r="K106" s="2" t="e">
        <f>AVERAGEIF([1]个股!$D$9:$D$2788,[1]行业!$B113,[1]个股!BF$9:BF$2788)</f>
        <v>#VALUE!</v>
      </c>
      <c r="L106" s="2" t="e">
        <f>AVERAGEIF([1]个股!$D$9:$D$2788,[1]行业!$B113,[1]个股!BG$9:BG$2788)</f>
        <v>#VALUE!</v>
      </c>
      <c r="M106" s="5" t="e">
        <f>SUMIF([1]个股!$D$9:$D$2788,B106,[1]个股!$M$9:$M$2788)</f>
        <v>#VALUE!</v>
      </c>
      <c r="N106" s="6" t="e">
        <f>SUMIF([1]个股!$D$9:$D$2788,B106,[1]个股!$N$9:$N$2788)</f>
        <v>#VALUE!</v>
      </c>
      <c r="O106" s="7" t="e">
        <f t="shared" si="17"/>
        <v>#VALUE!</v>
      </c>
      <c r="P106" t="e">
        <f t="shared" ca="1" si="18"/>
        <v>#NAME?</v>
      </c>
      <c r="Q106" t="str">
        <f t="shared" si="19"/>
        <v>行业4 电力</v>
      </c>
    </row>
    <row r="107" spans="1:27">
      <c r="A107" t="s">
        <v>134</v>
      </c>
      <c r="B107" s="15" t="s">
        <v>141</v>
      </c>
      <c r="C107" s="1" t="e">
        <f t="shared" si="13"/>
        <v>#VALUE!</v>
      </c>
      <c r="D107" s="2" t="e">
        <f t="shared" si="14"/>
        <v>#VALUE!</v>
      </c>
      <c r="E107" s="3" t="e">
        <f t="shared" si="15"/>
        <v>#VALUE!</v>
      </c>
      <c r="F107" s="3">
        <v>1</v>
      </c>
      <c r="G107" s="4" t="e">
        <f t="shared" si="16"/>
        <v>#VALUE!</v>
      </c>
      <c r="H107" s="2" t="e">
        <f>AVERAGEIF([1]个股!$D$9:$D$2788,[1]行业!$B158,[1]个股!BC$9:BC$2788)</f>
        <v>#VALUE!</v>
      </c>
      <c r="I107" s="2" t="e">
        <f>AVERAGEIF([1]个股!$D$9:$D$2788,[1]行业!$B158,[1]个股!BD$9:BD$2788)</f>
        <v>#VALUE!</v>
      </c>
      <c r="J107" s="2" t="e">
        <f>AVERAGEIF([1]个股!$D$9:$D$2788,[1]行业!$B158,[1]个股!BE$9:BE$2788)</f>
        <v>#VALUE!</v>
      </c>
      <c r="K107" s="2" t="e">
        <f>AVERAGEIF([1]个股!$D$9:$D$2788,[1]行业!$B158,[1]个股!BF$9:BF$2788)</f>
        <v>#VALUE!</v>
      </c>
      <c r="L107" s="2" t="e">
        <f>AVERAGEIF([1]个股!$D$9:$D$2788,[1]行业!$B158,[1]个股!BG$9:BG$2788)</f>
        <v>#VALUE!</v>
      </c>
      <c r="M107" s="5" t="e">
        <f>SUMIF([1]个股!$D$9:$D$2788,B107,[1]个股!$M$9:$M$2788)</f>
        <v>#VALUE!</v>
      </c>
      <c r="N107" s="6" t="e">
        <f>SUMIF([1]个股!$D$9:$D$2788,B107,[1]个股!$N$9:$N$2788)</f>
        <v>#VALUE!</v>
      </c>
      <c r="O107" s="7" t="e">
        <f t="shared" si="17"/>
        <v>#VALUE!</v>
      </c>
      <c r="P107" t="e">
        <f t="shared" ca="1" si="18"/>
        <v>#NAME?</v>
      </c>
      <c r="Q107" t="str">
        <f t="shared" si="19"/>
        <v>行业4 家庭娱乐软件</v>
      </c>
    </row>
    <row r="108" spans="1:27">
      <c r="A108" t="s">
        <v>134</v>
      </c>
      <c r="B108" s="15" t="s">
        <v>142</v>
      </c>
      <c r="C108" s="1" t="e">
        <f t="shared" si="13"/>
        <v>#VALUE!</v>
      </c>
      <c r="D108" s="2" t="e">
        <f t="shared" si="14"/>
        <v>#VALUE!</v>
      </c>
      <c r="E108" s="3" t="e">
        <f t="shared" si="15"/>
        <v>#VALUE!</v>
      </c>
      <c r="F108" s="3">
        <v>0.8</v>
      </c>
      <c r="G108" s="4" t="e">
        <f t="shared" si="16"/>
        <v>#VALUE!</v>
      </c>
      <c r="H108" s="2" t="e">
        <f>AVERAGEIF([1]个股!$D$9:$D$2788,[1]行业!$B182,[1]个股!BC$9:BC$2788)</f>
        <v>#VALUE!</v>
      </c>
      <c r="I108" s="2" t="e">
        <f>AVERAGEIF([1]个股!$D$9:$D$2788,[1]行业!$B182,[1]个股!BD$9:BD$2788)</f>
        <v>#VALUE!</v>
      </c>
      <c r="J108" s="2" t="e">
        <f>AVERAGEIF([1]个股!$D$9:$D$2788,[1]行业!$B182,[1]个股!BE$9:BE$2788)</f>
        <v>#VALUE!</v>
      </c>
      <c r="K108" s="2" t="e">
        <f>AVERAGEIF([1]个股!$D$9:$D$2788,[1]行业!$B182,[1]个股!BF$9:BF$2788)</f>
        <v>#VALUE!</v>
      </c>
      <c r="L108" s="2" t="e">
        <f>AVERAGEIF([1]个股!$D$9:$D$2788,[1]行业!$B182,[1]个股!BG$9:BG$2788)</f>
        <v>#VALUE!</v>
      </c>
      <c r="M108" s="5" t="e">
        <f>SUMIF([1]个股!$D$9:$D$2788,B108,[1]个股!$M$9:$M$2788)</f>
        <v>#VALUE!</v>
      </c>
      <c r="N108" s="6" t="e">
        <f>SUMIF([1]个股!$D$9:$D$2788,B108,[1]个股!$N$9:$N$2788)</f>
        <v>#VALUE!</v>
      </c>
      <c r="O108" s="7" t="e">
        <f t="shared" si="17"/>
        <v>#VALUE!</v>
      </c>
      <c r="P108" t="e">
        <f t="shared" ca="1" si="18"/>
        <v>#NAME?</v>
      </c>
      <c r="Q108" t="str">
        <f t="shared" si="19"/>
        <v>行业4 汽车制造</v>
      </c>
      <c r="R108" s="2"/>
      <c r="S108" s="2"/>
      <c r="T108" s="2"/>
      <c r="U108" s="2"/>
      <c r="Y108" s="5"/>
      <c r="Z108" s="6"/>
      <c r="AA108" s="2"/>
    </row>
    <row r="109" spans="1:27">
      <c r="A109" t="s">
        <v>134</v>
      </c>
      <c r="B109" s="15" t="s">
        <v>99</v>
      </c>
      <c r="C109" s="1" t="e">
        <f t="shared" si="13"/>
        <v>#VALUE!</v>
      </c>
      <c r="D109" s="2" t="e">
        <f t="shared" si="14"/>
        <v>#VALUE!</v>
      </c>
      <c r="E109" s="3" t="e">
        <f t="shared" si="15"/>
        <v>#VALUE!</v>
      </c>
      <c r="F109" s="3">
        <v>1</v>
      </c>
      <c r="G109" s="4" t="e">
        <f t="shared" si="16"/>
        <v>#VALUE!</v>
      </c>
      <c r="H109" s="2" t="e">
        <f>AVERAGEIF([1]个股!$D$9:$D$2788,[1]行业!$B174,[1]个股!BC$9:BC$2788)</f>
        <v>#VALUE!</v>
      </c>
      <c r="I109" s="2" t="e">
        <f>AVERAGEIF([1]个股!$D$9:$D$2788,[1]行业!$B174,[1]个股!BD$9:BD$2788)</f>
        <v>#VALUE!</v>
      </c>
      <c r="J109" s="2" t="e">
        <f>AVERAGEIF([1]个股!$D$9:$D$2788,[1]行业!$B174,[1]个股!BE$9:BE$2788)</f>
        <v>#VALUE!</v>
      </c>
      <c r="K109" s="2" t="e">
        <f>AVERAGEIF([1]个股!$D$9:$D$2788,[1]行业!$B174,[1]个股!BF$9:BF$2788)</f>
        <v>#VALUE!</v>
      </c>
      <c r="L109" s="2" t="e">
        <f>AVERAGEIF([1]个股!$D$9:$D$2788,[1]行业!$B174,[1]个股!BG$9:BG$2788)</f>
        <v>#VALUE!</v>
      </c>
      <c r="M109" s="5" t="e">
        <f>SUMIF([1]个股!$D$9:$D$2788,B109,[1]个股!$M$9:$M$2788)</f>
        <v>#VALUE!</v>
      </c>
      <c r="N109" s="6" t="e">
        <f>SUMIF([1]个股!$D$9:$D$2788,B109,[1]个股!$N$9:$N$2788)</f>
        <v>#VALUE!</v>
      </c>
      <c r="O109" s="7" t="e">
        <f t="shared" si="17"/>
        <v>#VALUE!</v>
      </c>
      <c r="P109" t="e">
        <f t="shared" ca="1" si="18"/>
        <v>#NAME?</v>
      </c>
      <c r="Q109" t="str">
        <f t="shared" si="19"/>
        <v>行业4 媒体Ⅲ</v>
      </c>
      <c r="R109" s="2"/>
      <c r="S109" s="2"/>
      <c r="T109" s="2"/>
      <c r="U109" s="2"/>
      <c r="Y109" s="5"/>
      <c r="Z109" s="6"/>
      <c r="AA109" s="2"/>
    </row>
    <row r="110" spans="1:27">
      <c r="A110" t="s">
        <v>134</v>
      </c>
      <c r="B110" s="15" t="s">
        <v>143</v>
      </c>
      <c r="C110" s="1" t="e">
        <f t="shared" si="13"/>
        <v>#VALUE!</v>
      </c>
      <c r="D110" s="2" t="e">
        <f t="shared" si="14"/>
        <v>#VALUE!</v>
      </c>
      <c r="E110" s="3" t="e">
        <f t="shared" si="15"/>
        <v>#VALUE!</v>
      </c>
      <c r="F110" s="3">
        <v>0.6</v>
      </c>
      <c r="G110" s="4" t="e">
        <f t="shared" si="16"/>
        <v>#VALUE!</v>
      </c>
      <c r="H110" s="2" t="e">
        <f>AVERAGEIF([1]个股!$D$9:$D$2788,[1]行业!$B226,[1]个股!BC$9:BC$2788)</f>
        <v>#VALUE!</v>
      </c>
      <c r="I110" s="2" t="e">
        <f>AVERAGEIF([1]个股!$D$9:$D$2788,[1]行业!$B226,[1]个股!BD$9:BD$2788)</f>
        <v>#VALUE!</v>
      </c>
      <c r="J110" s="2" t="e">
        <f>AVERAGEIF([1]个股!$D$9:$D$2788,[1]行业!$B226,[1]个股!BE$9:BE$2788)</f>
        <v>#VALUE!</v>
      </c>
      <c r="K110" s="2" t="e">
        <f>AVERAGEIF([1]个股!$D$9:$D$2788,[1]行业!$B226,[1]个股!BF$9:BF$2788)</f>
        <v>#VALUE!</v>
      </c>
      <c r="L110" s="2" t="e">
        <f>AVERAGEIF([1]个股!$D$9:$D$2788,[1]行业!$B226,[1]个股!BG$9:BG$2788)</f>
        <v>#VALUE!</v>
      </c>
      <c r="M110" s="5" t="e">
        <f>SUMIF([1]个股!$D$9:$D$2788,B110,[1]个股!$M$9:$M$2788)</f>
        <v>#VALUE!</v>
      </c>
      <c r="N110" s="6" t="e">
        <f>SUMIF([1]个股!$D$9:$D$2788,B110,[1]个股!$N$9:$N$2788)</f>
        <v>#VALUE!</v>
      </c>
      <c r="O110" s="7" t="e">
        <f t="shared" si="17"/>
        <v>#VALUE!</v>
      </c>
      <c r="P110" t="e">
        <f t="shared" ca="1" si="18"/>
        <v>#NAME?</v>
      </c>
      <c r="Q110" t="str">
        <f t="shared" si="19"/>
        <v>行业4 资产管理与托管银行</v>
      </c>
      <c r="R110" s="2"/>
      <c r="S110" s="2"/>
      <c r="T110" s="2"/>
      <c r="U110" s="2"/>
      <c r="Y110" s="5"/>
      <c r="Z110" s="6"/>
      <c r="AA110" s="2"/>
    </row>
    <row r="111" spans="1:27">
      <c r="A111" t="s">
        <v>134</v>
      </c>
      <c r="B111" s="15" t="s">
        <v>144</v>
      </c>
      <c r="C111" s="1" t="e">
        <f t="shared" si="13"/>
        <v>#VALUE!</v>
      </c>
      <c r="D111" s="2" t="e">
        <f t="shared" si="14"/>
        <v>#VALUE!</v>
      </c>
      <c r="E111" s="3" t="e">
        <f t="shared" si="15"/>
        <v>#VALUE!</v>
      </c>
      <c r="F111" s="3">
        <v>1</v>
      </c>
      <c r="G111" s="4" t="e">
        <f t="shared" si="16"/>
        <v>#VALUE!</v>
      </c>
      <c r="H111" s="2" t="e">
        <f>AVERAGEIF([1]个股!$D$9:$D$2788,[1]行业!$B202,[1]个股!BC$9:BC$2788)</f>
        <v>#VALUE!</v>
      </c>
      <c r="I111" s="2" t="e">
        <f>AVERAGEIF([1]个股!$D$9:$D$2788,[1]行业!$B202,[1]个股!BD$9:BD$2788)</f>
        <v>#VALUE!</v>
      </c>
      <c r="J111" s="2" t="e">
        <f>AVERAGEIF([1]个股!$D$9:$D$2788,[1]行业!$B202,[1]个股!BE$9:BE$2788)</f>
        <v>#VALUE!</v>
      </c>
      <c r="K111" s="2" t="e">
        <f>AVERAGEIF([1]个股!$D$9:$D$2788,[1]行业!$B202,[1]个股!BF$9:BF$2788)</f>
        <v>#VALUE!</v>
      </c>
      <c r="L111" s="2" t="e">
        <f>AVERAGEIF([1]个股!$D$9:$D$2788,[1]行业!$B202,[1]个股!BG$9:BG$2788)</f>
        <v>#VALUE!</v>
      </c>
      <c r="M111" s="5" t="e">
        <f>SUMIF([1]个股!$D$9:$D$2788,B111,[1]个股!$M$9:$M$2788)</f>
        <v>#VALUE!</v>
      </c>
      <c r="N111" s="6" t="e">
        <f>SUMIF([1]个股!$D$9:$D$2788,B111,[1]个股!$N$9:$N$2788)</f>
        <v>#VALUE!</v>
      </c>
      <c r="O111" s="7" t="e">
        <f t="shared" si="17"/>
        <v>#VALUE!</v>
      </c>
      <c r="P111" t="e">
        <f t="shared" ca="1" si="18"/>
        <v>#NAME?</v>
      </c>
      <c r="Q111" t="str">
        <f t="shared" si="19"/>
        <v>行业4 铁路运输</v>
      </c>
      <c r="R111" s="2"/>
      <c r="S111" s="2"/>
      <c r="T111" s="2"/>
      <c r="U111" s="2"/>
      <c r="Y111" s="5"/>
      <c r="Z111" s="6"/>
      <c r="AA111" s="2"/>
    </row>
    <row r="112" spans="1:27">
      <c r="A112" t="s">
        <v>134</v>
      </c>
      <c r="B112" s="15" t="s">
        <v>145</v>
      </c>
      <c r="C112" s="1" t="e">
        <f t="shared" si="13"/>
        <v>#VALUE!</v>
      </c>
      <c r="D112" s="2" t="e">
        <f t="shared" si="14"/>
        <v>#VALUE!</v>
      </c>
      <c r="E112" s="3" t="e">
        <f t="shared" si="15"/>
        <v>#VALUE!</v>
      </c>
      <c r="F112" s="3">
        <v>1</v>
      </c>
      <c r="G112" s="4" t="e">
        <f t="shared" si="16"/>
        <v>#VALUE!</v>
      </c>
      <c r="H112" s="2" t="e">
        <f>AVERAGEIF([1]个股!$D$9:$D$2788,[1]行业!$B144,[1]个股!BC$9:BC$2788)</f>
        <v>#VALUE!</v>
      </c>
      <c r="I112" s="2" t="e">
        <f>AVERAGEIF([1]个股!$D$9:$D$2788,[1]行业!$B144,[1]个股!BD$9:BD$2788)</f>
        <v>#VALUE!</v>
      </c>
      <c r="J112" s="2" t="e">
        <f>AVERAGEIF([1]个股!$D$9:$D$2788,[1]行业!$B144,[1]个股!BE$9:BE$2788)</f>
        <v>#VALUE!</v>
      </c>
      <c r="K112" s="2" t="e">
        <f>AVERAGEIF([1]个股!$D$9:$D$2788,[1]行业!$B144,[1]个股!BF$9:BF$2788)</f>
        <v>#VALUE!</v>
      </c>
      <c r="L112" s="2" t="e">
        <f>AVERAGEIF([1]个股!$D$9:$D$2788,[1]行业!$B144,[1]个股!BG$9:BG$2788)</f>
        <v>#VALUE!</v>
      </c>
      <c r="M112" s="5" t="e">
        <f>SUMIF([1]个股!$D$9:$D$2788,B112,[1]个股!$M$9:$M$2788)</f>
        <v>#VALUE!</v>
      </c>
      <c r="N112" s="6" t="e">
        <f>SUMIF([1]个股!$D$9:$D$2788,B112,[1]个股!$N$9:$N$2788)</f>
        <v>#VALUE!</v>
      </c>
      <c r="O112" s="7" t="e">
        <f t="shared" si="17"/>
        <v>#VALUE!</v>
      </c>
      <c r="P112" t="e">
        <f t="shared" ca="1" si="18"/>
        <v>#NAME?</v>
      </c>
      <c r="Q112" t="str">
        <f t="shared" si="19"/>
        <v>行业4 航空</v>
      </c>
    </row>
    <row r="113" spans="1:27">
      <c r="A113" t="s">
        <v>134</v>
      </c>
      <c r="B113" s="15" t="s">
        <v>146</v>
      </c>
      <c r="C113" s="1" t="e">
        <f t="shared" si="13"/>
        <v>#VALUE!</v>
      </c>
      <c r="D113" s="2" t="e">
        <f t="shared" si="14"/>
        <v>#VALUE!</v>
      </c>
      <c r="E113" s="3" t="e">
        <f t="shared" si="15"/>
        <v>#VALUE!</v>
      </c>
      <c r="F113" s="3">
        <v>1</v>
      </c>
      <c r="G113" s="4" t="e">
        <f t="shared" si="16"/>
        <v>#VALUE!</v>
      </c>
      <c r="H113" s="2" t="e">
        <f>AVERAGEIF([1]个股!$D$9:$D$2788,[1]行业!$B210,[1]个股!BC$9:BC$2788)</f>
        <v>#VALUE!</v>
      </c>
      <c r="I113" s="2" t="e">
        <f>AVERAGEIF([1]个股!$D$9:$D$2788,[1]行业!$B210,[1]个股!BD$9:BD$2788)</f>
        <v>#VALUE!</v>
      </c>
      <c r="J113" s="2" t="e">
        <f>AVERAGEIF([1]个股!$D$9:$D$2788,[1]行业!$B210,[1]个股!BE$9:BE$2788)</f>
        <v>#VALUE!</v>
      </c>
      <c r="K113" s="2" t="e">
        <f>AVERAGEIF([1]个股!$D$9:$D$2788,[1]行业!$B210,[1]个股!BF$9:BF$2788)</f>
        <v>#VALUE!</v>
      </c>
      <c r="L113" s="2" t="e">
        <f>AVERAGEIF([1]个股!$D$9:$D$2788,[1]行业!$B210,[1]个股!BG$9:BG$2788)</f>
        <v>#VALUE!</v>
      </c>
      <c r="M113" s="5" t="e">
        <f>SUMIF([1]个股!$D$9:$D$2788,B113,[1]个股!$M$9:$M$2788)</f>
        <v>#VALUE!</v>
      </c>
      <c r="N113" s="6" t="e">
        <f>SUMIF([1]个股!$D$9:$D$2788,B113,[1]个股!$N$9:$N$2788)</f>
        <v>#VALUE!</v>
      </c>
      <c r="O113" s="7" t="e">
        <f t="shared" si="17"/>
        <v>#VALUE!</v>
      </c>
      <c r="P113" t="e">
        <f t="shared" ca="1" si="18"/>
        <v>#NAME?</v>
      </c>
      <c r="Q113" t="str">
        <f t="shared" si="19"/>
        <v>行业4 新能源发电业者</v>
      </c>
      <c r="R113" s="2"/>
      <c r="S113" s="2"/>
      <c r="T113" s="2"/>
      <c r="U113" s="2"/>
      <c r="Y113" s="5"/>
      <c r="Z113" s="6"/>
      <c r="AA113" s="2"/>
    </row>
    <row r="114" spans="1:27">
      <c r="A114" t="s">
        <v>134</v>
      </c>
      <c r="B114" s="15" t="s">
        <v>147</v>
      </c>
      <c r="C114" s="1" t="e">
        <f t="shared" si="13"/>
        <v>#VALUE!</v>
      </c>
      <c r="D114" s="2" t="e">
        <f t="shared" si="14"/>
        <v>#VALUE!</v>
      </c>
      <c r="E114" s="3" t="e">
        <f t="shared" si="15"/>
        <v>#VALUE!</v>
      </c>
      <c r="F114" s="3">
        <v>0.6</v>
      </c>
      <c r="G114" s="4" t="e">
        <f t="shared" si="16"/>
        <v>#VALUE!</v>
      </c>
      <c r="H114" s="2" t="e">
        <f>AVERAGEIF([1]个股!$D$9:$D$2788,[1]行业!$B124,[1]个股!BC$9:BC$2788)</f>
        <v>#VALUE!</v>
      </c>
      <c r="I114" s="2" t="e">
        <f>AVERAGEIF([1]个股!$D$9:$D$2788,[1]行业!$B124,[1]个股!BD$9:BD$2788)</f>
        <v>#VALUE!</v>
      </c>
      <c r="J114" s="2" t="e">
        <f>AVERAGEIF([1]个股!$D$9:$D$2788,[1]行业!$B124,[1]个股!BE$9:BE$2788)</f>
        <v>#VALUE!</v>
      </c>
      <c r="K114" s="2" t="e">
        <f>AVERAGEIF([1]个股!$D$9:$D$2788,[1]行业!$B124,[1]个股!BF$9:BF$2788)</f>
        <v>#VALUE!</v>
      </c>
      <c r="L114" s="2" t="e">
        <f>AVERAGEIF([1]个股!$D$9:$D$2788,[1]行业!$B124,[1]个股!BG$9:BG$2788)</f>
        <v>#VALUE!</v>
      </c>
      <c r="M114" s="5" t="e">
        <f>SUMIF([1]个股!$D$9:$D$2788,B114,[1]个股!$M$9:$M$2788)</f>
        <v>#VALUE!</v>
      </c>
      <c r="N114" s="6" t="e">
        <f>SUMIF([1]个股!$D$9:$D$2788,B114,[1]个股!$N$9:$N$2788)</f>
        <v>#VALUE!</v>
      </c>
      <c r="O114" s="7" t="e">
        <f t="shared" si="17"/>
        <v>#VALUE!</v>
      </c>
      <c r="P114" t="e">
        <f t="shared" ca="1" si="18"/>
        <v>#NAME?</v>
      </c>
      <c r="Q114" t="str">
        <f t="shared" si="19"/>
        <v>行业4 多元化保险</v>
      </c>
    </row>
    <row r="115" spans="1:27">
      <c r="A115" t="s">
        <v>148</v>
      </c>
      <c r="B115" s="15" t="s">
        <v>149</v>
      </c>
      <c r="C115" s="1" t="e">
        <f t="shared" si="13"/>
        <v>#VALUE!</v>
      </c>
      <c r="D115" s="2" t="e">
        <f t="shared" si="14"/>
        <v>#VALUE!</v>
      </c>
      <c r="E115" s="3" t="e">
        <f t="shared" si="15"/>
        <v>#VALUE!</v>
      </c>
      <c r="F115" s="3">
        <v>1</v>
      </c>
      <c r="G115" s="4" t="e">
        <f t="shared" si="16"/>
        <v>#VALUE!</v>
      </c>
      <c r="H115" s="2" t="e">
        <f>AVERAGEIF([1]个股!$D$9:$D$2788,[1]行业!$B101,[1]个股!BC$9:BC$2788)</f>
        <v>#VALUE!</v>
      </c>
      <c r="I115" s="2" t="e">
        <f>AVERAGEIF([1]个股!$D$9:$D$2788,[1]行业!$B101,[1]个股!BD$9:BD$2788)</f>
        <v>#VALUE!</v>
      </c>
      <c r="J115" s="2" t="e">
        <f>AVERAGEIF([1]个股!$D$9:$D$2788,[1]行业!$B101,[1]个股!BE$9:BE$2788)</f>
        <v>#VALUE!</v>
      </c>
      <c r="K115" s="2" t="e">
        <f>AVERAGEIF([1]个股!$D$9:$D$2788,[1]行业!$B101,[1]个股!BF$9:BF$2788)</f>
        <v>#VALUE!</v>
      </c>
      <c r="L115" s="2" t="e">
        <f>AVERAGEIF([1]个股!$D$9:$D$2788,[1]行业!$B101,[1]个股!BG$9:BG$2788)</f>
        <v>#VALUE!</v>
      </c>
      <c r="M115" s="5" t="e">
        <f>SUMIF([1]个股!$D$9:$D$2788,B115,[1]个股!$M$9:$M$2788)</f>
        <v>#VALUE!</v>
      </c>
      <c r="N115" s="6" t="e">
        <f>SUMIF([1]个股!$D$9:$D$2788,B115,[1]个股!$N$9:$N$2788)</f>
        <v>#VALUE!</v>
      </c>
      <c r="O115" s="7" t="e">
        <f t="shared" si="17"/>
        <v>#VALUE!</v>
      </c>
      <c r="P115" t="e">
        <f t="shared" ca="1" si="18"/>
        <v>#NAME?</v>
      </c>
      <c r="Q115" t="str">
        <f t="shared" si="19"/>
        <v>行业4 白酒与葡萄酒</v>
      </c>
    </row>
    <row r="116" spans="1:27">
      <c r="A116" t="s">
        <v>134</v>
      </c>
      <c r="B116" s="15" t="s">
        <v>150</v>
      </c>
      <c r="C116" s="1" t="e">
        <f t="shared" si="13"/>
        <v>#VALUE!</v>
      </c>
      <c r="D116" s="2" t="e">
        <f t="shared" si="14"/>
        <v>#VALUE!</v>
      </c>
      <c r="E116" s="3" t="e">
        <f t="shared" si="15"/>
        <v>#VALUE!</v>
      </c>
      <c r="F116" s="3">
        <v>1</v>
      </c>
      <c r="G116" s="4" t="e">
        <f t="shared" si="16"/>
        <v>#VALUE!</v>
      </c>
      <c r="H116" s="2" t="e">
        <f>AVERAGEIF([1]个股!$D$9:$D$2788,[1]行业!$B193,[1]个股!BC$9:BC$2788)</f>
        <v>#VALUE!</v>
      </c>
      <c r="I116" s="2" t="e">
        <f>AVERAGEIF([1]个股!$D$9:$D$2788,[1]行业!$B193,[1]个股!BD$9:BD$2788)</f>
        <v>#VALUE!</v>
      </c>
      <c r="J116" s="2" t="e">
        <f>AVERAGEIF([1]个股!$D$9:$D$2788,[1]行业!$B193,[1]个股!BE$9:BE$2788)</f>
        <v>#VALUE!</v>
      </c>
      <c r="K116" s="2" t="e">
        <f>AVERAGEIF([1]个股!$D$9:$D$2788,[1]行业!$B193,[1]个股!BF$9:BF$2788)</f>
        <v>#VALUE!</v>
      </c>
      <c r="L116" s="2" t="e">
        <f>AVERAGEIF([1]个股!$D$9:$D$2788,[1]行业!$B193,[1]个股!BG$9:BG$2788)</f>
        <v>#VALUE!</v>
      </c>
      <c r="M116" s="5" t="e">
        <f>SUMIF([1]个股!$D$9:$D$2788,B116,[1]个股!$M$9:$M$2788)</f>
        <v>#VALUE!</v>
      </c>
      <c r="N116" s="6" t="e">
        <f>SUMIF([1]个股!$D$9:$D$2788,B116,[1]个股!$N$9:$N$2788)</f>
        <v>#VALUE!</v>
      </c>
      <c r="O116" s="7" t="e">
        <f t="shared" si="17"/>
        <v>#VALUE!</v>
      </c>
      <c r="P116" t="e">
        <f t="shared" ca="1" si="18"/>
        <v>#NAME?</v>
      </c>
      <c r="Q116" t="str">
        <f t="shared" si="19"/>
        <v>行业4 石油与天然气的储存和运输</v>
      </c>
      <c r="R116" s="2"/>
      <c r="S116" s="2"/>
      <c r="T116" s="2"/>
      <c r="U116" s="2"/>
      <c r="Y116" s="5"/>
      <c r="Z116" s="6"/>
      <c r="AA116" s="2"/>
    </row>
    <row r="117" spans="1:27">
      <c r="A117" t="s">
        <v>134</v>
      </c>
      <c r="B117" s="15" t="s">
        <v>151</v>
      </c>
      <c r="C117" s="1" t="e">
        <f t="shared" si="13"/>
        <v>#VALUE!</v>
      </c>
      <c r="D117" s="2" t="e">
        <f t="shared" si="14"/>
        <v>#VALUE!</v>
      </c>
      <c r="E117" s="3" t="e">
        <f t="shared" si="15"/>
        <v>#VALUE!</v>
      </c>
      <c r="F117" s="3">
        <v>0.8</v>
      </c>
      <c r="G117" s="4" t="e">
        <f t="shared" si="16"/>
        <v>#VALUE!</v>
      </c>
      <c r="H117" s="2" t="e">
        <f>AVERAGEIF([1]个股!$D$9:$D$2788,[1]行业!$B138,[1]个股!BC$9:BC$2788)</f>
        <v>#VALUE!</v>
      </c>
      <c r="I117" s="2" t="e">
        <f>AVERAGEIF([1]个股!$D$9:$D$2788,[1]行业!$B138,[1]个股!BD$9:BD$2788)</f>
        <v>#VALUE!</v>
      </c>
      <c r="J117" s="2" t="e">
        <f>AVERAGEIF([1]个股!$D$9:$D$2788,[1]行业!$B138,[1]个股!BE$9:BE$2788)</f>
        <v>#VALUE!</v>
      </c>
      <c r="K117" s="2" t="e">
        <f>AVERAGEIF([1]个股!$D$9:$D$2788,[1]行业!$B138,[1]个股!BF$9:BF$2788)</f>
        <v>#VALUE!</v>
      </c>
      <c r="L117" s="2" t="e">
        <f>AVERAGEIF([1]个股!$D$9:$D$2788,[1]行业!$B138,[1]个股!BG$9:BG$2788)</f>
        <v>#VALUE!</v>
      </c>
      <c r="M117" s="5" t="e">
        <f>SUMIF([1]个股!$D$9:$D$2788,B117,[1]个股!$M$9:$M$2788)</f>
        <v>#VALUE!</v>
      </c>
      <c r="N117" s="6" t="e">
        <f>SUMIF([1]个股!$D$9:$D$2788,B117,[1]个股!$N$9:$N$2788)</f>
        <v>#VALUE!</v>
      </c>
      <c r="O117" s="7" t="e">
        <f t="shared" si="17"/>
        <v>#VALUE!</v>
      </c>
      <c r="P117" t="e">
        <f t="shared" ca="1" si="18"/>
        <v>#NAME?</v>
      </c>
      <c r="Q117" t="str">
        <f t="shared" si="19"/>
        <v>行业4 公路与铁路</v>
      </c>
    </row>
    <row r="118" spans="1:27">
      <c r="A118" t="s">
        <v>134</v>
      </c>
      <c r="B118" s="15" t="s">
        <v>152</v>
      </c>
      <c r="C118" s="1" t="e">
        <f t="shared" si="13"/>
        <v>#VALUE!</v>
      </c>
      <c r="D118" s="2" t="e">
        <f t="shared" si="14"/>
        <v>#VALUE!</v>
      </c>
      <c r="E118" s="3" t="e">
        <f t="shared" si="15"/>
        <v>#VALUE!</v>
      </c>
      <c r="F118" s="3">
        <v>1</v>
      </c>
      <c r="G118" s="4" t="e">
        <f t="shared" si="16"/>
        <v>#VALUE!</v>
      </c>
      <c r="H118" s="2" t="e">
        <f>AVERAGEIF([1]个股!$D$9:$D$2788,[1]行业!$B153,[1]个股!BC$9:BC$2788)</f>
        <v>#VALUE!</v>
      </c>
      <c r="I118" s="2" t="e">
        <f>AVERAGEIF([1]个股!$D$9:$D$2788,[1]行业!$B153,[1]个股!BD$9:BD$2788)</f>
        <v>#VALUE!</v>
      </c>
      <c r="J118" s="2" t="e">
        <f>AVERAGEIF([1]个股!$D$9:$D$2788,[1]行业!$B153,[1]个股!BE$9:BE$2788)</f>
        <v>#VALUE!</v>
      </c>
      <c r="K118" s="2" t="e">
        <f>AVERAGEIF([1]个股!$D$9:$D$2788,[1]行业!$B153,[1]个股!BF$9:BF$2788)</f>
        <v>#VALUE!</v>
      </c>
      <c r="L118" s="2" t="e">
        <f>AVERAGEIF([1]个股!$D$9:$D$2788,[1]行业!$B153,[1]个股!BG$9:BG$2788)</f>
        <v>#VALUE!</v>
      </c>
      <c r="M118" s="5" t="e">
        <f>SUMIF([1]个股!$D$9:$D$2788,B118,[1]个股!$M$9:$M$2788)</f>
        <v>#VALUE!</v>
      </c>
      <c r="N118" s="6" t="e">
        <f>SUMIF([1]个股!$D$9:$D$2788,B118,[1]个股!$N$9:$N$2788)</f>
        <v>#VALUE!</v>
      </c>
      <c r="O118" s="7" t="e">
        <f t="shared" si="17"/>
        <v>#VALUE!</v>
      </c>
      <c r="P118" t="e">
        <f t="shared" ca="1" si="18"/>
        <v>#NAME?</v>
      </c>
      <c r="Q118" t="str">
        <f t="shared" si="19"/>
        <v>行业4 机场服务</v>
      </c>
    </row>
    <row r="119" spans="1:27">
      <c r="A119" t="s">
        <v>134</v>
      </c>
      <c r="B119" s="15" t="s">
        <v>153</v>
      </c>
      <c r="C119" s="1" t="e">
        <f t="shared" si="13"/>
        <v>#VALUE!</v>
      </c>
      <c r="D119" s="2" t="e">
        <f t="shared" si="14"/>
        <v>#VALUE!</v>
      </c>
      <c r="E119" s="3" t="e">
        <f t="shared" si="15"/>
        <v>#VALUE!</v>
      </c>
      <c r="F119" s="3">
        <v>1</v>
      </c>
      <c r="G119" s="4" t="e">
        <f t="shared" si="16"/>
        <v>#VALUE!</v>
      </c>
      <c r="H119" s="2" t="e">
        <f>AVERAGEIF([1]个股!$D$9:$D$2788,[1]行业!$B132,[1]个股!BC$9:BC$2788)</f>
        <v>#VALUE!</v>
      </c>
      <c r="I119" s="2" t="e">
        <f>AVERAGEIF([1]个股!$D$9:$D$2788,[1]行业!$B132,[1]个股!BD$9:BD$2788)</f>
        <v>#VALUE!</v>
      </c>
      <c r="J119" s="2" t="e">
        <f>AVERAGEIF([1]个股!$D$9:$D$2788,[1]行业!$B132,[1]个股!BE$9:BE$2788)</f>
        <v>#VALUE!</v>
      </c>
      <c r="K119" s="2" t="e">
        <f>AVERAGEIF([1]个股!$D$9:$D$2788,[1]行业!$B132,[1]个股!BF$9:BF$2788)</f>
        <v>#VALUE!</v>
      </c>
      <c r="L119" s="2" t="e">
        <f>AVERAGEIF([1]个股!$D$9:$D$2788,[1]行业!$B132,[1]个股!BG$9:BG$2788)</f>
        <v>#VALUE!</v>
      </c>
      <c r="M119" s="5" t="e">
        <f>SUMIF([1]个股!$D$9:$D$2788,B119,[1]个股!$M$9:$M$2788)</f>
        <v>#VALUE!</v>
      </c>
      <c r="N119" s="6" t="e">
        <f>SUMIF([1]个股!$D$9:$D$2788,B119,[1]个股!$N$9:$N$2788)</f>
        <v>#VALUE!</v>
      </c>
      <c r="O119" s="7" t="e">
        <f t="shared" si="17"/>
        <v>#VALUE!</v>
      </c>
      <c r="P119" t="e">
        <f t="shared" ca="1" si="18"/>
        <v>#NAME?</v>
      </c>
      <c r="Q119" t="str">
        <f t="shared" si="19"/>
        <v>行业4 服装、服饰与奢侈品</v>
      </c>
    </row>
    <row r="120" spans="1:27">
      <c r="A120" t="s">
        <v>134</v>
      </c>
      <c r="B120" s="15" t="s">
        <v>154</v>
      </c>
      <c r="C120" s="1" t="e">
        <f t="shared" si="13"/>
        <v>#VALUE!</v>
      </c>
      <c r="D120" s="2" t="e">
        <f t="shared" si="14"/>
        <v>#VALUE!</v>
      </c>
      <c r="E120" s="3" t="e">
        <f t="shared" si="15"/>
        <v>#VALUE!</v>
      </c>
      <c r="F120" s="3">
        <v>0.6</v>
      </c>
      <c r="G120" s="4" t="e">
        <f t="shared" si="16"/>
        <v>#VALUE!</v>
      </c>
      <c r="H120" s="2" t="e">
        <f>AVERAGEIF([1]个股!$D$9:$D$2788,[1]行业!$B185,[1]个股!BC$9:BC$2788)</f>
        <v>#VALUE!</v>
      </c>
      <c r="I120" s="2" t="e">
        <f>AVERAGEIF([1]个股!$D$9:$D$2788,[1]行业!$B185,[1]个股!BD$9:BD$2788)</f>
        <v>#VALUE!</v>
      </c>
      <c r="J120" s="2" t="e">
        <f>AVERAGEIF([1]个股!$D$9:$D$2788,[1]行业!$B185,[1]个股!BE$9:BE$2788)</f>
        <v>#VALUE!</v>
      </c>
      <c r="K120" s="2" t="e">
        <f>AVERAGEIF([1]个股!$D$9:$D$2788,[1]行业!$B185,[1]个股!BF$9:BF$2788)</f>
        <v>#VALUE!</v>
      </c>
      <c r="L120" s="2" t="e">
        <f>AVERAGEIF([1]个股!$D$9:$D$2788,[1]行业!$B185,[1]个股!BG$9:BG$2788)</f>
        <v>#VALUE!</v>
      </c>
      <c r="M120" s="5" t="e">
        <f>SUMIF([1]个股!$D$9:$D$2788,B120,[1]个股!$M$9:$M$2788)</f>
        <v>#VALUE!</v>
      </c>
      <c r="N120" s="6" t="e">
        <f>SUMIF([1]个股!$D$9:$D$2788,B120,[1]个股!$N$9:$N$2788)</f>
        <v>#VALUE!</v>
      </c>
      <c r="O120" s="7" t="e">
        <f t="shared" si="17"/>
        <v>#VALUE!</v>
      </c>
      <c r="P120" t="e">
        <f t="shared" ca="1" si="18"/>
        <v>#NAME?</v>
      </c>
      <c r="Q120" t="str">
        <f t="shared" si="19"/>
        <v>行业4 人寿与健康保险</v>
      </c>
      <c r="R120" s="2"/>
      <c r="S120" s="2"/>
      <c r="T120" s="2"/>
      <c r="U120" s="2"/>
      <c r="Y120" s="5"/>
      <c r="Z120" s="6"/>
      <c r="AA120" s="2"/>
    </row>
    <row r="121" spans="1:27">
      <c r="A121" t="s">
        <v>134</v>
      </c>
      <c r="B121" s="15" t="s">
        <v>155</v>
      </c>
      <c r="C121" s="1" t="e">
        <f t="shared" si="13"/>
        <v>#VALUE!</v>
      </c>
      <c r="D121" s="2" t="e">
        <f t="shared" si="14"/>
        <v>#VALUE!</v>
      </c>
      <c r="E121" s="3" t="e">
        <f t="shared" si="15"/>
        <v>#VALUE!</v>
      </c>
      <c r="F121" s="3">
        <v>1</v>
      </c>
      <c r="G121" s="4" t="e">
        <f t="shared" si="16"/>
        <v>#VALUE!</v>
      </c>
      <c r="H121" s="2" t="e">
        <f>AVERAGEIF([1]个股!$D$9:$D$2788,[1]行业!$B212,[1]个股!BC$9:BC$2788)</f>
        <v>#VALUE!</v>
      </c>
      <c r="I121" s="2" t="e">
        <f>AVERAGEIF([1]个股!$D$9:$D$2788,[1]行业!$B212,[1]个股!BD$9:BD$2788)</f>
        <v>#VALUE!</v>
      </c>
      <c r="J121" s="2" t="e">
        <f>AVERAGEIF([1]个股!$D$9:$D$2788,[1]行业!$B212,[1]个股!BE$9:BE$2788)</f>
        <v>#VALUE!</v>
      </c>
      <c r="K121" s="2" t="e">
        <f>AVERAGEIF([1]个股!$D$9:$D$2788,[1]行业!$B212,[1]个股!BF$9:BF$2788)</f>
        <v>#VALUE!</v>
      </c>
      <c r="L121" s="2" t="e">
        <f>AVERAGEIF([1]个股!$D$9:$D$2788,[1]行业!$B212,[1]个股!BG$9:BG$2788)</f>
        <v>#VALUE!</v>
      </c>
      <c r="M121" s="5" t="e">
        <f>SUMIF([1]个股!$D$9:$D$2788,B121,[1]个股!$M$9:$M$2788)</f>
        <v>#VALUE!</v>
      </c>
      <c r="N121" s="6" t="e">
        <f>SUMIF([1]个股!$D$9:$D$2788,B121,[1]个股!$N$9:$N$2788)</f>
        <v>#VALUE!</v>
      </c>
      <c r="O121" s="7" t="e">
        <f t="shared" si="17"/>
        <v>#VALUE!</v>
      </c>
      <c r="P121" t="e">
        <f t="shared" ca="1" si="18"/>
        <v>#NAME?</v>
      </c>
      <c r="Q121" t="str">
        <f t="shared" si="19"/>
        <v>行业4 休闲设施</v>
      </c>
      <c r="R121" s="2"/>
      <c r="S121" s="2"/>
      <c r="T121" s="2"/>
      <c r="U121" s="2"/>
      <c r="Y121" s="5"/>
      <c r="Z121" s="6"/>
      <c r="AA121" s="2"/>
    </row>
    <row r="122" spans="1:27">
      <c r="A122" t="s">
        <v>134</v>
      </c>
      <c r="B122" s="15" t="s">
        <v>156</v>
      </c>
      <c r="C122" s="1" t="e">
        <f t="shared" si="13"/>
        <v>#VALUE!</v>
      </c>
      <c r="D122" s="2" t="e">
        <f t="shared" si="14"/>
        <v>#VALUE!</v>
      </c>
      <c r="E122" s="3" t="e">
        <f t="shared" si="15"/>
        <v>#VALUE!</v>
      </c>
      <c r="F122" s="3">
        <v>1</v>
      </c>
      <c r="G122" s="4" t="e">
        <f t="shared" si="16"/>
        <v>#VALUE!</v>
      </c>
      <c r="H122" s="2" t="e">
        <f>AVERAGEIF([1]个股!$D$9:$D$2788,[1]行业!$B186,[1]个股!BC$9:BC$2788)</f>
        <v>#VALUE!</v>
      </c>
      <c r="I122" s="2" t="e">
        <f>AVERAGEIF([1]个股!$D$9:$D$2788,[1]行业!$B186,[1]个股!BD$9:BD$2788)</f>
        <v>#VALUE!</v>
      </c>
      <c r="J122" s="2" t="e">
        <f>AVERAGEIF([1]个股!$D$9:$D$2788,[1]行业!$B186,[1]个股!BE$9:BE$2788)</f>
        <v>#VALUE!</v>
      </c>
      <c r="K122" s="2" t="e">
        <f>AVERAGEIF([1]个股!$D$9:$D$2788,[1]行业!$B186,[1]个股!BF$9:BF$2788)</f>
        <v>#VALUE!</v>
      </c>
      <c r="L122" s="2" t="e">
        <f>AVERAGEIF([1]个股!$D$9:$D$2788,[1]行业!$B186,[1]个股!BG$9:BG$2788)</f>
        <v>#VALUE!</v>
      </c>
      <c r="M122" s="5" t="e">
        <f>SUMIF([1]个股!$D$9:$D$2788,B122,[1]个股!$M$9:$M$2788)</f>
        <v>#VALUE!</v>
      </c>
      <c r="N122" s="6" t="e">
        <f>SUMIF([1]个股!$D$9:$D$2788,B122,[1]个股!$N$9:$N$2788)</f>
        <v>#VALUE!</v>
      </c>
      <c r="O122" s="7" t="e">
        <f t="shared" si="17"/>
        <v>#VALUE!</v>
      </c>
      <c r="P122" t="e">
        <f t="shared" ca="1" si="18"/>
        <v>#NAME?</v>
      </c>
      <c r="Q122" t="str">
        <f t="shared" si="19"/>
        <v>行业4 软饮料</v>
      </c>
      <c r="R122" s="2"/>
      <c r="S122" s="2"/>
      <c r="T122" s="2"/>
      <c r="U122" s="2"/>
      <c r="Y122" s="5"/>
      <c r="Z122" s="6"/>
      <c r="AA122" s="2"/>
    </row>
    <row r="123" spans="1:27">
      <c r="A123" t="s">
        <v>134</v>
      </c>
      <c r="B123" s="15" t="s">
        <v>157</v>
      </c>
      <c r="C123" s="1" t="e">
        <f t="shared" si="13"/>
        <v>#VALUE!</v>
      </c>
      <c r="D123" s="2" t="e">
        <f t="shared" si="14"/>
        <v>#VALUE!</v>
      </c>
      <c r="E123" s="3" t="e">
        <f t="shared" si="15"/>
        <v>#VALUE!</v>
      </c>
      <c r="F123" s="3">
        <v>1</v>
      </c>
      <c r="G123" s="4" t="e">
        <f t="shared" si="16"/>
        <v>#VALUE!</v>
      </c>
      <c r="H123" s="2" t="e">
        <f>AVERAGEIF([1]个股!$D$9:$D$2788,[1]行业!$B200,[1]个股!BC$9:BC$2788)</f>
        <v>#VALUE!</v>
      </c>
      <c r="I123" s="2" t="e">
        <f>AVERAGEIF([1]个股!$D$9:$D$2788,[1]行业!$B200,[1]个股!BD$9:BD$2788)</f>
        <v>#VALUE!</v>
      </c>
      <c r="J123" s="2" t="e">
        <f>AVERAGEIF([1]个股!$D$9:$D$2788,[1]行业!$B200,[1]个股!BE$9:BE$2788)</f>
        <v>#VALUE!</v>
      </c>
      <c r="K123" s="2" t="e">
        <f>AVERAGEIF([1]个股!$D$9:$D$2788,[1]行业!$B200,[1]个股!BF$9:BF$2788)</f>
        <v>#VALUE!</v>
      </c>
      <c r="L123" s="2" t="e">
        <f>AVERAGEIF([1]个股!$D$9:$D$2788,[1]行业!$B200,[1]个股!BG$9:BG$2788)</f>
        <v>#VALUE!</v>
      </c>
      <c r="M123" s="5" t="e">
        <f>SUMIF([1]个股!$D$9:$D$2788,B123,[1]个股!$M$9:$M$2788)</f>
        <v>#VALUE!</v>
      </c>
      <c r="N123" s="6" t="e">
        <f>SUMIF([1]个股!$D$9:$D$2788,B123,[1]个股!$N$9:$N$2788)</f>
        <v>#VALUE!</v>
      </c>
      <c r="O123" s="7" t="e">
        <f t="shared" si="17"/>
        <v>#VALUE!</v>
      </c>
      <c r="P123" t="e">
        <f t="shared" ca="1" si="18"/>
        <v>#NAME?</v>
      </c>
      <c r="Q123" t="str">
        <f t="shared" si="19"/>
        <v>行业4 特种化工</v>
      </c>
      <c r="R123" s="2"/>
      <c r="S123" s="2"/>
      <c r="T123" s="2"/>
      <c r="U123" s="2"/>
      <c r="Y123" s="5"/>
      <c r="Z123" s="6"/>
      <c r="AA123" s="2"/>
    </row>
    <row r="124" spans="1:27">
      <c r="A124" t="s">
        <v>134</v>
      </c>
      <c r="B124" s="15" t="s">
        <v>158</v>
      </c>
      <c r="C124" s="1" t="e">
        <f t="shared" si="13"/>
        <v>#VALUE!</v>
      </c>
      <c r="D124" s="2" t="e">
        <f t="shared" si="14"/>
        <v>#VALUE!</v>
      </c>
      <c r="E124" s="3" t="e">
        <f t="shared" si="15"/>
        <v>#VALUE!</v>
      </c>
      <c r="F124" s="3">
        <v>1</v>
      </c>
      <c r="G124" s="4" t="e">
        <f t="shared" si="16"/>
        <v>#VALUE!</v>
      </c>
      <c r="H124" s="2" t="e">
        <f>AVERAGEIF([1]个股!$D$9:$D$2788,[1]行业!$B222,[1]个股!BC$9:BC$2788)</f>
        <v>#VALUE!</v>
      </c>
      <c r="I124" s="2" t="e">
        <f>AVERAGEIF([1]个股!$D$9:$D$2788,[1]行业!$B222,[1]个股!BD$9:BD$2788)</f>
        <v>#VALUE!</v>
      </c>
      <c r="J124" s="2" t="e">
        <f>AVERAGEIF([1]个股!$D$9:$D$2788,[1]行业!$B222,[1]个股!BE$9:BE$2788)</f>
        <v>#VALUE!</v>
      </c>
      <c r="K124" s="2" t="e">
        <f>AVERAGEIF([1]个股!$D$9:$D$2788,[1]行业!$B222,[1]个股!BF$9:BF$2788)</f>
        <v>#VALUE!</v>
      </c>
      <c r="L124" s="2" t="e">
        <f>AVERAGEIF([1]个股!$D$9:$D$2788,[1]行业!$B222,[1]个股!BG$9:BG$2788)</f>
        <v>#VALUE!</v>
      </c>
      <c r="M124" s="5" t="e">
        <f>SUMIF([1]个股!$D$9:$D$2788,B124,[1]个股!$M$9:$M$2788)</f>
        <v>#VALUE!</v>
      </c>
      <c r="N124" s="6" t="e">
        <f>SUMIF([1]个股!$D$9:$D$2788,B124,[1]个股!$N$9:$N$2788)</f>
        <v>#VALUE!</v>
      </c>
      <c r="O124" s="7" t="e">
        <f t="shared" si="17"/>
        <v>#VALUE!</v>
      </c>
      <c r="P124" t="e">
        <f t="shared" ca="1" si="18"/>
        <v>#NAME?</v>
      </c>
      <c r="Q124" t="str">
        <f t="shared" si="19"/>
        <v>行业4 中药</v>
      </c>
      <c r="R124" s="2"/>
      <c r="S124" s="2"/>
      <c r="T124" s="2"/>
      <c r="U124" s="2"/>
      <c r="Y124" s="5"/>
      <c r="Z124" s="6"/>
      <c r="AA124" s="2"/>
    </row>
    <row r="125" spans="1:27">
      <c r="A125" t="s">
        <v>134</v>
      </c>
      <c r="B125" s="15" t="s">
        <v>159</v>
      </c>
      <c r="C125" s="1" t="e">
        <f t="shared" si="13"/>
        <v>#VALUE!</v>
      </c>
      <c r="D125" s="2" t="e">
        <f t="shared" si="14"/>
        <v>#VALUE!</v>
      </c>
      <c r="E125" s="3" t="e">
        <f t="shared" si="15"/>
        <v>#VALUE!</v>
      </c>
      <c r="F125" s="3">
        <v>1</v>
      </c>
      <c r="G125" s="4" t="e">
        <f t="shared" si="16"/>
        <v>#VALUE!</v>
      </c>
      <c r="H125" s="2" t="e">
        <f>AVERAGEIF([1]个股!$D$9:$D$2788,[1]行业!$B159,[1]个股!BC$9:BC$2788)</f>
        <v>#VALUE!</v>
      </c>
      <c r="I125" s="2" t="e">
        <f>AVERAGEIF([1]个股!$D$9:$D$2788,[1]行业!$B159,[1]个股!BD$9:BD$2788)</f>
        <v>#VALUE!</v>
      </c>
      <c r="J125" s="2" t="e">
        <f>AVERAGEIF([1]个股!$D$9:$D$2788,[1]行业!$B159,[1]个股!BE$9:BE$2788)</f>
        <v>#VALUE!</v>
      </c>
      <c r="K125" s="2" t="e">
        <f>AVERAGEIF([1]个股!$D$9:$D$2788,[1]行业!$B159,[1]个股!BF$9:BF$2788)</f>
        <v>#VALUE!</v>
      </c>
      <c r="L125" s="2" t="e">
        <f>AVERAGEIF([1]个股!$D$9:$D$2788,[1]行业!$B159,[1]个股!BG$9:BG$2788)</f>
        <v>#VALUE!</v>
      </c>
      <c r="M125" s="5" t="e">
        <f>SUMIF([1]个股!$D$9:$D$2788,B125,[1]个股!$M$9:$M$2788)</f>
        <v>#VALUE!</v>
      </c>
      <c r="N125" s="6" t="e">
        <f>SUMIF([1]个股!$D$9:$D$2788,B125,[1]个股!$N$9:$N$2788)</f>
        <v>#VALUE!</v>
      </c>
      <c r="O125" s="7" t="e">
        <f t="shared" si="17"/>
        <v>#VALUE!</v>
      </c>
      <c r="P125" t="e">
        <f t="shared" ca="1" si="18"/>
        <v>#NAME?</v>
      </c>
      <c r="Q125" t="str">
        <f t="shared" si="19"/>
        <v>行业4 家庭装饰品</v>
      </c>
    </row>
    <row r="126" spans="1:27">
      <c r="A126" t="s">
        <v>134</v>
      </c>
      <c r="B126" s="15" t="s">
        <v>160</v>
      </c>
      <c r="C126" s="1" t="e">
        <f t="shared" si="13"/>
        <v>#VALUE!</v>
      </c>
      <c r="D126" s="2" t="e">
        <f t="shared" si="14"/>
        <v>#VALUE!</v>
      </c>
      <c r="E126" s="3" t="e">
        <f t="shared" si="15"/>
        <v>#VALUE!</v>
      </c>
      <c r="F126" s="3">
        <v>0.8</v>
      </c>
      <c r="G126" s="4" t="e">
        <f t="shared" si="16"/>
        <v>#VALUE!</v>
      </c>
      <c r="H126" s="2" t="e">
        <f>AVERAGEIF([1]个股!$D$9:$D$2788,[1]行业!$B165,[1]个股!BC$9:BC$2788)</f>
        <v>#VALUE!</v>
      </c>
      <c r="I126" s="2" t="e">
        <f>AVERAGEIF([1]个股!$D$9:$D$2788,[1]行业!$B165,[1]个股!BD$9:BD$2788)</f>
        <v>#VALUE!</v>
      </c>
      <c r="J126" s="2" t="e">
        <f>AVERAGEIF([1]个股!$D$9:$D$2788,[1]行业!$B165,[1]个股!BE$9:BE$2788)</f>
        <v>#VALUE!</v>
      </c>
      <c r="K126" s="2" t="e">
        <f>AVERAGEIF([1]个股!$D$9:$D$2788,[1]行业!$B165,[1]个股!BF$9:BF$2788)</f>
        <v>#VALUE!</v>
      </c>
      <c r="L126" s="2" t="e">
        <f>AVERAGEIF([1]个股!$D$9:$D$2788,[1]行业!$B165,[1]个股!BG$9:BG$2788)</f>
        <v>#VALUE!</v>
      </c>
      <c r="M126" s="5" t="e">
        <f>SUMIF([1]个股!$D$9:$D$2788,B126,[1]个股!$M$9:$M$2788)</f>
        <v>#VALUE!</v>
      </c>
      <c r="N126" s="6" t="e">
        <f>SUMIF([1]个股!$D$9:$D$2788,B126,[1]个股!$N$9:$N$2788)</f>
        <v>#VALUE!</v>
      </c>
      <c r="O126" s="7" t="e">
        <f t="shared" si="17"/>
        <v>#VALUE!</v>
      </c>
      <c r="P126" t="e">
        <f t="shared" ca="1" si="18"/>
        <v>#NAME?</v>
      </c>
      <c r="Q126" t="str">
        <f t="shared" si="19"/>
        <v>行业4 建筑与工程</v>
      </c>
      <c r="R126" s="2"/>
      <c r="S126" s="2"/>
      <c r="T126" s="2"/>
      <c r="U126" s="2"/>
      <c r="Y126" s="5"/>
      <c r="Z126" s="6"/>
      <c r="AA126" s="2"/>
    </row>
    <row r="127" spans="1:27">
      <c r="A127" t="s">
        <v>134</v>
      </c>
      <c r="B127" s="15" t="s">
        <v>161</v>
      </c>
      <c r="C127" s="1" t="e">
        <f t="shared" si="13"/>
        <v>#VALUE!</v>
      </c>
      <c r="D127" s="2" t="e">
        <f t="shared" si="14"/>
        <v>#VALUE!</v>
      </c>
      <c r="E127" s="3" t="e">
        <f t="shared" si="15"/>
        <v>#VALUE!</v>
      </c>
      <c r="F127" s="3">
        <v>1</v>
      </c>
      <c r="G127" s="4" t="e">
        <f t="shared" si="16"/>
        <v>#VALUE!</v>
      </c>
      <c r="H127" s="2" t="e">
        <f>AVERAGEIF([1]个股!$D$9:$D$2788,[1]行业!$B223,[1]个股!BC$9:BC$2788)</f>
        <v>#VALUE!</v>
      </c>
      <c r="I127" s="2" t="e">
        <f>AVERAGEIF([1]个股!$D$9:$D$2788,[1]行业!$B223,[1]个股!BD$9:BD$2788)</f>
        <v>#VALUE!</v>
      </c>
      <c r="J127" s="2" t="e">
        <f>AVERAGEIF([1]个股!$D$9:$D$2788,[1]行业!$B223,[1]个股!BE$9:BE$2788)</f>
        <v>#VALUE!</v>
      </c>
      <c r="K127" s="2" t="e">
        <f>AVERAGEIF([1]个股!$D$9:$D$2788,[1]行业!$B223,[1]个股!BF$9:BF$2788)</f>
        <v>#VALUE!</v>
      </c>
      <c r="L127" s="2" t="e">
        <f>AVERAGEIF([1]个股!$D$9:$D$2788,[1]行业!$B223,[1]个股!BG$9:BG$2788)</f>
        <v>#VALUE!</v>
      </c>
      <c r="M127" s="5" t="e">
        <f>SUMIF([1]个股!$D$9:$D$2788,B127,[1]个股!$M$9:$M$2788)</f>
        <v>#VALUE!</v>
      </c>
      <c r="N127" s="6" t="e">
        <f>SUMIF([1]个股!$D$9:$D$2788,B127,[1]个股!$N$9:$N$2788)</f>
        <v>#VALUE!</v>
      </c>
      <c r="O127" s="7" t="e">
        <f t="shared" si="17"/>
        <v>#VALUE!</v>
      </c>
      <c r="P127" t="e">
        <f t="shared" ca="1" si="18"/>
        <v>#NAME?</v>
      </c>
      <c r="Q127" t="str">
        <f t="shared" si="19"/>
        <v>行业4 重型电气设备</v>
      </c>
      <c r="R127" s="2"/>
      <c r="S127" s="2"/>
      <c r="T127" s="2"/>
      <c r="U127" s="2"/>
      <c r="Y127" s="5"/>
      <c r="Z127" s="6"/>
      <c r="AA127" s="2"/>
    </row>
    <row r="128" spans="1:27">
      <c r="A128" t="s">
        <v>134</v>
      </c>
      <c r="B128" s="15" t="s">
        <v>162</v>
      </c>
      <c r="C128" s="1" t="e">
        <f t="shared" si="13"/>
        <v>#VALUE!</v>
      </c>
      <c r="D128" s="2" t="e">
        <f t="shared" si="14"/>
        <v>#VALUE!</v>
      </c>
      <c r="E128" s="3" t="e">
        <f t="shared" si="15"/>
        <v>#VALUE!</v>
      </c>
      <c r="F128" s="3">
        <v>1</v>
      </c>
      <c r="G128" s="4" t="e">
        <f t="shared" si="16"/>
        <v>#VALUE!</v>
      </c>
      <c r="H128" s="2" t="e">
        <f>AVERAGEIF([1]个股!$D$9:$D$2788,[1]行业!$B125,[1]个股!BC$9:BC$2788)</f>
        <v>#VALUE!</v>
      </c>
      <c r="I128" s="2" t="e">
        <f>AVERAGEIF([1]个股!$D$9:$D$2788,[1]行业!$B125,[1]个股!BD$9:BD$2788)</f>
        <v>#VALUE!</v>
      </c>
      <c r="J128" s="2" t="e">
        <f>AVERAGEIF([1]个股!$D$9:$D$2788,[1]行业!$B125,[1]个股!BE$9:BE$2788)</f>
        <v>#VALUE!</v>
      </c>
      <c r="K128" s="2" t="e">
        <f>AVERAGEIF([1]个股!$D$9:$D$2788,[1]行业!$B125,[1]个股!BF$9:BF$2788)</f>
        <v>#VALUE!</v>
      </c>
      <c r="L128" s="2" t="e">
        <f>AVERAGEIF([1]个股!$D$9:$D$2788,[1]行业!$B125,[1]个股!BG$9:BG$2788)</f>
        <v>#VALUE!</v>
      </c>
      <c r="M128" s="5" t="e">
        <f>SUMIF([1]个股!$D$9:$D$2788,B128,[1]个股!$M$9:$M$2788)</f>
        <v>#VALUE!</v>
      </c>
      <c r="N128" s="6" t="e">
        <f>SUMIF([1]个股!$D$9:$D$2788,B128,[1]个股!$N$9:$N$2788)</f>
        <v>#VALUE!</v>
      </c>
      <c r="O128" s="7" t="e">
        <f t="shared" si="17"/>
        <v>#VALUE!</v>
      </c>
      <c r="P128" t="e">
        <f t="shared" ca="1" si="18"/>
        <v>#NAME?</v>
      </c>
      <c r="Q128" t="str">
        <f t="shared" si="19"/>
        <v>行业4 多元化工</v>
      </c>
    </row>
    <row r="129" spans="1:27">
      <c r="A129" t="s">
        <v>134</v>
      </c>
      <c r="B129" s="15" t="s">
        <v>163</v>
      </c>
      <c r="C129" s="1" t="e">
        <f t="shared" si="13"/>
        <v>#VALUE!</v>
      </c>
      <c r="D129" s="2" t="e">
        <f t="shared" si="14"/>
        <v>#VALUE!</v>
      </c>
      <c r="E129" s="3" t="e">
        <f t="shared" si="15"/>
        <v>#VALUE!</v>
      </c>
      <c r="F129" s="3">
        <v>1</v>
      </c>
      <c r="G129" s="4" t="e">
        <f t="shared" si="16"/>
        <v>#VALUE!</v>
      </c>
      <c r="H129" s="2" t="e">
        <f>AVERAGEIF([1]个股!$D$9:$D$2788,[1]行业!$B148,[1]个股!BC$9:BC$2788)</f>
        <v>#VALUE!</v>
      </c>
      <c r="I129" s="2" t="e">
        <f>AVERAGEIF([1]个股!$D$9:$D$2788,[1]行业!$B148,[1]个股!BD$9:BD$2788)</f>
        <v>#VALUE!</v>
      </c>
      <c r="J129" s="2" t="e">
        <f>AVERAGEIF([1]个股!$D$9:$D$2788,[1]行业!$B148,[1]个股!BE$9:BE$2788)</f>
        <v>#VALUE!</v>
      </c>
      <c r="K129" s="2" t="e">
        <f>AVERAGEIF([1]个股!$D$9:$D$2788,[1]行业!$B148,[1]个股!BF$9:BF$2788)</f>
        <v>#VALUE!</v>
      </c>
      <c r="L129" s="2" t="e">
        <f>AVERAGEIF([1]个股!$D$9:$D$2788,[1]行业!$B148,[1]个股!BG$9:BG$2788)</f>
        <v>#VALUE!</v>
      </c>
      <c r="M129" s="5" t="e">
        <f>SUMIF([1]个股!$D$9:$D$2788,B129,[1]个股!$M$9:$M$2788)</f>
        <v>#VALUE!</v>
      </c>
      <c r="N129" s="6" t="e">
        <f>SUMIF([1]个股!$D$9:$D$2788,B129,[1]个股!$N$9:$N$2788)</f>
        <v>#VALUE!</v>
      </c>
      <c r="O129" s="7" t="e">
        <f t="shared" si="17"/>
        <v>#VALUE!</v>
      </c>
      <c r="P129" t="e">
        <f t="shared" ca="1" si="18"/>
        <v>#NAME?</v>
      </c>
      <c r="Q129" t="str">
        <f t="shared" si="19"/>
        <v>行业4 互联网软件与服务</v>
      </c>
    </row>
    <row r="130" spans="1:27">
      <c r="A130" t="s">
        <v>134</v>
      </c>
      <c r="B130" s="15" t="s">
        <v>164</v>
      </c>
      <c r="C130" s="1" t="e">
        <f t="shared" si="13"/>
        <v>#VALUE!</v>
      </c>
      <c r="D130" s="2" t="e">
        <f t="shared" si="14"/>
        <v>#VALUE!</v>
      </c>
      <c r="E130" s="3" t="e">
        <f t="shared" si="15"/>
        <v>#VALUE!</v>
      </c>
      <c r="F130" s="3">
        <v>1</v>
      </c>
      <c r="G130" s="4" t="e">
        <f t="shared" si="16"/>
        <v>#VALUE!</v>
      </c>
      <c r="H130" s="2" t="e">
        <f>AVERAGEIF([1]个股!$D$9:$D$2788,[1]行业!$B190,[1]个股!BC$9:BC$2788)</f>
        <v>#VALUE!</v>
      </c>
      <c r="I130" s="2" t="e">
        <f>AVERAGEIF([1]个股!$D$9:$D$2788,[1]行业!$B190,[1]个股!BD$9:BD$2788)</f>
        <v>#VALUE!</v>
      </c>
      <c r="J130" s="2" t="e">
        <f>AVERAGEIF([1]个股!$D$9:$D$2788,[1]行业!$B190,[1]个股!BE$9:BE$2788)</f>
        <v>#VALUE!</v>
      </c>
      <c r="K130" s="2" t="e">
        <f>AVERAGEIF([1]个股!$D$9:$D$2788,[1]行业!$B190,[1]个股!BF$9:BF$2788)</f>
        <v>#VALUE!</v>
      </c>
      <c r="L130" s="2" t="e">
        <f>AVERAGEIF([1]个股!$D$9:$D$2788,[1]行业!$B190,[1]个股!BG$9:BG$2788)</f>
        <v>#VALUE!</v>
      </c>
      <c r="M130" s="5" t="e">
        <f>SUMIF([1]个股!$D$9:$D$2788,B130,[1]个股!$M$9:$M$2788)</f>
        <v>#VALUE!</v>
      </c>
      <c r="N130" s="6" t="e">
        <f>SUMIF([1]个股!$D$9:$D$2788,B130,[1]个股!$N$9:$N$2788)</f>
        <v>#VALUE!</v>
      </c>
      <c r="O130" s="7" t="e">
        <f t="shared" si="17"/>
        <v>#VALUE!</v>
      </c>
      <c r="P130" t="e">
        <f t="shared" ca="1" si="18"/>
        <v>#NAME?</v>
      </c>
      <c r="Q130" t="str">
        <f t="shared" si="19"/>
        <v>行业4 生物科技</v>
      </c>
      <c r="R130" s="2"/>
      <c r="S130" s="2"/>
      <c r="T130" s="2"/>
      <c r="U130" s="2"/>
      <c r="Y130" s="5"/>
      <c r="Z130" s="6"/>
      <c r="AA130" s="2"/>
    </row>
    <row r="131" spans="1:27">
      <c r="A131" t="s">
        <v>134</v>
      </c>
      <c r="B131" s="15" t="s">
        <v>165</v>
      </c>
      <c r="C131" s="1" t="e">
        <f t="shared" si="13"/>
        <v>#VALUE!</v>
      </c>
      <c r="D131" s="2" t="e">
        <f t="shared" si="14"/>
        <v>#VALUE!</v>
      </c>
      <c r="E131" s="3" t="e">
        <f t="shared" si="15"/>
        <v>#VALUE!</v>
      </c>
      <c r="F131" s="3">
        <v>1</v>
      </c>
      <c r="G131" s="4" t="e">
        <f t="shared" si="16"/>
        <v>#VALUE!</v>
      </c>
      <c r="H131" s="2" t="e">
        <f>AVERAGEIF([1]个股!$D$9:$D$2788,[1]行业!$B131,[1]个股!BC$9:BC$2788)</f>
        <v>#VALUE!</v>
      </c>
      <c r="I131" s="2" t="e">
        <f>AVERAGEIF([1]个股!$D$9:$D$2788,[1]行业!$B131,[1]个股!BD$9:BD$2788)</f>
        <v>#VALUE!</v>
      </c>
      <c r="J131" s="2" t="e">
        <f>AVERAGEIF([1]个股!$D$9:$D$2788,[1]行业!$B131,[1]个股!BE$9:BE$2788)</f>
        <v>#VALUE!</v>
      </c>
      <c r="K131" s="2" t="e">
        <f>AVERAGEIF([1]个股!$D$9:$D$2788,[1]行业!$B131,[1]个股!BF$9:BF$2788)</f>
        <v>#VALUE!</v>
      </c>
      <c r="L131" s="2" t="e">
        <f>AVERAGEIF([1]个股!$D$9:$D$2788,[1]行业!$B131,[1]个股!BG$9:BG$2788)</f>
        <v>#VALUE!</v>
      </c>
      <c r="M131" s="5" t="e">
        <f>SUMIF([1]个股!$D$9:$D$2788,B131,[1]个股!$M$9:$M$2788)</f>
        <v>#VALUE!</v>
      </c>
      <c r="N131" s="6" t="e">
        <f>SUMIF([1]个股!$D$9:$D$2788,B131,[1]个股!$N$9:$N$2788)</f>
        <v>#VALUE!</v>
      </c>
      <c r="O131" s="7" t="e">
        <f t="shared" si="17"/>
        <v>#VALUE!</v>
      </c>
      <c r="P131" t="e">
        <f t="shared" ca="1" si="18"/>
        <v>#NAME?</v>
      </c>
      <c r="Q131" t="str">
        <f t="shared" si="19"/>
        <v>行业4 非传统电信运营商</v>
      </c>
    </row>
    <row r="132" spans="1:27">
      <c r="A132" t="s">
        <v>134</v>
      </c>
      <c r="B132" s="15" t="s">
        <v>166</v>
      </c>
      <c r="C132" s="1" t="e">
        <f t="shared" ref="C132:C195" si="20">AVERAGEIF(A$4:A$231,A132,D$4:D$231)</f>
        <v>#VALUE!</v>
      </c>
      <c r="D132" s="2" t="e">
        <f t="shared" ref="D132:D195" si="21">K132*30%+ L132*70%</f>
        <v>#VALUE!</v>
      </c>
      <c r="E132" s="3" t="e">
        <f t="shared" ref="E132:E195" si="22">IF((D132+C132)/(2*C132)&gt;0,((D132+C132)/(2*C132))^0.5,50%)</f>
        <v>#VALUE!</v>
      </c>
      <c r="F132" s="3">
        <v>1</v>
      </c>
      <c r="G132" s="4" t="e">
        <f t="shared" ref="G132:G195" si="23">E132*F132</f>
        <v>#VALUE!</v>
      </c>
      <c r="H132" s="2" t="e">
        <f>AVERAGEIF([1]个股!$D$9:$D$2788,[1]行业!$B168,[1]个股!BC$9:BC$2788)</f>
        <v>#VALUE!</v>
      </c>
      <c r="I132" s="2" t="e">
        <f>AVERAGEIF([1]个股!$D$9:$D$2788,[1]行业!$B168,[1]个股!BD$9:BD$2788)</f>
        <v>#VALUE!</v>
      </c>
      <c r="J132" s="2" t="e">
        <f>AVERAGEIF([1]个股!$D$9:$D$2788,[1]行业!$B168,[1]个股!BE$9:BE$2788)</f>
        <v>#VALUE!</v>
      </c>
      <c r="K132" s="2" t="e">
        <f>AVERAGEIF([1]个股!$D$9:$D$2788,[1]行业!$B168,[1]个股!BF$9:BF$2788)</f>
        <v>#VALUE!</v>
      </c>
      <c r="L132" s="2" t="e">
        <f>AVERAGEIF([1]个股!$D$9:$D$2788,[1]行业!$B168,[1]个股!BG$9:BG$2788)</f>
        <v>#VALUE!</v>
      </c>
      <c r="M132" s="5" t="e">
        <f>SUMIF([1]个股!$D$9:$D$2788,B132,[1]个股!$M$9:$M$2788)</f>
        <v>#VALUE!</v>
      </c>
      <c r="N132" s="6" t="e">
        <f>SUMIF([1]个股!$D$9:$D$2788,B132,[1]个股!$N$9:$N$2788)</f>
        <v>#VALUE!</v>
      </c>
      <c r="O132" s="7" t="e">
        <f t="shared" ref="O132:O195" si="24">(M132-N132)/N132</f>
        <v>#VALUE!</v>
      </c>
      <c r="P132" t="e">
        <f t="shared" ca="1" si="18"/>
        <v>#NAME?</v>
      </c>
      <c r="Q132" t="str">
        <f t="shared" si="19"/>
        <v>行业4 金属与玻璃容器</v>
      </c>
      <c r="R132" s="2"/>
      <c r="S132" s="2"/>
      <c r="T132" s="2"/>
      <c r="U132" s="2"/>
      <c r="Y132" s="5"/>
      <c r="Z132" s="6"/>
      <c r="AA132" s="2"/>
    </row>
    <row r="133" spans="1:27">
      <c r="A133" t="s">
        <v>134</v>
      </c>
      <c r="B133" s="15" t="s">
        <v>167</v>
      </c>
      <c r="C133" s="1" t="e">
        <f t="shared" si="20"/>
        <v>#VALUE!</v>
      </c>
      <c r="D133" s="2" t="e">
        <f t="shared" si="21"/>
        <v>#VALUE!</v>
      </c>
      <c r="E133" s="3" t="e">
        <f t="shared" si="22"/>
        <v>#VALUE!</v>
      </c>
      <c r="F133" s="3">
        <v>1</v>
      </c>
      <c r="G133" s="4" t="e">
        <f t="shared" si="23"/>
        <v>#VALUE!</v>
      </c>
      <c r="H133" s="2" t="e">
        <f>AVERAGEIF([1]个股!$D$9:$D$2788,[1]行业!$B171,[1]个股!BC$9:BC$2788)</f>
        <v>#VALUE!</v>
      </c>
      <c r="I133" s="2" t="e">
        <f>AVERAGEIF([1]个股!$D$9:$D$2788,[1]行业!$B171,[1]个股!BD$9:BD$2788)</f>
        <v>#VALUE!</v>
      </c>
      <c r="J133" s="2" t="e">
        <f>AVERAGEIF([1]个股!$D$9:$D$2788,[1]行业!$B171,[1]个股!BE$9:BE$2788)</f>
        <v>#VALUE!</v>
      </c>
      <c r="K133" s="2" t="e">
        <f>AVERAGEIF([1]个股!$D$9:$D$2788,[1]行业!$B171,[1]个股!BF$9:BF$2788)</f>
        <v>#VALUE!</v>
      </c>
      <c r="L133" s="2" t="e">
        <f>AVERAGEIF([1]个股!$D$9:$D$2788,[1]行业!$B171,[1]个股!BG$9:BG$2788)</f>
        <v>#VALUE!</v>
      </c>
      <c r="M133" s="5" t="e">
        <f>SUMIF([1]个股!$D$9:$D$2788,B133,[1]个股!$M$9:$M$2788)</f>
        <v>#VALUE!</v>
      </c>
      <c r="N133" s="6" t="e">
        <f>SUMIF([1]个股!$D$9:$D$2788,B133,[1]个股!$N$9:$N$2788)</f>
        <v>#VALUE!</v>
      </c>
      <c r="O133" s="7" t="e">
        <f t="shared" si="24"/>
        <v>#VALUE!</v>
      </c>
      <c r="P133" t="e">
        <f t="shared" ref="P133:P196" ca="1" si="25">LOWER(hztopy(B133))&amp;RIGHT(A133,1)</f>
        <v>#NAME?</v>
      </c>
      <c r="Q133" t="str">
        <f t="shared" si="19"/>
        <v>行业4 轮胎与橡胶</v>
      </c>
      <c r="R133" s="2"/>
      <c r="S133" s="2"/>
      <c r="T133" s="2"/>
      <c r="U133" s="2"/>
      <c r="Y133" s="5"/>
      <c r="Z133" s="6"/>
      <c r="AA133" s="2"/>
    </row>
    <row r="134" spans="1:27">
      <c r="A134" t="s">
        <v>134</v>
      </c>
      <c r="B134" s="15" t="s">
        <v>168</v>
      </c>
      <c r="C134" s="1" t="e">
        <f t="shared" si="20"/>
        <v>#VALUE!</v>
      </c>
      <c r="D134" s="2" t="e">
        <f t="shared" si="21"/>
        <v>#VALUE!</v>
      </c>
      <c r="E134" s="3" t="e">
        <f t="shared" si="22"/>
        <v>#VALUE!</v>
      </c>
      <c r="F134" s="3">
        <v>1</v>
      </c>
      <c r="G134" s="4" t="e">
        <f t="shared" si="23"/>
        <v>#VALUE!</v>
      </c>
      <c r="H134" s="2" t="e">
        <f>AVERAGEIF([1]个股!$D$9:$D$2788,[1]行业!$B176,[1]个股!BC$9:BC$2788)</f>
        <v>#VALUE!</v>
      </c>
      <c r="I134" s="2" t="e">
        <f>AVERAGEIF([1]个股!$D$9:$D$2788,[1]行业!$B176,[1]个股!BD$9:BD$2788)</f>
        <v>#VALUE!</v>
      </c>
      <c r="J134" s="2" t="e">
        <f>AVERAGEIF([1]个股!$D$9:$D$2788,[1]行业!$B176,[1]个股!BE$9:BE$2788)</f>
        <v>#VALUE!</v>
      </c>
      <c r="K134" s="2" t="e">
        <f>AVERAGEIF([1]个股!$D$9:$D$2788,[1]行业!$B176,[1]个股!BF$9:BF$2788)</f>
        <v>#VALUE!</v>
      </c>
      <c r="L134" s="2" t="e">
        <f>AVERAGEIF([1]个股!$D$9:$D$2788,[1]行业!$B176,[1]个股!BG$9:BG$2788)</f>
        <v>#VALUE!</v>
      </c>
      <c r="M134" s="5" t="e">
        <f>SUMIF([1]个股!$D$9:$D$2788,B134,[1]个股!$M$9:$M$2788)</f>
        <v>#VALUE!</v>
      </c>
      <c r="N134" s="6" t="e">
        <f>SUMIF([1]个股!$D$9:$D$2788,B134,[1]个股!$N$9:$N$2788)</f>
        <v>#VALUE!</v>
      </c>
      <c r="O134" s="7" t="e">
        <f t="shared" si="24"/>
        <v>#VALUE!</v>
      </c>
      <c r="P134" t="e">
        <f t="shared" ca="1" si="25"/>
        <v>#NAME?</v>
      </c>
      <c r="Q134" t="str">
        <f t="shared" si="19"/>
        <v>行业4 摩托车制造</v>
      </c>
      <c r="R134" s="2"/>
      <c r="S134" s="2"/>
      <c r="T134" s="2"/>
      <c r="U134" s="2"/>
      <c r="Y134" s="5"/>
      <c r="Z134" s="6"/>
      <c r="AA134" s="2"/>
    </row>
    <row r="135" spans="1:27">
      <c r="A135" t="s">
        <v>134</v>
      </c>
      <c r="B135" s="15" t="s">
        <v>169</v>
      </c>
      <c r="C135" s="1" t="e">
        <f t="shared" si="20"/>
        <v>#VALUE!</v>
      </c>
      <c r="D135" s="2" t="e">
        <f t="shared" si="21"/>
        <v>#VALUE!</v>
      </c>
      <c r="E135" s="3" t="e">
        <f t="shared" si="22"/>
        <v>#VALUE!</v>
      </c>
      <c r="F135" s="3">
        <v>1</v>
      </c>
      <c r="G135" s="4" t="e">
        <f t="shared" si="23"/>
        <v>#VALUE!</v>
      </c>
      <c r="H135" s="2" t="e">
        <f>AVERAGEIF([1]个股!$D$9:$D$2788,[1]行业!$B104,[1]个股!BC$9:BC$2788)</f>
        <v>#VALUE!</v>
      </c>
      <c r="I135" s="2" t="e">
        <f>AVERAGEIF([1]个股!$D$9:$D$2788,[1]行业!$B104,[1]个股!BD$9:BD$2788)</f>
        <v>#VALUE!</v>
      </c>
      <c r="J135" s="2" t="e">
        <f>AVERAGEIF([1]个股!$D$9:$D$2788,[1]行业!$B104,[1]个股!BE$9:BE$2788)</f>
        <v>#VALUE!</v>
      </c>
      <c r="K135" s="2" t="e">
        <f>AVERAGEIF([1]个股!$D$9:$D$2788,[1]行业!$B104,[1]个股!BF$9:BF$2788)</f>
        <v>#VALUE!</v>
      </c>
      <c r="L135" s="2" t="e">
        <f>AVERAGEIF([1]个股!$D$9:$D$2788,[1]行业!$B104,[1]个股!BG$9:BG$2788)</f>
        <v>#VALUE!</v>
      </c>
      <c r="M135" s="5" t="e">
        <f>SUMIF([1]个股!$D$9:$D$2788,B135,[1]个股!$M$9:$M$2788)</f>
        <v>#VALUE!</v>
      </c>
      <c r="N135" s="6" t="e">
        <f>SUMIF([1]个股!$D$9:$D$2788,B135,[1]个股!$N$9:$N$2788)</f>
        <v>#VALUE!</v>
      </c>
      <c r="O135" s="7" t="e">
        <f t="shared" si="24"/>
        <v>#VALUE!</v>
      </c>
      <c r="P135" t="e">
        <f t="shared" ca="1" si="25"/>
        <v>#NAME?</v>
      </c>
      <c r="Q135" t="str">
        <f t="shared" si="19"/>
        <v>行业4 办公服务与用品</v>
      </c>
    </row>
    <row r="136" spans="1:27">
      <c r="A136" t="s">
        <v>134</v>
      </c>
      <c r="B136" s="15" t="s">
        <v>170</v>
      </c>
      <c r="C136" s="1" t="e">
        <f t="shared" si="20"/>
        <v>#VALUE!</v>
      </c>
      <c r="D136" s="2" t="e">
        <f t="shared" si="21"/>
        <v>#VALUE!</v>
      </c>
      <c r="E136" s="3" t="e">
        <f t="shared" si="22"/>
        <v>#VALUE!</v>
      </c>
      <c r="F136" s="3">
        <v>1</v>
      </c>
      <c r="G136" s="4" t="e">
        <f t="shared" si="23"/>
        <v>#VALUE!</v>
      </c>
      <c r="H136" s="2" t="e">
        <f>AVERAGEIF([1]个股!$D$9:$D$2788,[1]行业!$B214,[1]个股!BC$9:BC$2788)</f>
        <v>#VALUE!</v>
      </c>
      <c r="I136" s="2" t="e">
        <f>AVERAGEIF([1]个股!$D$9:$D$2788,[1]行业!$B214,[1]个股!BD$9:BD$2788)</f>
        <v>#VALUE!</v>
      </c>
      <c r="J136" s="2" t="e">
        <f>AVERAGEIF([1]个股!$D$9:$D$2788,[1]行业!$B214,[1]个股!BE$9:BE$2788)</f>
        <v>#VALUE!</v>
      </c>
      <c r="K136" s="2" t="e">
        <f>AVERAGEIF([1]个股!$D$9:$D$2788,[1]行业!$B214,[1]个股!BF$9:BF$2788)</f>
        <v>#VALUE!</v>
      </c>
      <c r="L136" s="2" t="e">
        <f>AVERAGEIF([1]个股!$D$9:$D$2788,[1]行业!$B214,[1]个股!BG$9:BG$2788)</f>
        <v>#VALUE!</v>
      </c>
      <c r="M136" s="5" t="e">
        <f>SUMIF([1]个股!$D$9:$D$2788,B136,[1]个股!$M$9:$M$2788)</f>
        <v>#VALUE!</v>
      </c>
      <c r="N136" s="6" t="e">
        <f>SUMIF([1]个股!$D$9:$D$2788,B136,[1]个股!$N$9:$N$2788)</f>
        <v>#VALUE!</v>
      </c>
      <c r="O136" s="7" t="e">
        <f t="shared" si="24"/>
        <v>#VALUE!</v>
      </c>
      <c r="P136" t="e">
        <f t="shared" ca="1" si="25"/>
        <v>#NAME?</v>
      </c>
      <c r="Q136" t="str">
        <f t="shared" si="19"/>
        <v>行业4 药品零售</v>
      </c>
      <c r="R136" s="2"/>
      <c r="S136" s="2"/>
      <c r="T136" s="2"/>
      <c r="U136" s="2"/>
      <c r="Y136" s="5"/>
      <c r="Z136" s="6"/>
      <c r="AA136" s="2"/>
    </row>
    <row r="137" spans="1:27">
      <c r="A137" t="s">
        <v>134</v>
      </c>
      <c r="B137" s="15" t="s">
        <v>171</v>
      </c>
      <c r="C137" s="1" t="e">
        <f t="shared" si="20"/>
        <v>#VALUE!</v>
      </c>
      <c r="D137" s="2" t="e">
        <f t="shared" si="21"/>
        <v>#VALUE!</v>
      </c>
      <c r="E137" s="3" t="e">
        <f t="shared" si="22"/>
        <v>#VALUE!</v>
      </c>
      <c r="F137" s="3">
        <v>1</v>
      </c>
      <c r="G137" s="4" t="e">
        <f t="shared" si="23"/>
        <v>#VALUE!</v>
      </c>
      <c r="H137" s="2" t="e">
        <f>AVERAGEIF([1]个股!$D$9:$D$2788,[1]行业!$B206,[1]个股!BC$9:BC$2788)</f>
        <v>#VALUE!</v>
      </c>
      <c r="I137" s="2" t="e">
        <f>AVERAGEIF([1]个股!$D$9:$D$2788,[1]行业!$B206,[1]个股!BD$9:BD$2788)</f>
        <v>#VALUE!</v>
      </c>
      <c r="J137" s="2" t="e">
        <f>AVERAGEIF([1]个股!$D$9:$D$2788,[1]行业!$B206,[1]个股!BE$9:BE$2788)</f>
        <v>#VALUE!</v>
      </c>
      <c r="K137" s="2" t="e">
        <f>AVERAGEIF([1]个股!$D$9:$D$2788,[1]行业!$B206,[1]个股!BF$9:BF$2788)</f>
        <v>#VALUE!</v>
      </c>
      <c r="L137" s="2" t="e">
        <f>AVERAGEIF([1]个股!$D$9:$D$2788,[1]行业!$B206,[1]个股!BG$9:BG$2788)</f>
        <v>#VALUE!</v>
      </c>
      <c r="M137" s="5" t="e">
        <f>SUMIF([1]个股!$D$9:$D$2788,B137,[1]个股!$M$9:$M$2788)</f>
        <v>#VALUE!</v>
      </c>
      <c r="N137" s="6" t="e">
        <f>SUMIF([1]个股!$D$9:$D$2788,B137,[1]个股!$N$9:$N$2788)</f>
        <v>#VALUE!</v>
      </c>
      <c r="O137" s="7" t="e">
        <f t="shared" si="24"/>
        <v>#VALUE!</v>
      </c>
      <c r="P137" t="e">
        <f t="shared" ca="1" si="25"/>
        <v>#NAME?</v>
      </c>
      <c r="Q137" t="str">
        <f t="shared" si="19"/>
        <v>行业4 西药</v>
      </c>
      <c r="R137" s="2"/>
      <c r="S137" s="2"/>
      <c r="T137" s="2"/>
      <c r="U137" s="2"/>
      <c r="Y137" s="5"/>
      <c r="Z137" s="6"/>
      <c r="AA137" s="2"/>
    </row>
    <row r="138" spans="1:27">
      <c r="A138" t="s">
        <v>134</v>
      </c>
      <c r="B138" s="15" t="s">
        <v>172</v>
      </c>
      <c r="C138" s="1" t="e">
        <f t="shared" si="20"/>
        <v>#VALUE!</v>
      </c>
      <c r="D138" s="2" t="e">
        <f t="shared" si="21"/>
        <v>#VALUE!</v>
      </c>
      <c r="E138" s="3" t="e">
        <f t="shared" si="22"/>
        <v>#VALUE!</v>
      </c>
      <c r="F138" s="3">
        <v>1</v>
      </c>
      <c r="G138" s="4" t="e">
        <f t="shared" si="23"/>
        <v>#VALUE!</v>
      </c>
      <c r="H138" s="2" t="e">
        <f>AVERAGEIF([1]个股!$D$9:$D$2788,[1]行业!$B207,[1]个股!BC$9:BC$2788)</f>
        <v>#VALUE!</v>
      </c>
      <c r="I138" s="2" t="e">
        <f>AVERAGEIF([1]个股!$D$9:$D$2788,[1]行业!$B207,[1]个股!BD$9:BD$2788)</f>
        <v>#VALUE!</v>
      </c>
      <c r="J138" s="2" t="e">
        <f>AVERAGEIF([1]个股!$D$9:$D$2788,[1]行业!$B207,[1]个股!BE$9:BE$2788)</f>
        <v>#VALUE!</v>
      </c>
      <c r="K138" s="2" t="e">
        <f>AVERAGEIF([1]个股!$D$9:$D$2788,[1]行业!$B207,[1]个股!BF$9:BF$2788)</f>
        <v>#VALUE!</v>
      </c>
      <c r="L138" s="2" t="e">
        <f>AVERAGEIF([1]个股!$D$9:$D$2788,[1]行业!$B207,[1]个股!BG$9:BG$2788)</f>
        <v>#VALUE!</v>
      </c>
      <c r="M138" s="5" t="e">
        <f>SUMIF([1]个股!$D$9:$D$2788,B138,[1]个股!$M$9:$M$2788)</f>
        <v>#VALUE!</v>
      </c>
      <c r="N138" s="6" t="e">
        <f>SUMIF([1]个股!$D$9:$D$2788,B138,[1]个股!$N$9:$N$2788)</f>
        <v>#VALUE!</v>
      </c>
      <c r="O138" s="7" t="e">
        <f t="shared" si="24"/>
        <v>#VALUE!</v>
      </c>
      <c r="P138" t="e">
        <f t="shared" ca="1" si="25"/>
        <v>#NAME?</v>
      </c>
      <c r="Q138" t="str">
        <f t="shared" si="19"/>
        <v>行业4 消费电子产品</v>
      </c>
      <c r="R138" s="2"/>
      <c r="S138" s="2"/>
      <c r="T138" s="2"/>
      <c r="U138" s="2"/>
      <c r="Y138" s="5"/>
      <c r="Z138" s="6"/>
      <c r="AA138" s="2"/>
    </row>
    <row r="139" spans="1:27">
      <c r="A139" t="s">
        <v>134</v>
      </c>
      <c r="B139" s="15" t="s">
        <v>173</v>
      </c>
      <c r="C139" s="1" t="e">
        <f t="shared" si="20"/>
        <v>#VALUE!</v>
      </c>
      <c r="D139" s="2" t="e">
        <f t="shared" si="21"/>
        <v>#VALUE!</v>
      </c>
      <c r="E139" s="3" t="e">
        <f t="shared" si="22"/>
        <v>#VALUE!</v>
      </c>
      <c r="F139" s="3">
        <v>1</v>
      </c>
      <c r="G139" s="4" t="e">
        <f t="shared" si="23"/>
        <v>#VALUE!</v>
      </c>
      <c r="H139" s="2" t="e">
        <f>AVERAGEIF([1]个股!$D$9:$D$2788,[1]行业!$B217,[1]个股!BC$9:BC$2788)</f>
        <v>#VALUE!</v>
      </c>
      <c r="I139" s="2" t="e">
        <f>AVERAGEIF([1]个股!$D$9:$D$2788,[1]行业!$B217,[1]个股!BD$9:BD$2788)</f>
        <v>#VALUE!</v>
      </c>
      <c r="J139" s="2" t="e">
        <f>AVERAGEIF([1]个股!$D$9:$D$2788,[1]行业!$B217,[1]个股!BE$9:BE$2788)</f>
        <v>#VALUE!</v>
      </c>
      <c r="K139" s="2" t="e">
        <f>AVERAGEIF([1]个股!$D$9:$D$2788,[1]行业!$B217,[1]个股!BF$9:BF$2788)</f>
        <v>#VALUE!</v>
      </c>
      <c r="L139" s="2" t="e">
        <f>AVERAGEIF([1]个股!$D$9:$D$2788,[1]行业!$B217,[1]个股!BG$9:BG$2788)</f>
        <v>#VALUE!</v>
      </c>
      <c r="M139" s="5" t="e">
        <f>SUMIF([1]个股!$D$9:$D$2788,B139,[1]个股!$M$9:$M$2788)</f>
        <v>#VALUE!</v>
      </c>
      <c r="N139" s="6" t="e">
        <f>SUMIF([1]个股!$D$9:$D$2788,B139,[1]个股!$N$9:$N$2788)</f>
        <v>#VALUE!</v>
      </c>
      <c r="O139" s="7" t="e">
        <f t="shared" si="24"/>
        <v>#VALUE!</v>
      </c>
      <c r="P139" t="e">
        <f t="shared" ca="1" si="25"/>
        <v>#NAME?</v>
      </c>
      <c r="Q139" t="str">
        <f t="shared" si="19"/>
        <v>行业4 医疗保健用品</v>
      </c>
      <c r="R139" s="2"/>
      <c r="S139" s="2"/>
      <c r="T139" s="2"/>
      <c r="U139" s="2"/>
      <c r="Y139" s="5"/>
      <c r="Z139" s="6"/>
      <c r="AA139" s="2"/>
    </row>
    <row r="140" spans="1:27">
      <c r="A140" t="s">
        <v>134</v>
      </c>
      <c r="B140" s="15" t="s">
        <v>174</v>
      </c>
      <c r="C140" s="1" t="e">
        <f t="shared" si="20"/>
        <v>#VALUE!</v>
      </c>
      <c r="D140" s="2" t="e">
        <f t="shared" si="21"/>
        <v>#VALUE!</v>
      </c>
      <c r="E140" s="3" t="e">
        <f t="shared" si="22"/>
        <v>#VALUE!</v>
      </c>
      <c r="F140" s="3">
        <v>1</v>
      </c>
      <c r="G140" s="4" t="e">
        <f t="shared" si="23"/>
        <v>#VALUE!</v>
      </c>
      <c r="H140" s="2" t="e">
        <f>AVERAGEIF([1]个股!$D$9:$D$2788,[1]行业!$B149,[1]个股!BC$9:BC$2788)</f>
        <v>#VALUE!</v>
      </c>
      <c r="I140" s="2" t="e">
        <f>AVERAGEIF([1]个股!$D$9:$D$2788,[1]行业!$B149,[1]个股!BD$9:BD$2788)</f>
        <v>#VALUE!</v>
      </c>
      <c r="J140" s="2" t="e">
        <f>AVERAGEIF([1]个股!$D$9:$D$2788,[1]行业!$B149,[1]个股!BE$9:BE$2788)</f>
        <v>#VALUE!</v>
      </c>
      <c r="K140" s="2" t="e">
        <f>AVERAGEIF([1]个股!$D$9:$D$2788,[1]行业!$B149,[1]个股!BF$9:BF$2788)</f>
        <v>#VALUE!</v>
      </c>
      <c r="L140" s="2" t="e">
        <f>AVERAGEIF([1]个股!$D$9:$D$2788,[1]行业!$B149,[1]个股!BG$9:BG$2788)</f>
        <v>#VALUE!</v>
      </c>
      <c r="M140" s="5" t="e">
        <f>SUMIF([1]个股!$D$9:$D$2788,B140,[1]个股!$M$9:$M$2788)</f>
        <v>#VALUE!</v>
      </c>
      <c r="N140" s="6" t="e">
        <f>SUMIF([1]个股!$D$9:$D$2788,B140,[1]个股!$N$9:$N$2788)</f>
        <v>#VALUE!</v>
      </c>
      <c r="O140" s="7" t="e">
        <f t="shared" si="24"/>
        <v>#VALUE!</v>
      </c>
      <c r="P140" t="e">
        <f t="shared" ca="1" si="25"/>
        <v>#NAME?</v>
      </c>
      <c r="Q140" t="str">
        <f t="shared" si="19"/>
        <v>行业4 化肥与农用化工</v>
      </c>
    </row>
    <row r="141" spans="1:27">
      <c r="A141" t="s">
        <v>134</v>
      </c>
      <c r="B141" s="15" t="s">
        <v>175</v>
      </c>
      <c r="C141" s="1" t="e">
        <f t="shared" si="20"/>
        <v>#VALUE!</v>
      </c>
      <c r="D141" s="2" t="e">
        <f t="shared" si="21"/>
        <v>#VALUE!</v>
      </c>
      <c r="E141" s="3" t="e">
        <f t="shared" si="22"/>
        <v>#VALUE!</v>
      </c>
      <c r="F141" s="3">
        <v>1</v>
      </c>
      <c r="G141" s="4" t="e">
        <f t="shared" si="23"/>
        <v>#VALUE!</v>
      </c>
      <c r="H141" s="2" t="e">
        <f>AVERAGEIF([1]个股!$D$9:$D$2788,[1]行业!$B108,[1]个股!BC$9:BC$2788)</f>
        <v>#VALUE!</v>
      </c>
      <c r="I141" s="2" t="e">
        <f>AVERAGEIF([1]个股!$D$9:$D$2788,[1]行业!$B108,[1]个股!BD$9:BD$2788)</f>
        <v>#VALUE!</v>
      </c>
      <c r="J141" s="2" t="e">
        <f>AVERAGEIF([1]个股!$D$9:$D$2788,[1]行业!$B108,[1]个股!BE$9:BE$2788)</f>
        <v>#VALUE!</v>
      </c>
      <c r="K141" s="2" t="e">
        <f>AVERAGEIF([1]个股!$D$9:$D$2788,[1]行业!$B108,[1]个股!BF$9:BF$2788)</f>
        <v>#VALUE!</v>
      </c>
      <c r="L141" s="2" t="e">
        <f>AVERAGEIF([1]个股!$D$9:$D$2788,[1]行业!$B108,[1]个股!BG$9:BG$2788)</f>
        <v>#VALUE!</v>
      </c>
      <c r="M141" s="5" t="e">
        <f>SUMIF([1]个股!$D$9:$D$2788,B141,[1]个股!$M$9:$M$2788)</f>
        <v>#VALUE!</v>
      </c>
      <c r="N141" s="6" t="e">
        <f>SUMIF([1]个股!$D$9:$D$2788,B141,[1]个股!$N$9:$N$2788)</f>
        <v>#VALUE!</v>
      </c>
      <c r="O141" s="7" t="e">
        <f t="shared" si="24"/>
        <v>#VALUE!</v>
      </c>
      <c r="P141" t="e">
        <f t="shared" ca="1" si="25"/>
        <v>#NAME?</v>
      </c>
      <c r="Q141" t="str">
        <f t="shared" si="19"/>
        <v>行业4 保健护理设施</v>
      </c>
    </row>
    <row r="142" spans="1:27">
      <c r="A142" t="s">
        <v>134</v>
      </c>
      <c r="B142" s="15" t="s">
        <v>176</v>
      </c>
      <c r="C142" s="1" t="e">
        <f t="shared" si="20"/>
        <v>#VALUE!</v>
      </c>
      <c r="D142" s="2" t="e">
        <f t="shared" si="21"/>
        <v>#VALUE!</v>
      </c>
      <c r="E142" s="3" t="e">
        <f t="shared" si="22"/>
        <v>#VALUE!</v>
      </c>
      <c r="F142" s="3">
        <v>1</v>
      </c>
      <c r="G142" s="4" t="e">
        <f t="shared" si="23"/>
        <v>#VALUE!</v>
      </c>
      <c r="H142" s="2" t="e">
        <f>AVERAGEIF([1]个股!$D$9:$D$2788,[1]行业!$B177,[1]个股!BC$9:BC$2788)</f>
        <v>#VALUE!</v>
      </c>
      <c r="I142" s="2" t="e">
        <f>AVERAGEIF([1]个股!$D$9:$D$2788,[1]行业!$B177,[1]个股!BD$9:BD$2788)</f>
        <v>#VALUE!</v>
      </c>
      <c r="J142" s="2" t="e">
        <f>AVERAGEIF([1]个股!$D$9:$D$2788,[1]行业!$B177,[1]个股!BE$9:BE$2788)</f>
        <v>#VALUE!</v>
      </c>
      <c r="K142" s="2" t="e">
        <f>AVERAGEIF([1]个股!$D$9:$D$2788,[1]行业!$B177,[1]个股!BF$9:BF$2788)</f>
        <v>#VALUE!</v>
      </c>
      <c r="L142" s="2" t="e">
        <f>AVERAGEIF([1]个股!$D$9:$D$2788,[1]行业!$B177,[1]个股!BG$9:BG$2788)</f>
        <v>#VALUE!</v>
      </c>
      <c r="M142" s="5" t="e">
        <f>SUMIF([1]个股!$D$9:$D$2788,B142,[1]个股!$M$9:$M$2788)</f>
        <v>#VALUE!</v>
      </c>
      <c r="N142" s="6" t="e">
        <f>SUMIF([1]个股!$D$9:$D$2788,B142,[1]个股!$N$9:$N$2788)</f>
        <v>#VALUE!</v>
      </c>
      <c r="O142" s="7" t="e">
        <f t="shared" si="24"/>
        <v>#VALUE!</v>
      </c>
      <c r="P142" t="e">
        <f t="shared" ca="1" si="25"/>
        <v>#NAME?</v>
      </c>
      <c r="Q142" t="str">
        <f t="shared" si="19"/>
        <v>行业4 农产品</v>
      </c>
      <c r="R142" s="2"/>
      <c r="S142" s="2"/>
      <c r="T142" s="2"/>
      <c r="U142" s="2"/>
      <c r="Y142" s="5"/>
      <c r="Z142" s="6"/>
      <c r="AA142" s="2"/>
    </row>
    <row r="143" spans="1:27">
      <c r="A143" t="s">
        <v>134</v>
      </c>
      <c r="B143" s="15" t="s">
        <v>177</v>
      </c>
      <c r="C143" s="1" t="e">
        <f t="shared" si="20"/>
        <v>#VALUE!</v>
      </c>
      <c r="D143" s="2" t="e">
        <f t="shared" si="21"/>
        <v>#VALUE!</v>
      </c>
      <c r="E143" s="3" t="e">
        <f t="shared" si="22"/>
        <v>#VALUE!</v>
      </c>
      <c r="F143" s="3">
        <v>1</v>
      </c>
      <c r="G143" s="4" t="e">
        <f t="shared" si="23"/>
        <v>#VALUE!</v>
      </c>
      <c r="H143" s="2" t="e">
        <f>AVERAGEIF([1]个股!$D$9:$D$2788,[1]行业!$B111,[1]个股!BC$9:BC$2788)</f>
        <v>#VALUE!</v>
      </c>
      <c r="I143" s="2" t="e">
        <f>AVERAGEIF([1]个股!$D$9:$D$2788,[1]行业!$B111,[1]个股!BD$9:BD$2788)</f>
        <v>#VALUE!</v>
      </c>
      <c r="J143" s="2" t="e">
        <f>AVERAGEIF([1]个股!$D$9:$D$2788,[1]行业!$B111,[1]个股!BE$9:BE$2788)</f>
        <v>#VALUE!</v>
      </c>
      <c r="K143" s="2" t="e">
        <f>AVERAGEIF([1]个股!$D$9:$D$2788,[1]行业!$B111,[1]个股!BF$9:BF$2788)</f>
        <v>#VALUE!</v>
      </c>
      <c r="L143" s="2" t="e">
        <f>AVERAGEIF([1]个股!$D$9:$D$2788,[1]行业!$B111,[1]个股!BG$9:BG$2788)</f>
        <v>#VALUE!</v>
      </c>
      <c r="M143" s="5" t="e">
        <f>SUMIF([1]个股!$D$9:$D$2788,B143,[1]个股!$M$9:$M$2788)</f>
        <v>#VALUE!</v>
      </c>
      <c r="N143" s="6" t="e">
        <f>SUMIF([1]个股!$D$9:$D$2788,B143,[1]个股!$N$9:$N$2788)</f>
        <v>#VALUE!</v>
      </c>
      <c r="O143" s="7" t="e">
        <f t="shared" si="24"/>
        <v>#VALUE!</v>
      </c>
      <c r="P143" t="e">
        <f t="shared" ca="1" si="25"/>
        <v>#NAME?</v>
      </c>
      <c r="Q143" t="str">
        <f t="shared" si="19"/>
        <v>行业4 出版</v>
      </c>
    </row>
    <row r="144" spans="1:27">
      <c r="A144" t="s">
        <v>134</v>
      </c>
      <c r="B144" s="15" t="s">
        <v>178</v>
      </c>
      <c r="C144" s="1" t="e">
        <f t="shared" si="20"/>
        <v>#VALUE!</v>
      </c>
      <c r="D144" s="2" t="e">
        <f t="shared" si="21"/>
        <v>#VALUE!</v>
      </c>
      <c r="E144" s="3" t="e">
        <f t="shared" si="22"/>
        <v>#VALUE!</v>
      </c>
      <c r="F144" s="3">
        <v>1</v>
      </c>
      <c r="G144" s="4" t="e">
        <f t="shared" si="23"/>
        <v>#VALUE!</v>
      </c>
      <c r="H144" s="2" t="e">
        <f>AVERAGEIF([1]个股!$D$9:$D$2788,[1]行业!$B196,[1]个股!BC$9:BC$2788)</f>
        <v>#VALUE!</v>
      </c>
      <c r="I144" s="2" t="e">
        <f>AVERAGEIF([1]个股!$D$9:$D$2788,[1]行业!$B196,[1]个股!BD$9:BD$2788)</f>
        <v>#VALUE!</v>
      </c>
      <c r="J144" s="2" t="e">
        <f>AVERAGEIF([1]个股!$D$9:$D$2788,[1]行业!$B196,[1]个股!BE$9:BE$2788)</f>
        <v>#VALUE!</v>
      </c>
      <c r="K144" s="2" t="e">
        <f>AVERAGEIF([1]个股!$D$9:$D$2788,[1]行业!$B196,[1]个股!BF$9:BF$2788)</f>
        <v>#VALUE!</v>
      </c>
      <c r="L144" s="2" t="e">
        <f>AVERAGEIF([1]个股!$D$9:$D$2788,[1]行业!$B196,[1]个股!BG$9:BG$2788)</f>
        <v>#VALUE!</v>
      </c>
      <c r="M144" s="5" t="e">
        <f>SUMIF([1]个股!$D$9:$D$2788,B144,[1]个股!$M$9:$M$2788)</f>
        <v>#VALUE!</v>
      </c>
      <c r="N144" s="6" t="e">
        <f>SUMIF([1]个股!$D$9:$D$2788,B144,[1]个股!$N$9:$N$2788)</f>
        <v>#VALUE!</v>
      </c>
      <c r="O144" s="7" t="e">
        <f t="shared" si="24"/>
        <v>#VALUE!</v>
      </c>
      <c r="P144" t="e">
        <f t="shared" ca="1" si="25"/>
        <v>#NAME?</v>
      </c>
      <c r="Q144" t="str">
        <f t="shared" si="19"/>
        <v>行业4 食品加工与肉类</v>
      </c>
      <c r="R144" s="2"/>
      <c r="S144" s="2"/>
      <c r="T144" s="2"/>
      <c r="U144" s="2"/>
      <c r="Y144" s="5"/>
      <c r="Z144" s="6"/>
      <c r="AA144" s="2"/>
    </row>
    <row r="145" spans="1:27">
      <c r="A145" t="s">
        <v>134</v>
      </c>
      <c r="B145" s="15" t="s">
        <v>179</v>
      </c>
      <c r="C145" s="1" t="e">
        <f t="shared" si="20"/>
        <v>#VALUE!</v>
      </c>
      <c r="D145" s="2" t="e">
        <f t="shared" si="21"/>
        <v>#VALUE!</v>
      </c>
      <c r="E145" s="3" t="e">
        <f t="shared" si="22"/>
        <v>#VALUE!</v>
      </c>
      <c r="F145" s="3">
        <v>1</v>
      </c>
      <c r="G145" s="4" t="e">
        <f t="shared" si="23"/>
        <v>#VALUE!</v>
      </c>
      <c r="H145" s="2" t="e">
        <f>AVERAGEIF([1]个股!$D$9:$D$2788,[1]行业!$B199,[1]个股!BC$9:BC$2788)</f>
        <v>#VALUE!</v>
      </c>
      <c r="I145" s="2" t="e">
        <f>AVERAGEIF([1]个股!$D$9:$D$2788,[1]行业!$B199,[1]个股!BD$9:BD$2788)</f>
        <v>#VALUE!</v>
      </c>
      <c r="J145" s="2" t="e">
        <f>AVERAGEIF([1]个股!$D$9:$D$2788,[1]行业!$B199,[1]个股!BE$9:BE$2788)</f>
        <v>#VALUE!</v>
      </c>
      <c r="K145" s="2" t="e">
        <f>AVERAGEIF([1]个股!$D$9:$D$2788,[1]行业!$B199,[1]个股!BF$9:BF$2788)</f>
        <v>#VALUE!</v>
      </c>
      <c r="L145" s="2" t="e">
        <f>AVERAGEIF([1]个股!$D$9:$D$2788,[1]行业!$B199,[1]个股!BG$9:BG$2788)</f>
        <v>#VALUE!</v>
      </c>
      <c r="M145" s="5" t="e">
        <f>SUMIF([1]个股!$D$9:$D$2788,B145,[1]个股!$M$9:$M$2788)</f>
        <v>#VALUE!</v>
      </c>
      <c r="N145" s="6" t="e">
        <f>SUMIF([1]个股!$D$9:$D$2788,B145,[1]个股!$N$9:$N$2788)</f>
        <v>#VALUE!</v>
      </c>
      <c r="O145" s="7" t="e">
        <f t="shared" si="24"/>
        <v>#VALUE!</v>
      </c>
      <c r="P145" t="e">
        <f t="shared" ca="1" si="25"/>
        <v>#NAME?</v>
      </c>
      <c r="Q145" t="str">
        <f t="shared" si="19"/>
        <v>行业4 水务</v>
      </c>
      <c r="R145" s="2"/>
      <c r="S145" s="2"/>
      <c r="T145" s="2"/>
      <c r="U145" s="2"/>
      <c r="Y145" s="5"/>
      <c r="Z145" s="6"/>
      <c r="AA145" s="2"/>
    </row>
    <row r="146" spans="1:27">
      <c r="A146" t="s">
        <v>134</v>
      </c>
      <c r="B146" s="15" t="s">
        <v>180</v>
      </c>
      <c r="C146" s="1" t="e">
        <f t="shared" si="20"/>
        <v>#VALUE!</v>
      </c>
      <c r="D146" s="2" t="e">
        <f t="shared" si="21"/>
        <v>#VALUE!</v>
      </c>
      <c r="E146" s="3" t="e">
        <f t="shared" si="22"/>
        <v>#VALUE!</v>
      </c>
      <c r="F146" s="3">
        <v>1</v>
      </c>
      <c r="G146" s="4" t="e">
        <f t="shared" si="23"/>
        <v>#VALUE!</v>
      </c>
      <c r="H146" s="2" t="e">
        <f>AVERAGEIF([1]个股!$D$9:$D$2788,[1]行业!$B155,[1]个股!BC$9:BC$2788)</f>
        <v>#VALUE!</v>
      </c>
      <c r="I146" s="2" t="e">
        <f>AVERAGEIF([1]个股!$D$9:$D$2788,[1]行业!$B155,[1]个股!BD$9:BD$2788)</f>
        <v>#VALUE!</v>
      </c>
      <c r="J146" s="2" t="e">
        <f>AVERAGEIF([1]个股!$D$9:$D$2788,[1]行业!$B155,[1]个股!BE$9:BE$2788)</f>
        <v>#VALUE!</v>
      </c>
      <c r="K146" s="2" t="e">
        <f>AVERAGEIF([1]个股!$D$9:$D$2788,[1]行业!$B155,[1]个股!BF$9:BF$2788)</f>
        <v>#VALUE!</v>
      </c>
      <c r="L146" s="2" t="e">
        <f>AVERAGEIF([1]个股!$D$9:$D$2788,[1]行业!$B155,[1]个股!BG$9:BG$2788)</f>
        <v>#VALUE!</v>
      </c>
      <c r="M146" s="5" t="e">
        <f>SUMIF([1]个股!$D$9:$D$2788,B146,[1]个股!$M$9:$M$2788)</f>
        <v>#VALUE!</v>
      </c>
      <c r="N146" s="6" t="e">
        <f>SUMIF([1]个股!$D$9:$D$2788,B146,[1]个股!$N$9:$N$2788)</f>
        <v>#VALUE!</v>
      </c>
      <c r="O146" s="7" t="e">
        <f t="shared" si="24"/>
        <v>#VALUE!</v>
      </c>
      <c r="P146" t="e">
        <f t="shared" ca="1" si="25"/>
        <v>#NAME?</v>
      </c>
      <c r="Q146" t="str">
        <f t="shared" si="19"/>
        <v>行业4 基础化工</v>
      </c>
    </row>
    <row r="147" spans="1:27">
      <c r="A147" t="s">
        <v>134</v>
      </c>
      <c r="B147" s="15" t="s">
        <v>181</v>
      </c>
      <c r="C147" s="1" t="e">
        <f t="shared" si="20"/>
        <v>#VALUE!</v>
      </c>
      <c r="D147" s="2" t="e">
        <f t="shared" si="21"/>
        <v>#VALUE!</v>
      </c>
      <c r="E147" s="3" t="e">
        <f t="shared" si="22"/>
        <v>#VALUE!</v>
      </c>
      <c r="F147" s="3">
        <v>0.8</v>
      </c>
      <c r="G147" s="4" t="e">
        <f t="shared" si="23"/>
        <v>#VALUE!</v>
      </c>
      <c r="H147" s="2" t="e">
        <f>AVERAGEIF([1]个股!$D$9:$D$2788,[1]行业!$B192,[1]个股!BC$9:BC$2788)</f>
        <v>#VALUE!</v>
      </c>
      <c r="I147" s="2" t="e">
        <f>AVERAGEIF([1]个股!$D$9:$D$2788,[1]行业!$B192,[1]个股!BD$9:BD$2788)</f>
        <v>#VALUE!</v>
      </c>
      <c r="J147" s="2" t="e">
        <f>AVERAGEIF([1]个股!$D$9:$D$2788,[1]行业!$B192,[1]个股!BE$9:BE$2788)</f>
        <v>#VALUE!</v>
      </c>
      <c r="K147" s="2" t="e">
        <f>AVERAGEIF([1]个股!$D$9:$D$2788,[1]行业!$B192,[1]个股!BF$9:BF$2788)</f>
        <v>#VALUE!</v>
      </c>
      <c r="L147" s="2" t="e">
        <f>AVERAGEIF([1]个股!$D$9:$D$2788,[1]行业!$B192,[1]个股!BG$9:BG$2788)</f>
        <v>#VALUE!</v>
      </c>
      <c r="M147" s="5" t="e">
        <f>SUMIF([1]个股!$D$9:$D$2788,B147,[1]个股!$M$9:$M$2788)</f>
        <v>#VALUE!</v>
      </c>
      <c r="N147" s="6" t="e">
        <f>SUMIF([1]个股!$D$9:$D$2788,B147,[1]个股!$N$9:$N$2788)</f>
        <v>#VALUE!</v>
      </c>
      <c r="O147" s="7" t="e">
        <f t="shared" si="24"/>
        <v>#VALUE!</v>
      </c>
      <c r="P147" t="e">
        <f t="shared" ca="1" si="25"/>
        <v>#NAME?</v>
      </c>
      <c r="Q147" t="str">
        <f t="shared" si="19"/>
        <v>行业4 石油天然气设备与服务</v>
      </c>
      <c r="R147" s="2"/>
      <c r="S147" s="2"/>
      <c r="T147" s="2"/>
      <c r="U147" s="2"/>
      <c r="Y147" s="5"/>
      <c r="Z147" s="6"/>
      <c r="AA147" s="2"/>
    </row>
    <row r="148" spans="1:27">
      <c r="A148" t="s">
        <v>134</v>
      </c>
      <c r="B148" s="15" t="s">
        <v>182</v>
      </c>
      <c r="C148" s="1" t="e">
        <f t="shared" si="20"/>
        <v>#VALUE!</v>
      </c>
      <c r="D148" s="2" t="e">
        <f t="shared" si="21"/>
        <v>#VALUE!</v>
      </c>
      <c r="E148" s="3" t="e">
        <f t="shared" si="22"/>
        <v>#VALUE!</v>
      </c>
      <c r="F148" s="3">
        <v>0.8</v>
      </c>
      <c r="G148" s="4" t="e">
        <f t="shared" si="23"/>
        <v>#VALUE!</v>
      </c>
      <c r="H148" s="2" t="e">
        <f>AVERAGEIF([1]个股!$D$9:$D$2788,[1]行业!$B162,[1]个股!BC$9:BC$2788)</f>
        <v>#VALUE!</v>
      </c>
      <c r="I148" s="2" t="e">
        <f>AVERAGEIF([1]个股!$D$9:$D$2788,[1]行业!$B162,[1]个股!BD$9:BD$2788)</f>
        <v>#VALUE!</v>
      </c>
      <c r="J148" s="2" t="e">
        <f>AVERAGEIF([1]个股!$D$9:$D$2788,[1]行业!$B162,[1]个股!BE$9:BE$2788)</f>
        <v>#VALUE!</v>
      </c>
      <c r="K148" s="2" t="e">
        <f>AVERAGEIF([1]个股!$D$9:$D$2788,[1]行业!$B162,[1]个股!BF$9:BF$2788)</f>
        <v>#VALUE!</v>
      </c>
      <c r="L148" s="2" t="e">
        <f>AVERAGEIF([1]个股!$D$9:$D$2788,[1]行业!$B162,[1]个股!BG$9:BG$2788)</f>
        <v>#VALUE!</v>
      </c>
      <c r="M148" s="5" t="e">
        <f>SUMIF([1]个股!$D$9:$D$2788,B148,[1]个股!$M$9:$M$2788)</f>
        <v>#VALUE!</v>
      </c>
      <c r="N148" s="6" t="e">
        <f>SUMIF([1]个股!$D$9:$D$2788,B148,[1]个股!$N$9:$N$2788)</f>
        <v>#VALUE!</v>
      </c>
      <c r="O148" s="7" t="e">
        <f t="shared" si="24"/>
        <v>#VALUE!</v>
      </c>
      <c r="P148" t="e">
        <f t="shared" ca="1" si="25"/>
        <v>#NAME?</v>
      </c>
      <c r="Q148" t="str">
        <f t="shared" si="19"/>
        <v>行业4 建材</v>
      </c>
    </row>
    <row r="149" spans="1:27">
      <c r="A149" t="s">
        <v>134</v>
      </c>
      <c r="B149" s="15" t="s">
        <v>183</v>
      </c>
      <c r="C149" s="1" t="e">
        <f t="shared" si="20"/>
        <v>#VALUE!</v>
      </c>
      <c r="D149" s="2" t="e">
        <f t="shared" si="21"/>
        <v>#VALUE!</v>
      </c>
      <c r="E149" s="3" t="e">
        <f t="shared" si="22"/>
        <v>#VALUE!</v>
      </c>
      <c r="F149" s="3">
        <v>1</v>
      </c>
      <c r="G149" s="4" t="e">
        <f t="shared" si="23"/>
        <v>#VALUE!</v>
      </c>
      <c r="H149" s="2" t="e">
        <f>AVERAGEIF([1]个股!$D$9:$D$2788,[1]行业!$B120,[1]个股!BC$9:BC$2788)</f>
        <v>#VALUE!</v>
      </c>
      <c r="I149" s="2" t="e">
        <f>AVERAGEIF([1]个股!$D$9:$D$2788,[1]行业!$B120,[1]个股!BD$9:BD$2788)</f>
        <v>#VALUE!</v>
      </c>
      <c r="J149" s="2" t="e">
        <f>AVERAGEIF([1]个股!$D$9:$D$2788,[1]行业!$B120,[1]个股!BE$9:BE$2788)</f>
        <v>#VALUE!</v>
      </c>
      <c r="K149" s="2" t="e">
        <f>AVERAGEIF([1]个股!$D$9:$D$2788,[1]行业!$B120,[1]个股!BF$9:BF$2788)</f>
        <v>#VALUE!</v>
      </c>
      <c r="L149" s="2" t="e">
        <f>AVERAGEIF([1]个股!$D$9:$D$2788,[1]行业!$B120,[1]个股!BG$9:BG$2788)</f>
        <v>#VALUE!</v>
      </c>
      <c r="M149" s="5" t="e">
        <f>SUMIF([1]个股!$D$9:$D$2788,B149,[1]个股!$M$9:$M$2788)</f>
        <v>#VALUE!</v>
      </c>
      <c r="N149" s="6" t="e">
        <f>SUMIF([1]个股!$D$9:$D$2788,B149,[1]个股!$N$9:$N$2788)</f>
        <v>#VALUE!</v>
      </c>
      <c r="O149" s="7" t="e">
        <f t="shared" si="24"/>
        <v>#VALUE!</v>
      </c>
      <c r="P149" t="e">
        <f t="shared" ca="1" si="25"/>
        <v>#NAME?</v>
      </c>
      <c r="Q149" t="str">
        <f t="shared" si="19"/>
        <v>行业4 电子元件</v>
      </c>
    </row>
    <row r="150" spans="1:27">
      <c r="A150" t="s">
        <v>134</v>
      </c>
      <c r="B150" s="15" t="s">
        <v>184</v>
      </c>
      <c r="C150" s="1" t="e">
        <f t="shared" si="20"/>
        <v>#VALUE!</v>
      </c>
      <c r="D150" s="2" t="e">
        <f t="shared" si="21"/>
        <v>#VALUE!</v>
      </c>
      <c r="E150" s="3" t="e">
        <f t="shared" si="22"/>
        <v>#VALUE!</v>
      </c>
      <c r="F150" s="3">
        <v>1</v>
      </c>
      <c r="G150" s="4" t="e">
        <f t="shared" si="23"/>
        <v>#VALUE!</v>
      </c>
      <c r="H150" s="2" t="e">
        <f>AVERAGEIF([1]个股!$D$9:$D$2788,[1]行业!$B114,[1]个股!BC$9:BC$2788)</f>
        <v>#VALUE!</v>
      </c>
      <c r="I150" s="2" t="e">
        <f>AVERAGEIF([1]个股!$D$9:$D$2788,[1]行业!$B114,[1]个股!BD$9:BD$2788)</f>
        <v>#VALUE!</v>
      </c>
      <c r="J150" s="2" t="e">
        <f>AVERAGEIF([1]个股!$D$9:$D$2788,[1]行业!$B114,[1]个股!BE$9:BE$2788)</f>
        <v>#VALUE!</v>
      </c>
      <c r="K150" s="2" t="e">
        <f>AVERAGEIF([1]个股!$D$9:$D$2788,[1]行业!$B114,[1]个股!BF$9:BF$2788)</f>
        <v>#VALUE!</v>
      </c>
      <c r="L150" s="2" t="e">
        <f>AVERAGEIF([1]个股!$D$9:$D$2788,[1]行业!$B114,[1]个股!BG$9:BG$2788)</f>
        <v>#VALUE!</v>
      </c>
      <c r="M150" s="5" t="e">
        <f>SUMIF([1]个股!$D$9:$D$2788,B150,[1]个股!$M$9:$M$2788)</f>
        <v>#VALUE!</v>
      </c>
      <c r="N150" s="6" t="e">
        <f>SUMIF([1]个股!$D$9:$D$2788,B150,[1]个股!$N$9:$N$2788)</f>
        <v>#VALUE!</v>
      </c>
      <c r="O150" s="7" t="e">
        <f t="shared" si="24"/>
        <v>#VALUE!</v>
      </c>
      <c r="P150" t="e">
        <f t="shared" ca="1" si="25"/>
        <v>#NAME?</v>
      </c>
      <c r="Q150" t="str">
        <f t="shared" si="19"/>
        <v>行业4 电脑存储与外围设备</v>
      </c>
    </row>
    <row r="151" spans="1:27">
      <c r="A151" t="s">
        <v>134</v>
      </c>
      <c r="B151" s="15" t="s">
        <v>185</v>
      </c>
      <c r="C151" s="1" t="e">
        <f t="shared" si="20"/>
        <v>#VALUE!</v>
      </c>
      <c r="D151" s="2" t="e">
        <f t="shared" si="21"/>
        <v>#VALUE!</v>
      </c>
      <c r="E151" s="3" t="e">
        <f t="shared" si="22"/>
        <v>#VALUE!</v>
      </c>
      <c r="F151" s="3">
        <v>1</v>
      </c>
      <c r="G151" s="4" t="e">
        <f t="shared" si="23"/>
        <v>#VALUE!</v>
      </c>
      <c r="H151" s="2" t="e">
        <f>AVERAGEIF([1]个股!$D$9:$D$2788,[1]行业!$B134,[1]个股!BC$9:BC$2788)</f>
        <v>#VALUE!</v>
      </c>
      <c r="I151" s="2" t="e">
        <f>AVERAGEIF([1]个股!$D$9:$D$2788,[1]行业!$B134,[1]个股!BD$9:BD$2788)</f>
        <v>#VALUE!</v>
      </c>
      <c r="J151" s="2" t="e">
        <f>AVERAGEIF([1]个股!$D$9:$D$2788,[1]行业!$B134,[1]个股!BE$9:BE$2788)</f>
        <v>#VALUE!</v>
      </c>
      <c r="K151" s="2" t="e">
        <f>AVERAGEIF([1]个股!$D$9:$D$2788,[1]行业!$B134,[1]个股!BF$9:BF$2788)</f>
        <v>#VALUE!</v>
      </c>
      <c r="L151" s="2" t="e">
        <f>AVERAGEIF([1]个股!$D$9:$D$2788,[1]行业!$B134,[1]个股!BG$9:BG$2788)</f>
        <v>#VALUE!</v>
      </c>
      <c r="M151" s="5" t="e">
        <f>SUMIF([1]个股!$D$9:$D$2788,B151,[1]个股!$M$9:$M$2788)</f>
        <v>#VALUE!</v>
      </c>
      <c r="N151" s="6" t="e">
        <f>SUMIF([1]个股!$D$9:$D$2788,B151,[1]个股!$N$9:$N$2788)</f>
        <v>#VALUE!</v>
      </c>
      <c r="O151" s="7" t="e">
        <f t="shared" si="24"/>
        <v>#VALUE!</v>
      </c>
      <c r="P151" t="e">
        <f t="shared" ca="1" si="25"/>
        <v>#NAME?</v>
      </c>
      <c r="Q151" t="str">
        <f t="shared" ref="Q151:Q214" si="26">A151&amp;" "&amp;B151</f>
        <v>行业4 钢铁</v>
      </c>
    </row>
    <row r="152" spans="1:27">
      <c r="A152" t="s">
        <v>134</v>
      </c>
      <c r="B152" s="15" t="s">
        <v>186</v>
      </c>
      <c r="C152" s="1" t="e">
        <f t="shared" si="20"/>
        <v>#VALUE!</v>
      </c>
      <c r="D152" s="2" t="e">
        <f t="shared" si="21"/>
        <v>#VALUE!</v>
      </c>
      <c r="E152" s="3" t="e">
        <f t="shared" si="22"/>
        <v>#VALUE!</v>
      </c>
      <c r="F152" s="3">
        <v>1</v>
      </c>
      <c r="G152" s="4" t="e">
        <f t="shared" si="23"/>
        <v>#VALUE!</v>
      </c>
      <c r="H152" s="2" t="e">
        <f>AVERAGEIF([1]个股!$D$9:$D$2788,[1]行业!$B117,[1]个股!BC$9:BC$2788)</f>
        <v>#VALUE!</v>
      </c>
      <c r="I152" s="2" t="e">
        <f>AVERAGEIF([1]个股!$D$9:$D$2788,[1]行业!$B117,[1]个股!BD$9:BD$2788)</f>
        <v>#VALUE!</v>
      </c>
      <c r="J152" s="2" t="e">
        <f>AVERAGEIF([1]个股!$D$9:$D$2788,[1]行业!$B117,[1]个股!BE$9:BE$2788)</f>
        <v>#VALUE!</v>
      </c>
      <c r="K152" s="2" t="e">
        <f>AVERAGEIF([1]个股!$D$9:$D$2788,[1]行业!$B117,[1]个股!BF$9:BF$2788)</f>
        <v>#VALUE!</v>
      </c>
      <c r="L152" s="2" t="e">
        <f>AVERAGEIF([1]个股!$D$9:$D$2788,[1]行业!$B117,[1]个股!BG$9:BG$2788)</f>
        <v>#VALUE!</v>
      </c>
      <c r="M152" s="5" t="e">
        <f>SUMIF([1]个股!$D$9:$D$2788,B152,[1]个股!$M$9:$M$2788)</f>
        <v>#VALUE!</v>
      </c>
      <c r="N152" s="6" t="e">
        <f>SUMIF([1]个股!$D$9:$D$2788,B152,[1]个股!$N$9:$N$2788)</f>
        <v>#VALUE!</v>
      </c>
      <c r="O152" s="7" t="e">
        <f t="shared" si="24"/>
        <v>#VALUE!</v>
      </c>
      <c r="P152" t="e">
        <f t="shared" ca="1" si="25"/>
        <v>#NAME?</v>
      </c>
      <c r="Q152" t="str">
        <f t="shared" si="26"/>
        <v>行业4 电气部件与设备</v>
      </c>
    </row>
    <row r="153" spans="1:27">
      <c r="A153" t="s">
        <v>134</v>
      </c>
      <c r="B153" s="15" t="s">
        <v>187</v>
      </c>
      <c r="C153" s="1" t="e">
        <f t="shared" si="20"/>
        <v>#VALUE!</v>
      </c>
      <c r="D153" s="2" t="e">
        <f t="shared" si="21"/>
        <v>#VALUE!</v>
      </c>
      <c r="E153" s="3" t="e">
        <f t="shared" si="22"/>
        <v>#VALUE!</v>
      </c>
      <c r="F153" s="3">
        <v>1</v>
      </c>
      <c r="G153" s="4" t="e">
        <f t="shared" si="23"/>
        <v>#VALUE!</v>
      </c>
      <c r="H153" s="2" t="e">
        <f>AVERAGEIF([1]个股!$D$9:$D$2788,[1]行业!$B151,[1]个股!BC$9:BC$2788)</f>
        <v>#VALUE!</v>
      </c>
      <c r="I153" s="2" t="e">
        <f>AVERAGEIF([1]个股!$D$9:$D$2788,[1]行业!$B151,[1]个股!BD$9:BD$2788)</f>
        <v>#VALUE!</v>
      </c>
      <c r="J153" s="2" t="e">
        <f>AVERAGEIF([1]个股!$D$9:$D$2788,[1]行业!$B151,[1]个股!BE$9:BE$2788)</f>
        <v>#VALUE!</v>
      </c>
      <c r="K153" s="2" t="e">
        <f>AVERAGEIF([1]个股!$D$9:$D$2788,[1]行业!$B151,[1]个股!BF$9:BF$2788)</f>
        <v>#VALUE!</v>
      </c>
      <c r="L153" s="2" t="e">
        <f>AVERAGEIF([1]个股!$D$9:$D$2788,[1]行业!$B151,[1]个股!BG$9:BG$2788)</f>
        <v>#VALUE!</v>
      </c>
      <c r="M153" s="5" t="e">
        <f>SUMIF([1]个股!$D$9:$D$2788,B153,[1]个股!$M$9:$M$2788)</f>
        <v>#VALUE!</v>
      </c>
      <c r="N153" s="6" t="e">
        <f>SUMIF([1]个股!$D$9:$D$2788,B153,[1]个股!$N$9:$N$2788)</f>
        <v>#VALUE!</v>
      </c>
      <c r="O153" s="7" t="e">
        <f t="shared" si="24"/>
        <v>#VALUE!</v>
      </c>
      <c r="P153" t="e">
        <f t="shared" ca="1" si="25"/>
        <v>#NAME?</v>
      </c>
      <c r="Q153" t="str">
        <f t="shared" si="26"/>
        <v>行业4 环境与设施服务</v>
      </c>
    </row>
    <row r="154" spans="1:27">
      <c r="A154" t="s">
        <v>134</v>
      </c>
      <c r="B154" s="15" t="s">
        <v>188</v>
      </c>
      <c r="C154" s="1" t="e">
        <f t="shared" si="20"/>
        <v>#VALUE!</v>
      </c>
      <c r="D154" s="2" t="e">
        <f t="shared" si="21"/>
        <v>#VALUE!</v>
      </c>
      <c r="E154" s="3" t="e">
        <f t="shared" si="22"/>
        <v>#VALUE!</v>
      </c>
      <c r="F154" s="3">
        <v>1.2</v>
      </c>
      <c r="G154" s="4" t="e">
        <f t="shared" si="23"/>
        <v>#VALUE!</v>
      </c>
      <c r="H154" s="2" t="e">
        <f>AVERAGEIF([1]个股!$D$9:$D$2788,[1]行业!$B118,[1]个股!BC$9:BC$2788)</f>
        <v>#VALUE!</v>
      </c>
      <c r="I154" s="2" t="e">
        <f>AVERAGEIF([1]个股!$D$9:$D$2788,[1]行业!$B118,[1]个股!BD$9:BD$2788)</f>
        <v>#VALUE!</v>
      </c>
      <c r="J154" s="2" t="e">
        <f>AVERAGEIF([1]个股!$D$9:$D$2788,[1]行业!$B118,[1]个股!BE$9:BE$2788)</f>
        <v>#VALUE!</v>
      </c>
      <c r="K154" s="2" t="e">
        <f>AVERAGEIF([1]个股!$D$9:$D$2788,[1]行业!$B118,[1]个股!BF$9:BF$2788)</f>
        <v>#VALUE!</v>
      </c>
      <c r="L154" s="2" t="e">
        <f>AVERAGEIF([1]个股!$D$9:$D$2788,[1]行业!$B118,[1]个股!BG$9:BG$2788)</f>
        <v>#VALUE!</v>
      </c>
      <c r="M154" s="5" t="e">
        <f>SUMIF([1]个股!$D$9:$D$2788,B154,[1]个股!$M$9:$M$2788)</f>
        <v>#VALUE!</v>
      </c>
      <c r="N154" s="6" t="e">
        <f>SUMIF([1]个股!$D$9:$D$2788,B154,[1]个股!$N$9:$N$2788)</f>
        <v>#VALUE!</v>
      </c>
      <c r="O154" s="7" t="e">
        <f t="shared" si="24"/>
        <v>#VALUE!</v>
      </c>
      <c r="P154" t="e">
        <f t="shared" ca="1" si="25"/>
        <v>#NAME?</v>
      </c>
      <c r="Q154" t="str">
        <f t="shared" si="26"/>
        <v>行业4 电影与娱乐</v>
      </c>
    </row>
    <row r="155" spans="1:27">
      <c r="A155" t="s">
        <v>134</v>
      </c>
      <c r="B155" s="15" t="s">
        <v>189</v>
      </c>
      <c r="C155" s="1" t="e">
        <f t="shared" si="20"/>
        <v>#VALUE!</v>
      </c>
      <c r="D155" s="2" t="e">
        <f t="shared" si="21"/>
        <v>#VALUE!</v>
      </c>
      <c r="E155" s="3" t="e">
        <f t="shared" si="22"/>
        <v>#VALUE!</v>
      </c>
      <c r="F155" s="3">
        <v>1</v>
      </c>
      <c r="G155" s="4" t="e">
        <f t="shared" si="23"/>
        <v>#VALUE!</v>
      </c>
      <c r="H155" s="2" t="e">
        <f>AVERAGEIF([1]个股!$D$9:$D$2788,[1]行业!$B187,[1]个股!BC$9:BC$2788)</f>
        <v>#VALUE!</v>
      </c>
      <c r="I155" s="2" t="e">
        <f>AVERAGEIF([1]个股!$D$9:$D$2788,[1]行业!$B187,[1]个股!BD$9:BD$2788)</f>
        <v>#VALUE!</v>
      </c>
      <c r="J155" s="2" t="e">
        <f>AVERAGEIF([1]个股!$D$9:$D$2788,[1]行业!$B187,[1]个股!BE$9:BE$2788)</f>
        <v>#VALUE!</v>
      </c>
      <c r="K155" s="2" t="e">
        <f>AVERAGEIF([1]个股!$D$9:$D$2788,[1]行业!$B187,[1]个股!BF$9:BF$2788)</f>
        <v>#VALUE!</v>
      </c>
      <c r="L155" s="2" t="e">
        <f>AVERAGEIF([1]个股!$D$9:$D$2788,[1]行业!$B187,[1]个股!BG$9:BG$2788)</f>
        <v>#VALUE!</v>
      </c>
      <c r="M155" s="5" t="e">
        <f>SUMIF([1]个股!$D$9:$D$2788,B155,[1]个股!$M$9:$M$2788)</f>
        <v>#VALUE!</v>
      </c>
      <c r="N155" s="6" t="e">
        <f>SUMIF([1]个股!$D$9:$D$2788,B155,[1]个股!$N$9:$N$2788)</f>
        <v>#VALUE!</v>
      </c>
      <c r="O155" s="7" t="e">
        <f t="shared" si="24"/>
        <v>#VALUE!</v>
      </c>
      <c r="P155" t="e">
        <f t="shared" ca="1" si="25"/>
        <v>#NAME?</v>
      </c>
      <c r="Q155" t="str">
        <f t="shared" si="26"/>
        <v>行业4 商业印刷</v>
      </c>
      <c r="R155" s="2"/>
      <c r="S155" s="2"/>
      <c r="T155" s="2"/>
      <c r="U155" s="2"/>
      <c r="Y155" s="5"/>
      <c r="Z155" s="6"/>
      <c r="AA155" s="2"/>
    </row>
    <row r="156" spans="1:27">
      <c r="A156" t="s">
        <v>134</v>
      </c>
      <c r="B156" s="15" t="s">
        <v>190</v>
      </c>
      <c r="C156" s="1" t="e">
        <f t="shared" si="20"/>
        <v>#VALUE!</v>
      </c>
      <c r="D156" s="2" t="e">
        <f t="shared" si="21"/>
        <v>#VALUE!</v>
      </c>
      <c r="E156" s="3" t="e">
        <f t="shared" si="22"/>
        <v>#VALUE!</v>
      </c>
      <c r="F156" s="3">
        <v>1</v>
      </c>
      <c r="G156" s="4" t="e">
        <f t="shared" si="23"/>
        <v>#VALUE!</v>
      </c>
      <c r="H156" s="2" t="e">
        <f>AVERAGEIF([1]个股!$D$9:$D$2788,[1]行业!$B154,[1]个股!BC$9:BC$2788)</f>
        <v>#VALUE!</v>
      </c>
      <c r="I156" s="2" t="e">
        <f>AVERAGEIF([1]个股!$D$9:$D$2788,[1]行业!$B154,[1]个股!BD$9:BD$2788)</f>
        <v>#VALUE!</v>
      </c>
      <c r="J156" s="2" t="e">
        <f>AVERAGEIF([1]个股!$D$9:$D$2788,[1]行业!$B154,[1]个股!BE$9:BE$2788)</f>
        <v>#VALUE!</v>
      </c>
      <c r="K156" s="2" t="e">
        <f>AVERAGEIF([1]个股!$D$9:$D$2788,[1]行业!$B154,[1]个股!BF$9:BF$2788)</f>
        <v>#VALUE!</v>
      </c>
      <c r="L156" s="2" t="e">
        <f>AVERAGEIF([1]个股!$D$9:$D$2788,[1]行业!$B154,[1]个股!BG$9:BG$2788)</f>
        <v>#VALUE!</v>
      </c>
      <c r="M156" s="5" t="e">
        <f>SUMIF([1]个股!$D$9:$D$2788,B156,[1]个股!$M$9:$M$2788)</f>
        <v>#VALUE!</v>
      </c>
      <c r="N156" s="6" t="e">
        <f>SUMIF([1]个股!$D$9:$D$2788,B156,[1]个股!$N$9:$N$2788)</f>
        <v>#VALUE!</v>
      </c>
      <c r="O156" s="7" t="e">
        <f t="shared" si="24"/>
        <v>#VALUE!</v>
      </c>
      <c r="P156" t="e">
        <f t="shared" ca="1" si="25"/>
        <v>#NAME?</v>
      </c>
      <c r="Q156" t="str">
        <f t="shared" si="26"/>
        <v>行业4 机动车零配件与设备</v>
      </c>
    </row>
    <row r="157" spans="1:27">
      <c r="A157" t="s">
        <v>134</v>
      </c>
      <c r="B157" s="15" t="s">
        <v>191</v>
      </c>
      <c r="C157" s="1" t="e">
        <f t="shared" si="20"/>
        <v>#VALUE!</v>
      </c>
      <c r="D157" s="2" t="e">
        <f t="shared" si="21"/>
        <v>#VALUE!</v>
      </c>
      <c r="E157" s="3" t="e">
        <f t="shared" si="22"/>
        <v>#VALUE!</v>
      </c>
      <c r="F157" s="3">
        <v>1</v>
      </c>
      <c r="G157" s="4" t="e">
        <f t="shared" si="23"/>
        <v>#VALUE!</v>
      </c>
      <c r="H157" s="2" t="e">
        <f>AVERAGEIF([1]个股!$D$9:$D$2788,[1]行业!$B194,[1]个股!BC$9:BC$2788)</f>
        <v>#VALUE!</v>
      </c>
      <c r="I157" s="2" t="e">
        <f>AVERAGEIF([1]个股!$D$9:$D$2788,[1]行业!$B194,[1]个股!BD$9:BD$2788)</f>
        <v>#VALUE!</v>
      </c>
      <c r="J157" s="2" t="e">
        <f>AVERAGEIF([1]个股!$D$9:$D$2788,[1]行业!$B194,[1]个股!BE$9:BE$2788)</f>
        <v>#VALUE!</v>
      </c>
      <c r="K157" s="2" t="e">
        <f>AVERAGEIF([1]个股!$D$9:$D$2788,[1]行业!$B194,[1]个股!BF$9:BF$2788)</f>
        <v>#VALUE!</v>
      </c>
      <c r="L157" s="2" t="e">
        <f>AVERAGEIF([1]个股!$D$9:$D$2788,[1]行业!$B194,[1]个股!BG$9:BG$2788)</f>
        <v>#VALUE!</v>
      </c>
      <c r="M157" s="5" t="e">
        <f>SUMIF([1]个股!$D$9:$D$2788,B157,[1]个股!$M$9:$M$2788)</f>
        <v>#VALUE!</v>
      </c>
      <c r="N157" s="6" t="e">
        <f>SUMIF([1]个股!$D$9:$D$2788,B157,[1]个股!$N$9:$N$2788)</f>
        <v>#VALUE!</v>
      </c>
      <c r="O157" s="7" t="e">
        <f t="shared" si="24"/>
        <v>#VALUE!</v>
      </c>
      <c r="P157" t="e">
        <f t="shared" ca="1" si="25"/>
        <v>#NAME?</v>
      </c>
      <c r="Q157" t="str">
        <f t="shared" si="26"/>
        <v>行业4 石油与天然气的炼制和销售</v>
      </c>
      <c r="R157" s="2"/>
      <c r="S157" s="2"/>
      <c r="T157" s="2"/>
      <c r="U157" s="2"/>
      <c r="Y157" s="5"/>
      <c r="Z157" s="6"/>
      <c r="AA157" s="2"/>
    </row>
    <row r="158" spans="1:27">
      <c r="A158" t="s">
        <v>134</v>
      </c>
      <c r="B158" s="15" t="s">
        <v>192</v>
      </c>
      <c r="C158" s="1" t="e">
        <f t="shared" si="20"/>
        <v>#VALUE!</v>
      </c>
      <c r="D158" s="2" t="e">
        <f t="shared" si="21"/>
        <v>#VALUE!</v>
      </c>
      <c r="E158" s="3" t="e">
        <f t="shared" si="22"/>
        <v>#VALUE!</v>
      </c>
      <c r="F158" s="3">
        <v>0.8</v>
      </c>
      <c r="G158" s="4" t="e">
        <f t="shared" si="23"/>
        <v>#VALUE!</v>
      </c>
      <c r="H158" s="2" t="e">
        <f>AVERAGEIF([1]个股!$D$9:$D$2788,[1]行业!$B163,[1]个股!BC$9:BC$2788)</f>
        <v>#VALUE!</v>
      </c>
      <c r="I158" s="2" t="e">
        <f>AVERAGEIF([1]个股!$D$9:$D$2788,[1]行业!$B163,[1]个股!BD$9:BD$2788)</f>
        <v>#VALUE!</v>
      </c>
      <c r="J158" s="2" t="e">
        <f>AVERAGEIF([1]个股!$D$9:$D$2788,[1]行业!$B163,[1]个股!BE$9:BE$2788)</f>
        <v>#VALUE!</v>
      </c>
      <c r="K158" s="2" t="e">
        <f>AVERAGEIF([1]个股!$D$9:$D$2788,[1]行业!$B163,[1]个股!BF$9:BF$2788)</f>
        <v>#VALUE!</v>
      </c>
      <c r="L158" s="2" t="e">
        <f>AVERAGEIF([1]个股!$D$9:$D$2788,[1]行业!$B163,[1]个股!BG$9:BG$2788)</f>
        <v>#VALUE!</v>
      </c>
      <c r="M158" s="5" t="e">
        <f>SUMIF([1]个股!$D$9:$D$2788,B158,[1]个股!$M$9:$M$2788)</f>
        <v>#VALUE!</v>
      </c>
      <c r="N158" s="6" t="e">
        <f>SUMIF([1]个股!$D$9:$D$2788,B158,[1]个股!$N$9:$N$2788)</f>
        <v>#VALUE!</v>
      </c>
      <c r="O158" s="7" t="e">
        <f t="shared" si="24"/>
        <v>#VALUE!</v>
      </c>
      <c r="P158" t="e">
        <f t="shared" ca="1" si="25"/>
        <v>#NAME?</v>
      </c>
      <c r="Q158" t="str">
        <f t="shared" si="26"/>
        <v>行业4 建筑产品</v>
      </c>
    </row>
    <row r="159" spans="1:27">
      <c r="A159" t="s">
        <v>134</v>
      </c>
      <c r="B159" s="15" t="s">
        <v>193</v>
      </c>
      <c r="C159" s="1" t="e">
        <f t="shared" si="20"/>
        <v>#VALUE!</v>
      </c>
      <c r="D159" s="2" t="e">
        <f t="shared" si="21"/>
        <v>#VALUE!</v>
      </c>
      <c r="E159" s="3" t="e">
        <f t="shared" si="22"/>
        <v>#VALUE!</v>
      </c>
      <c r="F159" s="3">
        <v>0.6</v>
      </c>
      <c r="G159" s="4" t="e">
        <f t="shared" si="23"/>
        <v>#VALUE!</v>
      </c>
      <c r="H159" s="2" t="e">
        <f>AVERAGEIF([1]个股!$D$9:$D$2788,[1]行业!$B109,[1]个股!BC$9:BC$2788)</f>
        <v>#VALUE!</v>
      </c>
      <c r="I159" s="2" t="e">
        <f>AVERAGEIF([1]个股!$D$9:$D$2788,[1]行业!$B109,[1]个股!BD$9:BD$2788)</f>
        <v>#VALUE!</v>
      </c>
      <c r="J159" s="2" t="e">
        <f>AVERAGEIF([1]个股!$D$9:$D$2788,[1]行业!$B109,[1]个股!BE$9:BE$2788)</f>
        <v>#VALUE!</v>
      </c>
      <c r="K159" s="2" t="e">
        <f>AVERAGEIF([1]个股!$D$9:$D$2788,[1]行业!$B109,[1]个股!BF$9:BF$2788)</f>
        <v>#VALUE!</v>
      </c>
      <c r="L159" s="2" t="e">
        <f>AVERAGEIF([1]个股!$D$9:$D$2788,[1]行业!$B109,[1]个股!BG$9:BG$2788)</f>
        <v>#VALUE!</v>
      </c>
      <c r="M159" s="5" t="e">
        <f>SUMIF([1]个股!$D$9:$D$2788,B159,[1]个股!$M$9:$M$2788)</f>
        <v>#VALUE!</v>
      </c>
      <c r="N159" s="6" t="e">
        <f>SUMIF([1]个股!$D$9:$D$2788,B159,[1]个股!$N$9:$N$2788)</f>
        <v>#VALUE!</v>
      </c>
      <c r="O159" s="7" t="e">
        <f t="shared" si="24"/>
        <v>#VALUE!</v>
      </c>
      <c r="P159" t="e">
        <f t="shared" ca="1" si="25"/>
        <v>#NAME?</v>
      </c>
      <c r="Q159" t="str">
        <f t="shared" si="26"/>
        <v>行业4 财产与意外伤害保险</v>
      </c>
    </row>
    <row r="160" spans="1:27">
      <c r="A160" t="s">
        <v>134</v>
      </c>
      <c r="B160" s="15" t="s">
        <v>194</v>
      </c>
      <c r="C160" s="1" t="e">
        <f t="shared" si="20"/>
        <v>#VALUE!</v>
      </c>
      <c r="D160" s="2" t="e">
        <f t="shared" si="21"/>
        <v>#VALUE!</v>
      </c>
      <c r="E160" s="3" t="e">
        <f t="shared" si="22"/>
        <v>#VALUE!</v>
      </c>
      <c r="F160" s="3">
        <v>1</v>
      </c>
      <c r="G160" s="4" t="e">
        <f t="shared" si="23"/>
        <v>#VALUE!</v>
      </c>
      <c r="H160" s="2" t="e">
        <f>AVERAGEIF([1]个股!$D$9:$D$2788,[1]行业!$B203,[1]个股!BC$9:BC$2788)</f>
        <v>#VALUE!</v>
      </c>
      <c r="I160" s="2" t="e">
        <f>AVERAGEIF([1]个股!$D$9:$D$2788,[1]行业!$B203,[1]个股!BD$9:BD$2788)</f>
        <v>#VALUE!</v>
      </c>
      <c r="J160" s="2" t="e">
        <f>AVERAGEIF([1]个股!$D$9:$D$2788,[1]行业!$B203,[1]个股!BE$9:BE$2788)</f>
        <v>#VALUE!</v>
      </c>
      <c r="K160" s="2" t="e">
        <f>AVERAGEIF([1]个股!$D$9:$D$2788,[1]行业!$B203,[1]个股!BF$9:BF$2788)</f>
        <v>#VALUE!</v>
      </c>
      <c r="L160" s="2" t="e">
        <f>AVERAGEIF([1]个股!$D$9:$D$2788,[1]行业!$B203,[1]个股!BG$9:BG$2788)</f>
        <v>#VALUE!</v>
      </c>
      <c r="M160" s="5" t="e">
        <f>SUMIF([1]个股!$D$9:$D$2788,B160,[1]个股!$M$9:$M$2788)</f>
        <v>#VALUE!</v>
      </c>
      <c r="N160" s="6" t="e">
        <f>SUMIF([1]个股!$D$9:$D$2788,B160,[1]个股!$N$9:$N$2788)</f>
        <v>#VALUE!</v>
      </c>
      <c r="O160" s="7" t="e">
        <f t="shared" si="24"/>
        <v>#VALUE!</v>
      </c>
      <c r="P160" t="e">
        <f t="shared" ca="1" si="25"/>
        <v>#NAME?</v>
      </c>
      <c r="Q160" t="str">
        <f t="shared" si="26"/>
        <v>行业4 通信设备</v>
      </c>
      <c r="R160" s="2"/>
      <c r="S160" s="2"/>
      <c r="T160" s="2"/>
      <c r="U160" s="2"/>
      <c r="Y160" s="5"/>
      <c r="Z160" s="6"/>
      <c r="AA160" s="2"/>
    </row>
    <row r="161" spans="1:27">
      <c r="A161" t="s">
        <v>134</v>
      </c>
      <c r="B161" s="15" t="s">
        <v>195</v>
      </c>
      <c r="C161" s="1" t="e">
        <f t="shared" si="20"/>
        <v>#VALUE!</v>
      </c>
      <c r="D161" s="2" t="e">
        <f t="shared" si="21"/>
        <v>#VALUE!</v>
      </c>
      <c r="E161" s="3" t="e">
        <f t="shared" si="22"/>
        <v>#VALUE!</v>
      </c>
      <c r="F161" s="3">
        <v>0.8</v>
      </c>
      <c r="G161" s="4" t="e">
        <f t="shared" si="23"/>
        <v>#VALUE!</v>
      </c>
      <c r="H161" s="2" t="e">
        <f>AVERAGEIF([1]个股!$D$9:$D$2788,[1]行业!$B175,[1]个股!BC$9:BC$2788)</f>
        <v>#VALUE!</v>
      </c>
      <c r="I161" s="2" t="e">
        <f>AVERAGEIF([1]个股!$D$9:$D$2788,[1]行业!$B175,[1]个股!BD$9:BD$2788)</f>
        <v>#VALUE!</v>
      </c>
      <c r="J161" s="2" t="e">
        <f>AVERAGEIF([1]个股!$D$9:$D$2788,[1]行业!$B175,[1]个股!BE$9:BE$2788)</f>
        <v>#VALUE!</v>
      </c>
      <c r="K161" s="2" t="e">
        <f>AVERAGEIF([1]个股!$D$9:$D$2788,[1]行业!$B175,[1]个股!BF$9:BF$2788)</f>
        <v>#VALUE!</v>
      </c>
      <c r="L161" s="2" t="e">
        <f>AVERAGEIF([1]个股!$D$9:$D$2788,[1]行业!$B175,[1]个股!BG$9:BG$2788)</f>
        <v>#VALUE!</v>
      </c>
      <c r="M161" s="5" t="e">
        <f>SUMIF([1]个股!$D$9:$D$2788,B161,[1]个股!$M$9:$M$2788)</f>
        <v>#VALUE!</v>
      </c>
      <c r="N161" s="6" t="e">
        <f>SUMIF([1]个股!$D$9:$D$2788,B161,[1]个股!$N$9:$N$2788)</f>
        <v>#VALUE!</v>
      </c>
      <c r="O161" s="7" t="e">
        <f t="shared" si="24"/>
        <v>#VALUE!</v>
      </c>
      <c r="P161" t="e">
        <f t="shared" ca="1" si="25"/>
        <v>#NAME?</v>
      </c>
      <c r="Q161" t="str">
        <f t="shared" si="26"/>
        <v>行业4 煤炭与消费用燃料</v>
      </c>
      <c r="R161" s="2"/>
      <c r="S161" s="2"/>
      <c r="T161" s="2"/>
      <c r="U161" s="2"/>
      <c r="Y161" s="5"/>
      <c r="Z161" s="6"/>
      <c r="AA161" s="2"/>
    </row>
    <row r="162" spans="1:27">
      <c r="A162" t="s">
        <v>134</v>
      </c>
      <c r="B162" s="15" t="s">
        <v>196</v>
      </c>
      <c r="C162" s="1" t="e">
        <f t="shared" si="20"/>
        <v>#VALUE!</v>
      </c>
      <c r="D162" s="2" t="e">
        <f t="shared" si="21"/>
        <v>#VALUE!</v>
      </c>
      <c r="E162" s="3" t="e">
        <f t="shared" si="22"/>
        <v>#VALUE!</v>
      </c>
      <c r="F162" s="3">
        <v>1</v>
      </c>
      <c r="G162" s="4" t="e">
        <f t="shared" si="23"/>
        <v>#VALUE!</v>
      </c>
      <c r="H162" s="2" t="e">
        <f>AVERAGEIF([1]个股!$D$9:$D$2788,[1]行业!$B201,[1]个股!BC$9:BC$2788)</f>
        <v>#VALUE!</v>
      </c>
      <c r="I162" s="2" t="e">
        <f>AVERAGEIF([1]个股!$D$9:$D$2788,[1]行业!$B201,[1]个股!BD$9:BD$2788)</f>
        <v>#VALUE!</v>
      </c>
      <c r="J162" s="2" t="e">
        <f>AVERAGEIF([1]个股!$D$9:$D$2788,[1]行业!$B201,[1]个股!BE$9:BE$2788)</f>
        <v>#VALUE!</v>
      </c>
      <c r="K162" s="2" t="e">
        <f>AVERAGEIF([1]个股!$D$9:$D$2788,[1]行业!$B201,[1]个股!BF$9:BF$2788)</f>
        <v>#VALUE!</v>
      </c>
      <c r="L162" s="2" t="e">
        <f>AVERAGEIF([1]个股!$D$9:$D$2788,[1]行业!$B201,[1]个股!BG$9:BG$2788)</f>
        <v>#VALUE!</v>
      </c>
      <c r="M162" s="5" t="e">
        <f>SUMIF([1]个股!$D$9:$D$2788,B162,[1]个股!$M$9:$M$2788)</f>
        <v>#VALUE!</v>
      </c>
      <c r="N162" s="6" t="e">
        <f>SUMIF([1]个股!$D$9:$D$2788,B162,[1]个股!$N$9:$N$2788)</f>
        <v>#VALUE!</v>
      </c>
      <c r="O162" s="7" t="e">
        <f t="shared" si="24"/>
        <v>#VALUE!</v>
      </c>
      <c r="P162" t="e">
        <f t="shared" ca="1" si="25"/>
        <v>#NAME?</v>
      </c>
      <c r="Q162" t="str">
        <f t="shared" si="26"/>
        <v>行业4 调查和咨询服务</v>
      </c>
      <c r="R162" s="2"/>
      <c r="S162" s="2"/>
      <c r="T162" s="2"/>
      <c r="U162" s="2"/>
      <c r="Y162" s="5"/>
      <c r="Z162" s="6"/>
      <c r="AA162" s="2"/>
    </row>
    <row r="163" spans="1:27">
      <c r="A163" t="s">
        <v>134</v>
      </c>
      <c r="B163" s="15" t="s">
        <v>197</v>
      </c>
      <c r="C163" s="1" t="e">
        <f t="shared" si="20"/>
        <v>#VALUE!</v>
      </c>
      <c r="D163" s="2" t="e">
        <f t="shared" si="21"/>
        <v>#VALUE!</v>
      </c>
      <c r="E163" s="3" t="e">
        <f t="shared" si="22"/>
        <v>#VALUE!</v>
      </c>
      <c r="F163" s="3">
        <v>1</v>
      </c>
      <c r="G163" s="4" t="e">
        <f t="shared" si="23"/>
        <v>#VALUE!</v>
      </c>
      <c r="H163" s="2" t="e">
        <f>AVERAGEIF([1]个股!$D$9:$D$2788,[1]行业!$B227,[1]个股!BC$9:BC$2788)</f>
        <v>#VALUE!</v>
      </c>
      <c r="I163" s="2" t="e">
        <f>AVERAGEIF([1]个股!$D$9:$D$2788,[1]行业!$B227,[1]个股!BD$9:BD$2788)</f>
        <v>#VALUE!</v>
      </c>
      <c r="J163" s="2" t="e">
        <f>AVERAGEIF([1]个股!$D$9:$D$2788,[1]行业!$B227,[1]个股!BE$9:BE$2788)</f>
        <v>#VALUE!</v>
      </c>
      <c r="K163" s="2" t="e">
        <f>AVERAGEIF([1]个股!$D$9:$D$2788,[1]行业!$B227,[1]个股!BF$9:BF$2788)</f>
        <v>#VALUE!</v>
      </c>
      <c r="L163" s="2" t="e">
        <f>AVERAGEIF([1]个股!$D$9:$D$2788,[1]行业!$B227,[1]个股!BG$9:BG$2788)</f>
        <v>#VALUE!</v>
      </c>
      <c r="M163" s="5" t="e">
        <f>SUMIF([1]个股!$D$9:$D$2788,B163,[1]个股!$M$9:$M$2788)</f>
        <v>#VALUE!</v>
      </c>
      <c r="N163" s="6" t="e">
        <f>SUMIF([1]个股!$D$9:$D$2788,B163,[1]个股!$N$9:$N$2788)</f>
        <v>#VALUE!</v>
      </c>
      <c r="O163" s="7" t="e">
        <f t="shared" si="24"/>
        <v>#VALUE!</v>
      </c>
      <c r="P163" t="e">
        <f t="shared" ca="1" si="25"/>
        <v>#NAME?</v>
      </c>
      <c r="Q163" t="str">
        <f t="shared" si="26"/>
        <v>行业4 综合电信服务</v>
      </c>
      <c r="R163" s="2"/>
      <c r="S163" s="2"/>
      <c r="T163" s="2"/>
      <c r="U163" s="2"/>
      <c r="Y163" s="5"/>
      <c r="Z163" s="6"/>
      <c r="AA163" s="2"/>
    </row>
    <row r="164" spans="1:27">
      <c r="A164" t="s">
        <v>134</v>
      </c>
      <c r="B164" s="15" t="s">
        <v>198</v>
      </c>
      <c r="C164" s="1" t="e">
        <f t="shared" si="20"/>
        <v>#VALUE!</v>
      </c>
      <c r="D164" s="2" t="e">
        <f t="shared" si="21"/>
        <v>#VALUE!</v>
      </c>
      <c r="E164" s="3" t="e">
        <f t="shared" si="22"/>
        <v>#VALUE!</v>
      </c>
      <c r="F164" s="3">
        <v>1</v>
      </c>
      <c r="G164" s="4" t="e">
        <f t="shared" si="23"/>
        <v>#VALUE!</v>
      </c>
      <c r="H164" s="2" t="e">
        <f>AVERAGEIF([1]个股!$D$9:$D$2788,[1]行业!$B219,[1]个股!BC$9:BC$2788)</f>
        <v>#VALUE!</v>
      </c>
      <c r="I164" s="2" t="e">
        <f>AVERAGEIF([1]个股!$D$9:$D$2788,[1]行业!$B219,[1]个股!BD$9:BD$2788)</f>
        <v>#VALUE!</v>
      </c>
      <c r="J164" s="2" t="e">
        <f>AVERAGEIF([1]个股!$D$9:$D$2788,[1]行业!$B219,[1]个股!BE$9:BE$2788)</f>
        <v>#VALUE!</v>
      </c>
      <c r="K164" s="2" t="e">
        <f>AVERAGEIF([1]个股!$D$9:$D$2788,[1]行业!$B219,[1]个股!BF$9:BF$2788)</f>
        <v>#VALUE!</v>
      </c>
      <c r="L164" s="2" t="e">
        <f>AVERAGEIF([1]个股!$D$9:$D$2788,[1]行业!$B219,[1]个股!BG$9:BG$2788)</f>
        <v>#VALUE!</v>
      </c>
      <c r="M164" s="5" t="e">
        <f>SUMIF([1]个股!$D$9:$D$2788,B164,[1]个股!$M$9:$M$2788)</f>
        <v>#VALUE!</v>
      </c>
      <c r="N164" s="6" t="e">
        <f>SUMIF([1]个股!$D$9:$D$2788,B164,[1]个股!$N$9:$N$2788)</f>
        <v>#VALUE!</v>
      </c>
      <c r="O164" s="7" t="e">
        <f t="shared" si="24"/>
        <v>#VALUE!</v>
      </c>
      <c r="P164" t="e">
        <f t="shared" ca="1" si="25"/>
        <v>#NAME?</v>
      </c>
      <c r="Q164" t="str">
        <f t="shared" si="26"/>
        <v>行业4 有线和卫星电视</v>
      </c>
      <c r="R164" s="2"/>
      <c r="S164" s="2"/>
      <c r="T164" s="2"/>
      <c r="U164" s="2"/>
      <c r="Y164" s="5"/>
      <c r="Z164" s="6"/>
      <c r="AA164" s="2"/>
    </row>
    <row r="165" spans="1:27">
      <c r="A165" t="s">
        <v>134</v>
      </c>
      <c r="B165" s="15" t="s">
        <v>199</v>
      </c>
      <c r="C165" s="1" t="e">
        <f t="shared" si="20"/>
        <v>#VALUE!</v>
      </c>
      <c r="D165" s="2" t="e">
        <f t="shared" si="21"/>
        <v>#VALUE!</v>
      </c>
      <c r="E165" s="3" t="e">
        <f t="shared" si="22"/>
        <v>#VALUE!</v>
      </c>
      <c r="F165" s="3">
        <v>1</v>
      </c>
      <c r="G165" s="4" t="e">
        <f t="shared" si="23"/>
        <v>#VALUE!</v>
      </c>
      <c r="H165" s="2" t="e">
        <f>AVERAGEIF([1]个股!$D$9:$D$2788,[1]行业!$B221,[1]个股!BC$9:BC$2788)</f>
        <v>#VALUE!</v>
      </c>
      <c r="I165" s="2" t="e">
        <f>AVERAGEIF([1]个股!$D$9:$D$2788,[1]行业!$B221,[1]个股!BD$9:BD$2788)</f>
        <v>#VALUE!</v>
      </c>
      <c r="J165" s="2" t="e">
        <f>AVERAGEIF([1]个股!$D$9:$D$2788,[1]行业!$B221,[1]个股!BE$9:BE$2788)</f>
        <v>#VALUE!</v>
      </c>
      <c r="K165" s="2" t="e">
        <f>AVERAGEIF([1]个股!$D$9:$D$2788,[1]行业!$B221,[1]个股!BF$9:BF$2788)</f>
        <v>#VALUE!</v>
      </c>
      <c r="L165" s="2" t="e">
        <f>AVERAGEIF([1]个股!$D$9:$D$2788,[1]行业!$B221,[1]个股!BG$9:BG$2788)</f>
        <v>#VALUE!</v>
      </c>
      <c r="M165" s="5" t="e">
        <f>SUMIF([1]个股!$D$9:$D$2788,B165,[1]个股!$M$9:$M$2788)</f>
        <v>#VALUE!</v>
      </c>
      <c r="N165" s="6" t="e">
        <f>SUMIF([1]个股!$D$9:$D$2788,B165,[1]个股!$N$9:$N$2788)</f>
        <v>#VALUE!</v>
      </c>
      <c r="O165" s="7" t="e">
        <f t="shared" si="24"/>
        <v>#VALUE!</v>
      </c>
      <c r="P165" t="e">
        <f t="shared" ca="1" si="25"/>
        <v>#NAME?</v>
      </c>
      <c r="Q165" t="str">
        <f t="shared" si="26"/>
        <v>行业4 纸制品</v>
      </c>
      <c r="R165" s="2"/>
      <c r="S165" s="2"/>
      <c r="T165" s="2"/>
      <c r="U165" s="2"/>
      <c r="Y165" s="5"/>
      <c r="Z165" s="6"/>
      <c r="AA165" s="2"/>
    </row>
    <row r="166" spans="1:27">
      <c r="A166" t="s">
        <v>134</v>
      </c>
      <c r="B166" s="15" t="s">
        <v>200</v>
      </c>
      <c r="C166" s="1" t="e">
        <f t="shared" si="20"/>
        <v>#VALUE!</v>
      </c>
      <c r="D166" s="2" t="e">
        <f t="shared" si="21"/>
        <v>#VALUE!</v>
      </c>
      <c r="E166" s="3" t="e">
        <f t="shared" si="22"/>
        <v>#VALUE!</v>
      </c>
      <c r="F166" s="3">
        <v>0.7</v>
      </c>
      <c r="G166" s="4" t="e">
        <f t="shared" si="23"/>
        <v>#VALUE!</v>
      </c>
      <c r="H166" s="2" t="e">
        <f>AVERAGEIF([1]个股!$D$9:$D$2788,[1]行业!$B127,[1]个股!BC$9:BC$2788)</f>
        <v>#VALUE!</v>
      </c>
      <c r="I166" s="2" t="e">
        <f>AVERAGEIF([1]个股!$D$9:$D$2788,[1]行业!$B127,[1]个股!BD$9:BD$2788)</f>
        <v>#VALUE!</v>
      </c>
      <c r="J166" s="2" t="e">
        <f>AVERAGEIF([1]个股!$D$9:$D$2788,[1]行业!$B127,[1]个股!BE$9:BE$2788)</f>
        <v>#VALUE!</v>
      </c>
      <c r="K166" s="2" t="e">
        <f>AVERAGEIF([1]个股!$D$9:$D$2788,[1]行业!$B127,[1]个股!BF$9:BF$2788)</f>
        <v>#VALUE!</v>
      </c>
      <c r="L166" s="2" t="e">
        <f>AVERAGEIF([1]个股!$D$9:$D$2788,[1]行业!$B127,[1]个股!BG$9:BG$2788)</f>
        <v>#VALUE!</v>
      </c>
      <c r="M166" s="5" t="e">
        <f>SUMIF([1]个股!$D$9:$D$2788,B166,[1]个股!$M$9:$M$2788)</f>
        <v>#VALUE!</v>
      </c>
      <c r="N166" s="6" t="e">
        <f>SUMIF([1]个股!$D$9:$D$2788,B166,[1]个股!$N$9:$N$2788)</f>
        <v>#VALUE!</v>
      </c>
      <c r="O166" s="7" t="e">
        <f t="shared" si="24"/>
        <v>#VALUE!</v>
      </c>
      <c r="P166" t="e">
        <f t="shared" ca="1" si="25"/>
        <v>#NAME?</v>
      </c>
      <c r="Q166" t="str">
        <f t="shared" si="26"/>
        <v>行业4 房地产服务</v>
      </c>
    </row>
    <row r="167" spans="1:27">
      <c r="A167" t="s">
        <v>134</v>
      </c>
      <c r="B167" s="15" t="s">
        <v>201</v>
      </c>
      <c r="C167" s="1" t="e">
        <f t="shared" si="20"/>
        <v>#VALUE!</v>
      </c>
      <c r="D167" s="2" t="e">
        <f t="shared" si="21"/>
        <v>#VALUE!</v>
      </c>
      <c r="E167" s="3" t="e">
        <f t="shared" si="22"/>
        <v>#VALUE!</v>
      </c>
      <c r="F167" s="3">
        <v>1</v>
      </c>
      <c r="G167" s="4" t="e">
        <f t="shared" si="23"/>
        <v>#VALUE!</v>
      </c>
      <c r="H167" s="2" t="e">
        <f>AVERAGEIF([1]个股!$D$9:$D$2788,[1]行业!$B209,[1]个股!BC$9:BC$2788)</f>
        <v>#VALUE!</v>
      </c>
      <c r="I167" s="2" t="e">
        <f>AVERAGEIF([1]个股!$D$9:$D$2788,[1]行业!$B209,[1]个股!BD$9:BD$2788)</f>
        <v>#VALUE!</v>
      </c>
      <c r="J167" s="2" t="e">
        <f>AVERAGEIF([1]个股!$D$9:$D$2788,[1]行业!$B209,[1]个股!BE$9:BE$2788)</f>
        <v>#VALUE!</v>
      </c>
      <c r="K167" s="2" t="e">
        <f>AVERAGEIF([1]个股!$D$9:$D$2788,[1]行业!$B209,[1]个股!BF$9:BF$2788)</f>
        <v>#VALUE!</v>
      </c>
      <c r="L167" s="2" t="e">
        <f>AVERAGEIF([1]个股!$D$9:$D$2788,[1]行业!$B209,[1]个股!BG$9:BG$2788)</f>
        <v>#VALUE!</v>
      </c>
      <c r="M167" s="5" t="e">
        <f>SUMIF([1]个股!$D$9:$D$2788,B167,[1]个股!$M$9:$M$2788)</f>
        <v>#VALUE!</v>
      </c>
      <c r="N167" s="6" t="e">
        <f>SUMIF([1]个股!$D$9:$D$2788,B167,[1]个股!$N$9:$N$2788)</f>
        <v>#VALUE!</v>
      </c>
      <c r="O167" s="7" t="e">
        <f t="shared" si="24"/>
        <v>#VALUE!</v>
      </c>
      <c r="P167" t="e">
        <f t="shared" ca="1" si="25"/>
        <v>#NAME?</v>
      </c>
      <c r="Q167" t="str">
        <f t="shared" si="26"/>
        <v>行业4 鞋类</v>
      </c>
      <c r="R167" s="2"/>
      <c r="S167" s="2"/>
      <c r="T167" s="2"/>
      <c r="U167" s="2"/>
      <c r="Y167" s="5"/>
      <c r="Z167" s="6"/>
      <c r="AA167" s="2"/>
    </row>
    <row r="168" spans="1:27">
      <c r="A168" t="s">
        <v>134</v>
      </c>
      <c r="B168" s="15" t="s">
        <v>202</v>
      </c>
      <c r="C168" s="1" t="e">
        <f t="shared" si="20"/>
        <v>#VALUE!</v>
      </c>
      <c r="D168" s="2" t="e">
        <f t="shared" si="21"/>
        <v>#VALUE!</v>
      </c>
      <c r="E168" s="3" t="e">
        <f t="shared" si="22"/>
        <v>#VALUE!</v>
      </c>
      <c r="F168" s="3">
        <v>1</v>
      </c>
      <c r="G168" s="4" t="e">
        <f t="shared" si="23"/>
        <v>#VALUE!</v>
      </c>
      <c r="H168" s="2" t="e">
        <f>AVERAGEIF([1]个股!$D$9:$D$2788,[1]行业!$B142,[1]个股!BC$9:BC$2788)</f>
        <v>#VALUE!</v>
      </c>
      <c r="I168" s="2" t="e">
        <f>AVERAGEIF([1]个股!$D$9:$D$2788,[1]行业!$B142,[1]个股!BD$9:BD$2788)</f>
        <v>#VALUE!</v>
      </c>
      <c r="J168" s="2" t="e">
        <f>AVERAGEIF([1]个股!$D$9:$D$2788,[1]行业!$B142,[1]个股!BE$9:BE$2788)</f>
        <v>#VALUE!</v>
      </c>
      <c r="K168" s="2" t="e">
        <f>AVERAGEIF([1]个股!$D$9:$D$2788,[1]行业!$B142,[1]个股!BF$9:BF$2788)</f>
        <v>#VALUE!</v>
      </c>
      <c r="L168" s="2" t="e">
        <f>AVERAGEIF([1]个股!$D$9:$D$2788,[1]行业!$B142,[1]个股!BG$9:BG$2788)</f>
        <v>#VALUE!</v>
      </c>
      <c r="M168" s="5" t="e">
        <f>SUMIF([1]个股!$D$9:$D$2788,B168,[1]个股!$M$9:$M$2788)</f>
        <v>#VALUE!</v>
      </c>
      <c r="N168" s="6" t="e">
        <f>SUMIF([1]个股!$D$9:$D$2788,B168,[1]个股!$N$9:$N$2788)</f>
        <v>#VALUE!</v>
      </c>
      <c r="O168" s="7" t="e">
        <f t="shared" si="24"/>
        <v>#VALUE!</v>
      </c>
      <c r="P168" t="e">
        <f t="shared" ca="1" si="25"/>
        <v>#NAME?</v>
      </c>
      <c r="Q168" t="str">
        <f t="shared" si="26"/>
        <v>行业4 海港与服务</v>
      </c>
    </row>
    <row r="169" spans="1:27">
      <c r="A169" t="s">
        <v>134</v>
      </c>
      <c r="B169" s="15" t="s">
        <v>203</v>
      </c>
      <c r="C169" s="1" t="e">
        <f t="shared" si="20"/>
        <v>#VALUE!</v>
      </c>
      <c r="D169" s="2" t="e">
        <f t="shared" si="21"/>
        <v>#VALUE!</v>
      </c>
      <c r="E169" s="3" t="e">
        <f t="shared" si="22"/>
        <v>#VALUE!</v>
      </c>
      <c r="F169" s="3">
        <v>0.7</v>
      </c>
      <c r="G169" s="4" t="e">
        <f t="shared" si="23"/>
        <v>#VALUE!</v>
      </c>
      <c r="H169" s="2" t="e">
        <f>AVERAGEIF([1]个股!$D$9:$D$2788,[1]行业!$B129,[1]个股!BC$9:BC$2788)</f>
        <v>#VALUE!</v>
      </c>
      <c r="I169" s="2" t="e">
        <f>AVERAGEIF([1]个股!$D$9:$D$2788,[1]行业!$B129,[1]个股!BD$9:BD$2788)</f>
        <v>#VALUE!</v>
      </c>
      <c r="J169" s="2" t="e">
        <f>AVERAGEIF([1]个股!$D$9:$D$2788,[1]行业!$B129,[1]个股!BE$9:BE$2788)</f>
        <v>#VALUE!</v>
      </c>
      <c r="K169" s="2" t="e">
        <f>AVERAGEIF([1]个股!$D$9:$D$2788,[1]行业!$B129,[1]个股!BF$9:BF$2788)</f>
        <v>#VALUE!</v>
      </c>
      <c r="L169" s="2" t="e">
        <f>AVERAGEIF([1]个股!$D$9:$D$2788,[1]行业!$B129,[1]个股!BG$9:BG$2788)</f>
        <v>#VALUE!</v>
      </c>
      <c r="M169" s="5" t="e">
        <f>SUMIF([1]个股!$D$9:$D$2788,B169,[1]个股!$M$9:$M$2788)</f>
        <v>#VALUE!</v>
      </c>
      <c r="N169" s="6" t="e">
        <f>SUMIF([1]个股!$D$9:$D$2788,B169,[1]个股!$N$9:$N$2788)</f>
        <v>#VALUE!</v>
      </c>
      <c r="O169" s="7" t="e">
        <f t="shared" si="24"/>
        <v>#VALUE!</v>
      </c>
      <c r="P169" t="e">
        <f t="shared" ca="1" si="25"/>
        <v>#NAME?</v>
      </c>
      <c r="Q169" t="str">
        <f t="shared" si="26"/>
        <v>行业4 房地产开发</v>
      </c>
    </row>
    <row r="170" spans="1:27">
      <c r="A170" t="s">
        <v>134</v>
      </c>
      <c r="B170" s="15" t="s">
        <v>204</v>
      </c>
      <c r="C170" s="1" t="e">
        <f t="shared" si="20"/>
        <v>#VALUE!</v>
      </c>
      <c r="D170" s="2" t="e">
        <f t="shared" si="21"/>
        <v>#VALUE!</v>
      </c>
      <c r="E170" s="3" t="e">
        <f t="shared" si="22"/>
        <v>#VALUE!</v>
      </c>
      <c r="F170" s="3">
        <v>0.8</v>
      </c>
      <c r="G170" s="4" t="e">
        <f t="shared" si="23"/>
        <v>#VALUE!</v>
      </c>
      <c r="H170" s="2" t="e">
        <f>AVERAGEIF([1]个股!$D$9:$D$2788,[1]行业!$B164,[1]个股!BC$9:BC$2788)</f>
        <v>#VALUE!</v>
      </c>
      <c r="I170" s="2" t="e">
        <f>AVERAGEIF([1]个股!$D$9:$D$2788,[1]行业!$B164,[1]个股!BD$9:BD$2788)</f>
        <v>#VALUE!</v>
      </c>
      <c r="J170" s="2" t="e">
        <f>AVERAGEIF([1]个股!$D$9:$D$2788,[1]行业!$B164,[1]个股!BE$9:BE$2788)</f>
        <v>#VALUE!</v>
      </c>
      <c r="K170" s="2" t="e">
        <f>AVERAGEIF([1]个股!$D$9:$D$2788,[1]行业!$B164,[1]个股!BF$9:BF$2788)</f>
        <v>#VALUE!</v>
      </c>
      <c r="L170" s="2" t="e">
        <f>AVERAGEIF([1]个股!$D$9:$D$2788,[1]行业!$B164,[1]个股!BG$9:BG$2788)</f>
        <v>#VALUE!</v>
      </c>
      <c r="M170" s="5" t="e">
        <f>SUMIF([1]个股!$D$9:$D$2788,B170,[1]个股!$M$9:$M$2788)</f>
        <v>#VALUE!</v>
      </c>
      <c r="N170" s="6" t="e">
        <f>SUMIF([1]个股!$D$9:$D$2788,B170,[1]个股!$N$9:$N$2788)</f>
        <v>#VALUE!</v>
      </c>
      <c r="O170" s="7" t="e">
        <f t="shared" si="24"/>
        <v>#VALUE!</v>
      </c>
      <c r="P170" t="e">
        <f t="shared" ca="1" si="25"/>
        <v>#NAME?</v>
      </c>
      <c r="Q170" t="str">
        <f t="shared" si="26"/>
        <v>行业4 建筑机械与重型卡车</v>
      </c>
    </row>
    <row r="171" spans="1:27">
      <c r="A171" t="s">
        <v>134</v>
      </c>
      <c r="B171" s="15" t="s">
        <v>205</v>
      </c>
      <c r="C171" s="1" t="e">
        <f t="shared" si="20"/>
        <v>#VALUE!</v>
      </c>
      <c r="D171" s="2" t="e">
        <f t="shared" si="21"/>
        <v>#VALUE!</v>
      </c>
      <c r="E171" s="3" t="e">
        <f t="shared" si="22"/>
        <v>#VALUE!</v>
      </c>
      <c r="F171" s="3">
        <v>1</v>
      </c>
      <c r="G171" s="4" t="e">
        <f t="shared" si="23"/>
        <v>#VALUE!</v>
      </c>
      <c r="H171" s="2" t="e">
        <f>AVERAGEIF([1]个股!$D$9:$D$2788,[1]行业!$B189,[1]个股!BC$9:BC$2788)</f>
        <v>#VALUE!</v>
      </c>
      <c r="I171" s="2" t="e">
        <f>AVERAGEIF([1]个股!$D$9:$D$2788,[1]行业!$B189,[1]个股!BD$9:BD$2788)</f>
        <v>#VALUE!</v>
      </c>
      <c r="J171" s="2" t="e">
        <f>AVERAGEIF([1]个股!$D$9:$D$2788,[1]行业!$B189,[1]个股!BE$9:BE$2788)</f>
        <v>#VALUE!</v>
      </c>
      <c r="K171" s="2" t="e">
        <f>AVERAGEIF([1]个股!$D$9:$D$2788,[1]行业!$B189,[1]个股!BF$9:BF$2788)</f>
        <v>#VALUE!</v>
      </c>
      <c r="L171" s="2" t="e">
        <f>AVERAGEIF([1]个股!$D$9:$D$2788,[1]行业!$B189,[1]个股!BG$9:BG$2788)</f>
        <v>#VALUE!</v>
      </c>
      <c r="M171" s="5" t="e">
        <f>SUMIF([1]个股!$D$9:$D$2788,B171,[1]个股!$M$9:$M$2788)</f>
        <v>#VALUE!</v>
      </c>
      <c r="N171" s="6" t="e">
        <f>SUMIF([1]个股!$D$9:$D$2788,B171,[1]个股!$N$9:$N$2788)</f>
        <v>#VALUE!</v>
      </c>
      <c r="O171" s="7" t="e">
        <f t="shared" si="24"/>
        <v>#VALUE!</v>
      </c>
      <c r="P171" t="e">
        <f t="shared" ca="1" si="25"/>
        <v>#NAME?</v>
      </c>
      <c r="Q171" t="str">
        <f t="shared" si="26"/>
        <v>行业4 生命科学工具和服务</v>
      </c>
      <c r="R171" s="2"/>
      <c r="S171" s="2"/>
      <c r="T171" s="2"/>
      <c r="U171" s="2"/>
      <c r="Y171" s="5"/>
      <c r="Z171" s="6"/>
      <c r="AA171" s="2"/>
    </row>
    <row r="172" spans="1:27">
      <c r="A172" t="s">
        <v>134</v>
      </c>
      <c r="B172" s="15" t="s">
        <v>206</v>
      </c>
      <c r="C172" s="1" t="e">
        <f t="shared" si="20"/>
        <v>#VALUE!</v>
      </c>
      <c r="D172" s="2" t="e">
        <f t="shared" si="21"/>
        <v>#VALUE!</v>
      </c>
      <c r="E172" s="3" t="e">
        <f t="shared" si="22"/>
        <v>#VALUE!</v>
      </c>
      <c r="F172" s="3">
        <v>1</v>
      </c>
      <c r="G172" s="4" t="e">
        <f t="shared" si="23"/>
        <v>#VALUE!</v>
      </c>
      <c r="H172" s="2" t="e">
        <f>AVERAGEIF([1]个股!$D$9:$D$2788,[1]行业!$B211,[1]个股!BC$9:BC$2788)</f>
        <v>#VALUE!</v>
      </c>
      <c r="I172" s="2" t="e">
        <f>AVERAGEIF([1]个股!$D$9:$D$2788,[1]行业!$B211,[1]个股!BD$9:BD$2788)</f>
        <v>#VALUE!</v>
      </c>
      <c r="J172" s="2" t="e">
        <f>AVERAGEIF([1]个股!$D$9:$D$2788,[1]行业!$B211,[1]个股!BE$9:BE$2788)</f>
        <v>#VALUE!</v>
      </c>
      <c r="K172" s="2" t="e">
        <f>AVERAGEIF([1]个股!$D$9:$D$2788,[1]行业!$B211,[1]个股!BF$9:BF$2788)</f>
        <v>#VALUE!</v>
      </c>
      <c r="L172" s="2" t="e">
        <f>AVERAGEIF([1]个股!$D$9:$D$2788,[1]行业!$B211,[1]个股!BG$9:BG$2788)</f>
        <v>#VALUE!</v>
      </c>
      <c r="M172" s="5" t="e">
        <f>SUMIF([1]个股!$D$9:$D$2788,B172,[1]个股!$M$9:$M$2788)</f>
        <v>#VALUE!</v>
      </c>
      <c r="N172" s="6" t="e">
        <f>SUMIF([1]个股!$D$9:$D$2788,B172,[1]个股!$N$9:$N$2788)</f>
        <v>#VALUE!</v>
      </c>
      <c r="O172" s="7" t="e">
        <f t="shared" si="24"/>
        <v>#VALUE!</v>
      </c>
      <c r="P172" t="e">
        <f t="shared" ca="1" si="25"/>
        <v>#NAME?</v>
      </c>
      <c r="Q172" t="str">
        <f t="shared" si="26"/>
        <v>行业4 信息科技咨询与其它服务</v>
      </c>
      <c r="R172" s="2"/>
      <c r="S172" s="2"/>
      <c r="T172" s="2"/>
      <c r="U172" s="2"/>
      <c r="Y172" s="5"/>
      <c r="Z172" s="6"/>
      <c r="AA172" s="2"/>
    </row>
    <row r="173" spans="1:27">
      <c r="A173" t="s">
        <v>134</v>
      </c>
      <c r="B173" s="15" t="s">
        <v>207</v>
      </c>
      <c r="C173" s="1" t="e">
        <f t="shared" si="20"/>
        <v>#VALUE!</v>
      </c>
      <c r="D173" s="2" t="e">
        <f t="shared" si="21"/>
        <v>#VALUE!</v>
      </c>
      <c r="E173" s="3" t="e">
        <f t="shared" si="22"/>
        <v>#VALUE!</v>
      </c>
      <c r="F173" s="3">
        <v>1</v>
      </c>
      <c r="G173" s="4" t="e">
        <f t="shared" si="23"/>
        <v>#VALUE!</v>
      </c>
      <c r="H173" s="2" t="e">
        <f>AVERAGEIF([1]个股!$D$9:$D$2788,[1]行业!$B145,[1]个股!BC$9:BC$2788)</f>
        <v>#VALUE!</v>
      </c>
      <c r="I173" s="2" t="e">
        <f>AVERAGEIF([1]个股!$D$9:$D$2788,[1]行业!$B145,[1]个股!BD$9:BD$2788)</f>
        <v>#VALUE!</v>
      </c>
      <c r="J173" s="2" t="e">
        <f>AVERAGEIF([1]个股!$D$9:$D$2788,[1]行业!$B145,[1]个股!BE$9:BE$2788)</f>
        <v>#VALUE!</v>
      </c>
      <c r="K173" s="2" t="e">
        <f>AVERAGEIF([1]个股!$D$9:$D$2788,[1]行业!$B145,[1]个股!BF$9:BF$2788)</f>
        <v>#VALUE!</v>
      </c>
      <c r="L173" s="2" t="e">
        <f>AVERAGEIF([1]个股!$D$9:$D$2788,[1]行业!$B145,[1]个股!BG$9:BG$2788)</f>
        <v>#VALUE!</v>
      </c>
      <c r="M173" s="5" t="e">
        <f>SUMIF([1]个股!$D$9:$D$2788,B173,[1]个股!$M$9:$M$2788)</f>
        <v>#VALUE!</v>
      </c>
      <c r="N173" s="6" t="e">
        <f>SUMIF([1]个股!$D$9:$D$2788,B173,[1]个股!$N$9:$N$2788)</f>
        <v>#VALUE!</v>
      </c>
      <c r="O173" s="7" t="e">
        <f t="shared" si="24"/>
        <v>#VALUE!</v>
      </c>
      <c r="P173" t="e">
        <f t="shared" ca="1" si="25"/>
        <v>#NAME?</v>
      </c>
      <c r="Q173" t="str">
        <f t="shared" si="26"/>
        <v>行业4 航空货运与物流</v>
      </c>
    </row>
    <row r="174" spans="1:27">
      <c r="A174" t="s">
        <v>134</v>
      </c>
      <c r="B174" s="15" t="s">
        <v>208</v>
      </c>
      <c r="C174" s="1" t="e">
        <f t="shared" si="20"/>
        <v>#VALUE!</v>
      </c>
      <c r="D174" s="2" t="e">
        <f t="shared" si="21"/>
        <v>#VALUE!</v>
      </c>
      <c r="E174" s="3" t="e">
        <f t="shared" si="22"/>
        <v>#VALUE!</v>
      </c>
      <c r="F174" s="3">
        <v>1</v>
      </c>
      <c r="G174" s="4" t="e">
        <f t="shared" si="23"/>
        <v>#VALUE!</v>
      </c>
      <c r="H174" s="2" t="e">
        <f>AVERAGEIF([1]个股!$D$9:$D$2788,[1]行业!$B188,[1]个股!BC$9:BC$2788)</f>
        <v>#VALUE!</v>
      </c>
      <c r="I174" s="2" t="e">
        <f>AVERAGEIF([1]个股!$D$9:$D$2788,[1]行业!$B188,[1]个股!BD$9:BD$2788)</f>
        <v>#VALUE!</v>
      </c>
      <c r="J174" s="2" t="e">
        <f>AVERAGEIF([1]个股!$D$9:$D$2788,[1]行业!$B188,[1]个股!BE$9:BE$2788)</f>
        <v>#VALUE!</v>
      </c>
      <c r="K174" s="2" t="e">
        <f>AVERAGEIF([1]个股!$D$9:$D$2788,[1]行业!$B188,[1]个股!BF$9:BF$2788)</f>
        <v>#VALUE!</v>
      </c>
      <c r="L174" s="2" t="e">
        <f>AVERAGEIF([1]个股!$D$9:$D$2788,[1]行业!$B188,[1]个股!BG$9:BG$2788)</f>
        <v>#VALUE!</v>
      </c>
      <c r="M174" s="5" t="e">
        <f>SUMIF([1]个股!$D$9:$D$2788,B174,[1]个股!$M$9:$M$2788)</f>
        <v>#VALUE!</v>
      </c>
      <c r="N174" s="6" t="e">
        <f>SUMIF([1]个股!$D$9:$D$2788,B174,[1]个股!$N$9:$N$2788)</f>
        <v>#VALUE!</v>
      </c>
      <c r="O174" s="7" t="e">
        <f t="shared" si="24"/>
        <v>#VALUE!</v>
      </c>
      <c r="P174" t="e">
        <f t="shared" ca="1" si="25"/>
        <v>#NAME?</v>
      </c>
      <c r="Q174" t="str">
        <f t="shared" si="26"/>
        <v>行业4 摄影用品</v>
      </c>
      <c r="R174" s="2"/>
      <c r="S174" s="2"/>
      <c r="T174" s="2"/>
      <c r="U174" s="2"/>
      <c r="Y174" s="5"/>
      <c r="Z174" s="6"/>
      <c r="AA174" s="2"/>
    </row>
    <row r="175" spans="1:27">
      <c r="A175" t="s">
        <v>134</v>
      </c>
      <c r="B175" s="15" t="s">
        <v>209</v>
      </c>
      <c r="C175" s="1" t="e">
        <f t="shared" si="20"/>
        <v>#VALUE!</v>
      </c>
      <c r="D175" s="2" t="e">
        <f t="shared" si="21"/>
        <v>#VALUE!</v>
      </c>
      <c r="E175" s="3" t="e">
        <f t="shared" si="22"/>
        <v>#VALUE!</v>
      </c>
      <c r="F175" s="3">
        <v>1</v>
      </c>
      <c r="G175" s="4" t="e">
        <f t="shared" si="23"/>
        <v>#VALUE!</v>
      </c>
      <c r="H175" s="2" t="e">
        <f>AVERAGEIF([1]个股!$D$9:$D$2788,[1]行业!$B103,[1]个股!BC$9:BC$2788)</f>
        <v>#VALUE!</v>
      </c>
      <c r="I175" s="2" t="e">
        <f>AVERAGEIF([1]个股!$D$9:$D$2788,[1]行业!$B103,[1]个股!BD$9:BD$2788)</f>
        <v>#VALUE!</v>
      </c>
      <c r="J175" s="2" t="e">
        <f>AVERAGEIF([1]个股!$D$9:$D$2788,[1]行业!$B103,[1]个股!BE$9:BE$2788)</f>
        <v>#VALUE!</v>
      </c>
      <c r="K175" s="2" t="e">
        <f>AVERAGEIF([1]个股!$D$9:$D$2788,[1]行业!$B103,[1]个股!BF$9:BF$2788)</f>
        <v>#VALUE!</v>
      </c>
      <c r="L175" s="2" t="e">
        <f>AVERAGEIF([1]个股!$D$9:$D$2788,[1]行业!$B103,[1]个股!BG$9:BG$2788)</f>
        <v>#VALUE!</v>
      </c>
      <c r="M175" s="5" t="e">
        <f>SUMIF([1]个股!$D$9:$D$2788,B175,[1]个股!$M$9:$M$2788)</f>
        <v>#VALUE!</v>
      </c>
      <c r="N175" s="6" t="e">
        <f>SUMIF([1]个股!$D$9:$D$2788,B175,[1]个股!$N$9:$N$2788)</f>
        <v>#VALUE!</v>
      </c>
      <c r="O175" s="7" t="e">
        <f t="shared" si="24"/>
        <v>#VALUE!</v>
      </c>
      <c r="P175" t="e">
        <f t="shared" ca="1" si="25"/>
        <v>#NAME?</v>
      </c>
      <c r="Q175" t="str">
        <f t="shared" si="26"/>
        <v>行业4 百货商店</v>
      </c>
    </row>
    <row r="176" spans="1:27">
      <c r="A176" t="s">
        <v>134</v>
      </c>
      <c r="B176" s="15" t="s">
        <v>210</v>
      </c>
      <c r="C176" s="1" t="e">
        <f t="shared" si="20"/>
        <v>#VALUE!</v>
      </c>
      <c r="D176" s="2" t="e">
        <f t="shared" si="21"/>
        <v>#VALUE!</v>
      </c>
      <c r="E176" s="3" t="e">
        <f t="shared" si="22"/>
        <v>#VALUE!</v>
      </c>
      <c r="F176" s="3">
        <v>1</v>
      </c>
      <c r="G176" s="4" t="e">
        <f t="shared" si="23"/>
        <v>#VALUE!</v>
      </c>
      <c r="H176" s="2" t="e">
        <f>AVERAGEIF([1]个股!$D$9:$D$2788,[1]行业!$B169,[1]个股!BC$9:BC$2788)</f>
        <v>#VALUE!</v>
      </c>
      <c r="I176" s="2" t="e">
        <f>AVERAGEIF([1]个股!$D$9:$D$2788,[1]行业!$B169,[1]个股!BD$9:BD$2788)</f>
        <v>#VALUE!</v>
      </c>
      <c r="J176" s="2" t="e">
        <f>AVERAGEIF([1]个股!$D$9:$D$2788,[1]行业!$B169,[1]个股!BE$9:BE$2788)</f>
        <v>#VALUE!</v>
      </c>
      <c r="K176" s="2" t="e">
        <f>AVERAGEIF([1]个股!$D$9:$D$2788,[1]行业!$B169,[1]个股!BF$9:BF$2788)</f>
        <v>#VALUE!</v>
      </c>
      <c r="L176" s="2" t="e">
        <f>AVERAGEIF([1]个股!$D$9:$D$2788,[1]行业!$B169,[1]个股!BG$9:BG$2788)</f>
        <v>#VALUE!</v>
      </c>
      <c r="M176" s="5" t="e">
        <f>SUMIF([1]个股!$D$9:$D$2788,B176,[1]个股!$M$9:$M$2788)</f>
        <v>#VALUE!</v>
      </c>
      <c r="N176" s="6" t="e">
        <f>SUMIF([1]个股!$D$9:$D$2788,B176,[1]个股!$N$9:$N$2788)</f>
        <v>#VALUE!</v>
      </c>
      <c r="O176" s="7" t="e">
        <f t="shared" si="24"/>
        <v>#VALUE!</v>
      </c>
      <c r="P176" t="e">
        <f t="shared" ca="1" si="25"/>
        <v>#NAME?</v>
      </c>
      <c r="Q176" t="str">
        <f t="shared" si="26"/>
        <v>行业4 酒店、度假村与豪华游轮</v>
      </c>
      <c r="R176" s="2"/>
      <c r="S176" s="2"/>
      <c r="T176" s="2"/>
      <c r="U176" s="2"/>
      <c r="Y176" s="5"/>
      <c r="Z176" s="6"/>
      <c r="AA176" s="2"/>
    </row>
    <row r="177" spans="1:27">
      <c r="A177" t="s">
        <v>134</v>
      </c>
      <c r="B177" s="15" t="s">
        <v>211</v>
      </c>
      <c r="C177" s="1" t="e">
        <f t="shared" si="20"/>
        <v>#VALUE!</v>
      </c>
      <c r="D177" s="2" t="e">
        <f t="shared" si="21"/>
        <v>#VALUE!</v>
      </c>
      <c r="E177" s="3" t="e">
        <f t="shared" si="22"/>
        <v>#VALUE!</v>
      </c>
      <c r="F177" s="3">
        <v>1.1000000000000001</v>
      </c>
      <c r="G177" s="4" t="e">
        <f t="shared" si="23"/>
        <v>#VALUE!</v>
      </c>
      <c r="H177" s="2" t="e">
        <f>AVERAGEIF([1]个股!$D$9:$D$2788,[1]行业!$B198,[1]个股!BC$9:BC$2788)</f>
        <v>#VALUE!</v>
      </c>
      <c r="I177" s="2" t="e">
        <f>AVERAGEIF([1]个股!$D$9:$D$2788,[1]行业!$B198,[1]个股!BD$9:BD$2788)</f>
        <v>#VALUE!</v>
      </c>
      <c r="J177" s="2" t="e">
        <f>AVERAGEIF([1]个股!$D$9:$D$2788,[1]行业!$B198,[1]个股!BE$9:BE$2788)</f>
        <v>#VALUE!</v>
      </c>
      <c r="K177" s="2" t="e">
        <f>AVERAGEIF([1]个股!$D$9:$D$2788,[1]行业!$B198,[1]个股!BF$9:BF$2788)</f>
        <v>#VALUE!</v>
      </c>
      <c r="L177" s="2" t="e">
        <f>AVERAGEIF([1]个股!$D$9:$D$2788,[1]行业!$B198,[1]个股!BG$9:BG$2788)</f>
        <v>#VALUE!</v>
      </c>
      <c r="M177" s="5" t="e">
        <f>SUMIF([1]个股!$D$9:$D$2788,B177,[1]个股!$M$9:$M$2788)</f>
        <v>#VALUE!</v>
      </c>
      <c r="N177" s="6" t="e">
        <f>SUMIF([1]个股!$D$9:$D$2788,B177,[1]个股!$N$9:$N$2788)</f>
        <v>#VALUE!</v>
      </c>
      <c r="O177" s="7" t="e">
        <f t="shared" si="24"/>
        <v>#VALUE!</v>
      </c>
      <c r="P177" t="e">
        <f t="shared" ca="1" si="25"/>
        <v>#NAME?</v>
      </c>
      <c r="Q177" t="str">
        <f t="shared" si="26"/>
        <v>行业4 数据处理与外包服务</v>
      </c>
      <c r="R177" s="2"/>
      <c r="S177" s="2"/>
      <c r="T177" s="2"/>
      <c r="U177" s="2"/>
      <c r="Y177" s="5"/>
      <c r="Z177" s="6"/>
      <c r="AA177" s="2"/>
    </row>
    <row r="178" spans="1:27">
      <c r="A178" t="s">
        <v>134</v>
      </c>
      <c r="B178" s="15" t="s">
        <v>212</v>
      </c>
      <c r="C178" s="1" t="e">
        <f t="shared" si="20"/>
        <v>#VALUE!</v>
      </c>
      <c r="D178" s="2" t="e">
        <f t="shared" si="21"/>
        <v>#VALUE!</v>
      </c>
      <c r="E178" s="3" t="e">
        <f t="shared" si="22"/>
        <v>#VALUE!</v>
      </c>
      <c r="F178" s="3">
        <v>1</v>
      </c>
      <c r="G178" s="4" t="e">
        <f t="shared" si="23"/>
        <v>#VALUE!</v>
      </c>
      <c r="H178" s="2" t="e">
        <f>AVERAGEIF([1]个股!$D$9:$D$2788,[1]行业!$B172,[1]个股!BC$9:BC$2788)</f>
        <v>#VALUE!</v>
      </c>
      <c r="I178" s="2" t="e">
        <f>AVERAGEIF([1]个股!$D$9:$D$2788,[1]行业!$B172,[1]个股!BD$9:BD$2788)</f>
        <v>#VALUE!</v>
      </c>
      <c r="J178" s="2" t="e">
        <f>AVERAGEIF([1]个股!$D$9:$D$2788,[1]行业!$B172,[1]个股!BE$9:BE$2788)</f>
        <v>#VALUE!</v>
      </c>
      <c r="K178" s="2" t="e">
        <f>AVERAGEIF([1]个股!$D$9:$D$2788,[1]行业!$B172,[1]个股!BF$9:BF$2788)</f>
        <v>#VALUE!</v>
      </c>
      <c r="L178" s="2" t="e">
        <f>AVERAGEIF([1]个股!$D$9:$D$2788,[1]行业!$B172,[1]个股!BG$9:BG$2788)</f>
        <v>#VALUE!</v>
      </c>
      <c r="M178" s="5" t="e">
        <f>SUMIF([1]个股!$D$9:$D$2788,B178,[1]个股!$M$9:$M$2788)</f>
        <v>#VALUE!</v>
      </c>
      <c r="N178" s="6" t="e">
        <f>SUMIF([1]个股!$D$9:$D$2788,B178,[1]个股!$N$9:$N$2788)</f>
        <v>#VALUE!</v>
      </c>
      <c r="O178" s="7" t="e">
        <f t="shared" si="24"/>
        <v>#VALUE!</v>
      </c>
      <c r="P178" t="e">
        <f t="shared" ca="1" si="25"/>
        <v>#NAME?</v>
      </c>
      <c r="Q178" t="str">
        <f t="shared" si="26"/>
        <v>行业4 铝</v>
      </c>
      <c r="R178" s="2"/>
      <c r="S178" s="2"/>
      <c r="T178" s="2"/>
      <c r="U178" s="2"/>
      <c r="Y178" s="5"/>
      <c r="Z178" s="6"/>
      <c r="AA178" s="2"/>
    </row>
    <row r="179" spans="1:27">
      <c r="A179" t="s">
        <v>134</v>
      </c>
      <c r="B179" s="15" t="s">
        <v>213</v>
      </c>
      <c r="C179" s="1" t="e">
        <f t="shared" si="20"/>
        <v>#VALUE!</v>
      </c>
      <c r="D179" s="2" t="e">
        <f t="shared" si="21"/>
        <v>#VALUE!</v>
      </c>
      <c r="E179" s="3" t="e">
        <f t="shared" si="22"/>
        <v>#VALUE!</v>
      </c>
      <c r="F179" s="3">
        <v>1</v>
      </c>
      <c r="G179" s="4" t="e">
        <f t="shared" si="23"/>
        <v>#VALUE!</v>
      </c>
      <c r="H179" s="2" t="e">
        <f>AVERAGEIF([1]个股!$D$9:$D$2788,[1]行业!$B136,[1]个股!BC$9:BC$2788)</f>
        <v>#VALUE!</v>
      </c>
      <c r="I179" s="2" t="e">
        <f>AVERAGEIF([1]个股!$D$9:$D$2788,[1]行业!$B136,[1]个股!BD$9:BD$2788)</f>
        <v>#VALUE!</v>
      </c>
      <c r="J179" s="2" t="e">
        <f>AVERAGEIF([1]个股!$D$9:$D$2788,[1]行业!$B136,[1]个股!BE$9:BE$2788)</f>
        <v>#VALUE!</v>
      </c>
      <c r="K179" s="2" t="e">
        <f>AVERAGEIF([1]个股!$D$9:$D$2788,[1]行业!$B136,[1]个股!BF$9:BF$2788)</f>
        <v>#VALUE!</v>
      </c>
      <c r="L179" s="2" t="e">
        <f>AVERAGEIF([1]个股!$D$9:$D$2788,[1]行业!$B136,[1]个股!BG$9:BG$2788)</f>
        <v>#VALUE!</v>
      </c>
      <c r="M179" s="5" t="e">
        <f>SUMIF([1]个股!$D$9:$D$2788,B179,[1]个股!$M$9:$M$2788)</f>
        <v>#VALUE!</v>
      </c>
      <c r="N179" s="6" t="e">
        <f>SUMIF([1]个股!$D$9:$D$2788,B179,[1]个股!$N$9:$N$2788)</f>
        <v>#VALUE!</v>
      </c>
      <c r="O179" s="7" t="e">
        <f t="shared" si="24"/>
        <v>#VALUE!</v>
      </c>
      <c r="P179" t="e">
        <f t="shared" ca="1" si="25"/>
        <v>#NAME?</v>
      </c>
      <c r="Q179" t="str">
        <f t="shared" si="26"/>
        <v>行业4 工业机械</v>
      </c>
    </row>
    <row r="180" spans="1:27">
      <c r="A180" t="s">
        <v>134</v>
      </c>
      <c r="B180" s="15" t="s">
        <v>214</v>
      </c>
      <c r="C180" s="1" t="e">
        <f t="shared" si="20"/>
        <v>#VALUE!</v>
      </c>
      <c r="D180" s="2" t="e">
        <f t="shared" si="21"/>
        <v>#VALUE!</v>
      </c>
      <c r="E180" s="3" t="e">
        <f t="shared" si="22"/>
        <v>#VALUE!</v>
      </c>
      <c r="F180" s="3">
        <v>1</v>
      </c>
      <c r="G180" s="4" t="e">
        <f t="shared" si="23"/>
        <v>#VALUE!</v>
      </c>
      <c r="H180" s="2" t="e">
        <f>AVERAGEIF([1]个股!$D$9:$D$2788,[1]行业!$B130,[1]个股!BC$9:BC$2788)</f>
        <v>#VALUE!</v>
      </c>
      <c r="I180" s="2" t="e">
        <f>AVERAGEIF([1]个股!$D$9:$D$2788,[1]行业!$B130,[1]个股!BD$9:BD$2788)</f>
        <v>#VALUE!</v>
      </c>
      <c r="J180" s="2" t="e">
        <f>AVERAGEIF([1]个股!$D$9:$D$2788,[1]行业!$B130,[1]个股!BE$9:BE$2788)</f>
        <v>#VALUE!</v>
      </c>
      <c r="K180" s="2" t="e">
        <f>AVERAGEIF([1]个股!$D$9:$D$2788,[1]行业!$B130,[1]个股!BF$9:BF$2788)</f>
        <v>#VALUE!</v>
      </c>
      <c r="L180" s="2" t="e">
        <f>AVERAGEIF([1]个股!$D$9:$D$2788,[1]行业!$B130,[1]个股!BG$9:BG$2788)</f>
        <v>#VALUE!</v>
      </c>
      <c r="M180" s="5" t="e">
        <f>SUMIF([1]个股!$D$9:$D$2788,B180,[1]个股!$M$9:$M$2788)</f>
        <v>#VALUE!</v>
      </c>
      <c r="N180" s="6" t="e">
        <f>SUMIF([1]个股!$D$9:$D$2788,B180,[1]个股!$N$9:$N$2788)</f>
        <v>#VALUE!</v>
      </c>
      <c r="O180" s="7" t="e">
        <f t="shared" si="24"/>
        <v>#VALUE!</v>
      </c>
      <c r="P180" t="e">
        <f t="shared" ca="1" si="25"/>
        <v>#NAME?</v>
      </c>
      <c r="Q180" t="str">
        <f t="shared" si="26"/>
        <v>行业4 纺织品</v>
      </c>
    </row>
    <row r="181" spans="1:27">
      <c r="A181" t="s">
        <v>134</v>
      </c>
      <c r="B181" s="15" t="s">
        <v>215</v>
      </c>
      <c r="C181" s="1" t="e">
        <f t="shared" si="20"/>
        <v>#VALUE!</v>
      </c>
      <c r="D181" s="2" t="e">
        <f t="shared" si="21"/>
        <v>#VALUE!</v>
      </c>
      <c r="E181" s="3" t="e">
        <f t="shared" si="22"/>
        <v>#VALUE!</v>
      </c>
      <c r="F181" s="3">
        <v>1</v>
      </c>
      <c r="G181" s="4" t="e">
        <f t="shared" si="23"/>
        <v>#VALUE!</v>
      </c>
      <c r="H181" s="2" t="e">
        <f>AVERAGEIF([1]个股!$D$9:$D$2788,[1]行业!$B184,[1]个股!BC$9:BC$2788)</f>
        <v>#VALUE!</v>
      </c>
      <c r="I181" s="2" t="e">
        <f>AVERAGEIF([1]个股!$D$9:$D$2788,[1]行业!$B184,[1]个股!BD$9:BD$2788)</f>
        <v>#VALUE!</v>
      </c>
      <c r="J181" s="2" t="e">
        <f>AVERAGEIF([1]个股!$D$9:$D$2788,[1]行业!$B184,[1]个股!BE$9:BE$2788)</f>
        <v>#VALUE!</v>
      </c>
      <c r="K181" s="2" t="e">
        <f>AVERAGEIF([1]个股!$D$9:$D$2788,[1]行业!$B184,[1]个股!BF$9:BF$2788)</f>
        <v>#VALUE!</v>
      </c>
      <c r="L181" s="2" t="e">
        <f>AVERAGEIF([1]个股!$D$9:$D$2788,[1]行业!$B184,[1]个股!BG$9:BG$2788)</f>
        <v>#VALUE!</v>
      </c>
      <c r="M181" s="5" t="e">
        <f>SUMIF([1]个股!$D$9:$D$2788,B181,[1]个股!$M$9:$M$2788)</f>
        <v>#VALUE!</v>
      </c>
      <c r="N181" s="6" t="e">
        <f>SUMIF([1]个股!$D$9:$D$2788,B181,[1]个股!$N$9:$N$2788)</f>
        <v>#VALUE!</v>
      </c>
      <c r="O181" s="7" t="e">
        <f t="shared" si="24"/>
        <v>#VALUE!</v>
      </c>
      <c r="P181" t="e">
        <f t="shared" ca="1" si="25"/>
        <v>#NAME?</v>
      </c>
      <c r="Q181" t="str">
        <f t="shared" si="26"/>
        <v>行业4 燃气</v>
      </c>
      <c r="R181" s="2"/>
      <c r="S181" s="2"/>
      <c r="T181" s="2"/>
      <c r="U181" s="2"/>
      <c r="Y181" s="5"/>
      <c r="Z181" s="6"/>
      <c r="AA181" s="2"/>
    </row>
    <row r="182" spans="1:27">
      <c r="A182" t="s">
        <v>134</v>
      </c>
      <c r="B182" s="15" t="s">
        <v>216</v>
      </c>
      <c r="C182" s="1" t="e">
        <f t="shared" si="20"/>
        <v>#VALUE!</v>
      </c>
      <c r="D182" s="2" t="e">
        <f t="shared" si="21"/>
        <v>#VALUE!</v>
      </c>
      <c r="E182" s="3" t="e">
        <f t="shared" si="22"/>
        <v>#VALUE!</v>
      </c>
      <c r="F182" s="3">
        <v>1</v>
      </c>
      <c r="G182" s="4" t="e">
        <f t="shared" si="23"/>
        <v>#VALUE!</v>
      </c>
      <c r="H182" s="2" t="e">
        <f>AVERAGEIF([1]个股!$D$9:$D$2788,[1]行业!$B218,[1]个股!BC$9:BC$2788)</f>
        <v>#VALUE!</v>
      </c>
      <c r="I182" s="2" t="e">
        <f>AVERAGEIF([1]个股!$D$9:$D$2788,[1]行业!$B218,[1]个股!BD$9:BD$2788)</f>
        <v>#VALUE!</v>
      </c>
      <c r="J182" s="2" t="e">
        <f>AVERAGEIF([1]个股!$D$9:$D$2788,[1]行业!$B218,[1]个股!BE$9:BE$2788)</f>
        <v>#VALUE!</v>
      </c>
      <c r="K182" s="2" t="e">
        <f>AVERAGEIF([1]个股!$D$9:$D$2788,[1]行业!$B218,[1]个股!BF$9:BF$2788)</f>
        <v>#VALUE!</v>
      </c>
      <c r="L182" s="2" t="e">
        <f>AVERAGEIF([1]个股!$D$9:$D$2788,[1]行业!$B218,[1]个股!BG$9:BG$2788)</f>
        <v>#VALUE!</v>
      </c>
      <c r="M182" s="5" t="e">
        <f>SUMIF([1]个股!$D$9:$D$2788,B182,[1]个股!$M$9:$M$2788)</f>
        <v>#VALUE!</v>
      </c>
      <c r="N182" s="6" t="e">
        <f>SUMIF([1]个股!$D$9:$D$2788,B182,[1]个股!$N$9:$N$2788)</f>
        <v>#VALUE!</v>
      </c>
      <c r="O182" s="7" t="e">
        <f t="shared" si="24"/>
        <v>#VALUE!</v>
      </c>
      <c r="P182" t="e">
        <f t="shared" ca="1" si="25"/>
        <v>#NAME?</v>
      </c>
      <c r="Q182" t="str">
        <f t="shared" si="26"/>
        <v>行业4 应用软件</v>
      </c>
      <c r="R182" s="2"/>
      <c r="S182" s="2"/>
      <c r="T182" s="2"/>
      <c r="U182" s="2"/>
      <c r="Y182" s="5"/>
      <c r="Z182" s="6"/>
      <c r="AA182" s="2"/>
    </row>
    <row r="183" spans="1:27">
      <c r="A183" t="s">
        <v>134</v>
      </c>
      <c r="B183" s="15" t="s">
        <v>217</v>
      </c>
      <c r="C183" s="1" t="e">
        <f t="shared" si="20"/>
        <v>#VALUE!</v>
      </c>
      <c r="D183" s="2" t="e">
        <f t="shared" si="21"/>
        <v>#VALUE!</v>
      </c>
      <c r="E183" s="3" t="e">
        <f t="shared" si="22"/>
        <v>#VALUE!</v>
      </c>
      <c r="F183" s="3">
        <v>1</v>
      </c>
      <c r="G183" s="4" t="e">
        <f t="shared" si="23"/>
        <v>#VALUE!</v>
      </c>
      <c r="H183" s="2" t="e">
        <f>AVERAGEIF([1]个股!$D$9:$D$2788,[1]行业!$B143,[1]个股!BC$9:BC$2788)</f>
        <v>#VALUE!</v>
      </c>
      <c r="I183" s="2" t="e">
        <f>AVERAGEIF([1]个股!$D$9:$D$2788,[1]行业!$B143,[1]个股!BD$9:BD$2788)</f>
        <v>#VALUE!</v>
      </c>
      <c r="J183" s="2" t="e">
        <f>AVERAGEIF([1]个股!$D$9:$D$2788,[1]行业!$B143,[1]个股!BE$9:BE$2788)</f>
        <v>#VALUE!</v>
      </c>
      <c r="K183" s="2" t="e">
        <f>AVERAGEIF([1]个股!$D$9:$D$2788,[1]行业!$B143,[1]个股!BF$9:BF$2788)</f>
        <v>#VALUE!</v>
      </c>
      <c r="L183" s="2" t="e">
        <f>AVERAGEIF([1]个股!$D$9:$D$2788,[1]行业!$B143,[1]个股!BG$9:BG$2788)</f>
        <v>#VALUE!</v>
      </c>
      <c r="M183" s="5" t="e">
        <f>SUMIF([1]个股!$D$9:$D$2788,B183,[1]个股!$M$9:$M$2788)</f>
        <v>#VALUE!</v>
      </c>
      <c r="N183" s="6" t="e">
        <f>SUMIF([1]个股!$D$9:$D$2788,B183,[1]个股!$N$9:$N$2788)</f>
        <v>#VALUE!</v>
      </c>
      <c r="O183" s="7" t="e">
        <f t="shared" si="24"/>
        <v>#VALUE!</v>
      </c>
      <c r="P183" t="e">
        <f t="shared" ca="1" si="25"/>
        <v>#NAME?</v>
      </c>
      <c r="Q183" t="str">
        <f t="shared" si="26"/>
        <v>行业4 海运</v>
      </c>
    </row>
    <row r="184" spans="1:27">
      <c r="A184" t="s">
        <v>134</v>
      </c>
      <c r="B184" s="15" t="s">
        <v>218</v>
      </c>
      <c r="C184" s="1" t="e">
        <f t="shared" si="20"/>
        <v>#VALUE!</v>
      </c>
      <c r="D184" s="2" t="e">
        <f t="shared" si="21"/>
        <v>#VALUE!</v>
      </c>
      <c r="E184" s="3" t="e">
        <f t="shared" si="22"/>
        <v>#VALUE!</v>
      </c>
      <c r="F184" s="3">
        <v>1</v>
      </c>
      <c r="G184" s="4" t="e">
        <f t="shared" si="23"/>
        <v>#VALUE!</v>
      </c>
      <c r="H184" s="2" t="e">
        <f>AVERAGEIF([1]个股!$D$9:$D$2788,[1]行业!$B173,[1]个股!BC$9:BC$2788)</f>
        <v>#VALUE!</v>
      </c>
      <c r="I184" s="2" t="e">
        <f>AVERAGEIF([1]个股!$D$9:$D$2788,[1]行业!$B173,[1]个股!BD$9:BD$2788)</f>
        <v>#VALUE!</v>
      </c>
      <c r="J184" s="2" t="e">
        <f>AVERAGEIF([1]个股!$D$9:$D$2788,[1]行业!$B173,[1]个股!BE$9:BE$2788)</f>
        <v>#VALUE!</v>
      </c>
      <c r="K184" s="2" t="e">
        <f>AVERAGEIF([1]个股!$D$9:$D$2788,[1]行业!$B173,[1]个股!BF$9:BF$2788)</f>
        <v>#VALUE!</v>
      </c>
      <c r="L184" s="2" t="e">
        <f>AVERAGEIF([1]个股!$D$9:$D$2788,[1]行业!$B173,[1]个股!BG$9:BG$2788)</f>
        <v>#VALUE!</v>
      </c>
      <c r="M184" s="5" t="e">
        <f>SUMIF([1]个股!$D$9:$D$2788,B184,[1]个股!$M$9:$M$2788)</f>
        <v>#VALUE!</v>
      </c>
      <c r="N184" s="6" t="e">
        <f>SUMIF([1]个股!$D$9:$D$2788,B184,[1]个股!$N$9:$N$2788)</f>
        <v>#VALUE!</v>
      </c>
      <c r="O184" s="7" t="e">
        <f t="shared" si="24"/>
        <v>#VALUE!</v>
      </c>
      <c r="P184" t="e">
        <f t="shared" ca="1" si="25"/>
        <v>#NAME?</v>
      </c>
      <c r="Q184" t="str">
        <f t="shared" si="26"/>
        <v>行业4 贸易公司与工业品经销商</v>
      </c>
      <c r="R184" s="2"/>
      <c r="S184" s="2"/>
      <c r="T184" s="2"/>
      <c r="U184" s="2"/>
      <c r="Y184" s="5"/>
      <c r="Z184" s="6"/>
      <c r="AA184" s="2"/>
    </row>
    <row r="185" spans="1:27">
      <c r="A185" t="s">
        <v>134</v>
      </c>
      <c r="B185" s="15" t="s">
        <v>219</v>
      </c>
      <c r="C185" s="1" t="e">
        <f t="shared" si="20"/>
        <v>#VALUE!</v>
      </c>
      <c r="D185" s="2" t="e">
        <f t="shared" si="21"/>
        <v>#VALUE!</v>
      </c>
      <c r="E185" s="3" t="e">
        <f t="shared" si="22"/>
        <v>#VALUE!</v>
      </c>
      <c r="F185" s="3">
        <v>1</v>
      </c>
      <c r="G185" s="4" t="e">
        <f t="shared" si="23"/>
        <v>#VALUE!</v>
      </c>
      <c r="H185" s="2" t="e">
        <f>AVERAGEIF([1]个股!$D$9:$D$2788,[1]行业!$B119,[1]个股!BC$9:BC$2788)</f>
        <v>#VALUE!</v>
      </c>
      <c r="I185" s="2" t="e">
        <f>AVERAGEIF([1]个股!$D$9:$D$2788,[1]行业!$B119,[1]个股!BD$9:BD$2788)</f>
        <v>#VALUE!</v>
      </c>
      <c r="J185" s="2" t="e">
        <f>AVERAGEIF([1]个股!$D$9:$D$2788,[1]行业!$B119,[1]个股!BE$9:BE$2788)</f>
        <v>#VALUE!</v>
      </c>
      <c r="K185" s="2" t="e">
        <f>AVERAGEIF([1]个股!$D$9:$D$2788,[1]行业!$B119,[1]个股!BF$9:BF$2788)</f>
        <v>#VALUE!</v>
      </c>
      <c r="L185" s="2" t="e">
        <f>AVERAGEIF([1]个股!$D$9:$D$2788,[1]行业!$B119,[1]个股!BG$9:BG$2788)</f>
        <v>#VALUE!</v>
      </c>
      <c r="M185" s="5" t="e">
        <f>SUMIF([1]个股!$D$9:$D$2788,B185,[1]个股!$M$9:$M$2788)</f>
        <v>#VALUE!</v>
      </c>
      <c r="N185" s="6" t="e">
        <f>SUMIF([1]个股!$D$9:$D$2788,B185,[1]个股!$N$9:$N$2788)</f>
        <v>#VALUE!</v>
      </c>
      <c r="O185" s="7" t="e">
        <f t="shared" si="24"/>
        <v>#VALUE!</v>
      </c>
      <c r="P185" t="e">
        <f t="shared" ca="1" si="25"/>
        <v>#NAME?</v>
      </c>
      <c r="Q185" t="str">
        <f t="shared" si="26"/>
        <v>行业4 电子设备和仪器</v>
      </c>
    </row>
    <row r="186" spans="1:27">
      <c r="A186" t="s">
        <v>134</v>
      </c>
      <c r="B186" s="15" t="s">
        <v>220</v>
      </c>
      <c r="C186" s="1" t="e">
        <f t="shared" si="20"/>
        <v>#VALUE!</v>
      </c>
      <c r="D186" s="2" t="e">
        <f t="shared" si="21"/>
        <v>#VALUE!</v>
      </c>
      <c r="E186" s="3" t="e">
        <f t="shared" si="22"/>
        <v>#VALUE!</v>
      </c>
      <c r="F186" s="3">
        <v>1</v>
      </c>
      <c r="G186" s="4" t="e">
        <f t="shared" si="23"/>
        <v>#VALUE!</v>
      </c>
      <c r="H186" s="2" t="e">
        <f>AVERAGEIF([1]个股!$D$9:$D$2788,[1]行业!$B133,[1]个股!BC$9:BC$2788)</f>
        <v>#VALUE!</v>
      </c>
      <c r="I186" s="2" t="e">
        <f>AVERAGEIF([1]个股!$D$9:$D$2788,[1]行业!$B133,[1]个股!BD$9:BD$2788)</f>
        <v>#VALUE!</v>
      </c>
      <c r="J186" s="2" t="e">
        <f>AVERAGEIF([1]个股!$D$9:$D$2788,[1]行业!$B133,[1]个股!BE$9:BE$2788)</f>
        <v>#VALUE!</v>
      </c>
      <c r="K186" s="2" t="e">
        <f>AVERAGEIF([1]个股!$D$9:$D$2788,[1]行业!$B133,[1]个股!BF$9:BF$2788)</f>
        <v>#VALUE!</v>
      </c>
      <c r="L186" s="2" t="e">
        <f>AVERAGEIF([1]个股!$D$9:$D$2788,[1]行业!$B133,[1]个股!BG$9:BG$2788)</f>
        <v>#VALUE!</v>
      </c>
      <c r="M186" s="5" t="e">
        <f>SUMIF([1]个股!$D$9:$D$2788,B186,[1]个股!$M$9:$M$2788)</f>
        <v>#VALUE!</v>
      </c>
      <c r="N186" s="6" t="e">
        <f>SUMIF([1]个股!$D$9:$D$2788,B186,[1]个股!$N$9:$N$2788)</f>
        <v>#VALUE!</v>
      </c>
      <c r="O186" s="7" t="e">
        <f t="shared" si="24"/>
        <v>#VALUE!</v>
      </c>
      <c r="P186" t="e">
        <f t="shared" ca="1" si="25"/>
        <v>#NAME?</v>
      </c>
      <c r="Q186" t="str">
        <f t="shared" si="26"/>
        <v>行业4 复合型公用事业</v>
      </c>
    </row>
    <row r="187" spans="1:27">
      <c r="A187" t="s">
        <v>134</v>
      </c>
      <c r="B187" s="15" t="s">
        <v>221</v>
      </c>
      <c r="C187" s="1" t="e">
        <f t="shared" si="20"/>
        <v>#VALUE!</v>
      </c>
      <c r="D187" s="2" t="e">
        <f t="shared" si="21"/>
        <v>#VALUE!</v>
      </c>
      <c r="E187" s="3" t="e">
        <f t="shared" si="22"/>
        <v>#VALUE!</v>
      </c>
      <c r="F187" s="3">
        <v>1</v>
      </c>
      <c r="G187" s="4" t="e">
        <f t="shared" si="23"/>
        <v>#VALUE!</v>
      </c>
      <c r="H187" s="2" t="e">
        <f>AVERAGEIF([1]个股!$D$9:$D$2788,[1]行业!$B216,[1]个股!BC$9:BC$2788)</f>
        <v>#VALUE!</v>
      </c>
      <c r="I187" s="2" t="e">
        <f>AVERAGEIF([1]个股!$D$9:$D$2788,[1]行业!$B216,[1]个股!BD$9:BD$2788)</f>
        <v>#VALUE!</v>
      </c>
      <c r="J187" s="2" t="e">
        <f>AVERAGEIF([1]个股!$D$9:$D$2788,[1]行业!$B216,[1]个股!BE$9:BE$2788)</f>
        <v>#VALUE!</v>
      </c>
      <c r="K187" s="2" t="e">
        <f>AVERAGEIF([1]个股!$D$9:$D$2788,[1]行业!$B216,[1]个股!BF$9:BF$2788)</f>
        <v>#VALUE!</v>
      </c>
      <c r="L187" s="2" t="e">
        <f>AVERAGEIF([1]个股!$D$9:$D$2788,[1]行业!$B216,[1]个股!BG$9:BG$2788)</f>
        <v>#VALUE!</v>
      </c>
      <c r="M187" s="5" t="e">
        <f>SUMIF([1]个股!$D$9:$D$2788,B187,[1]个股!$M$9:$M$2788)</f>
        <v>#VALUE!</v>
      </c>
      <c r="N187" s="6" t="e">
        <f>SUMIF([1]个股!$D$9:$D$2788,B187,[1]个股!$N$9:$N$2788)</f>
        <v>#VALUE!</v>
      </c>
      <c r="O187" s="7" t="e">
        <f t="shared" si="24"/>
        <v>#VALUE!</v>
      </c>
      <c r="P187" t="e">
        <f t="shared" ca="1" si="25"/>
        <v>#NAME?</v>
      </c>
      <c r="Q187" t="str">
        <f t="shared" si="26"/>
        <v>行业4 医疗保健设备</v>
      </c>
      <c r="R187" s="2"/>
      <c r="S187" s="2"/>
      <c r="T187" s="2"/>
      <c r="U187" s="2"/>
      <c r="Y187" s="5"/>
      <c r="Z187" s="6"/>
      <c r="AA187" s="2"/>
    </row>
    <row r="188" spans="1:27">
      <c r="A188" t="s">
        <v>134</v>
      </c>
      <c r="B188" s="15" t="s">
        <v>222</v>
      </c>
      <c r="C188" s="1" t="e">
        <f t="shared" si="20"/>
        <v>#VALUE!</v>
      </c>
      <c r="D188" s="2" t="e">
        <f t="shared" si="21"/>
        <v>#VALUE!</v>
      </c>
      <c r="E188" s="3" t="e">
        <f t="shared" si="22"/>
        <v>#VALUE!</v>
      </c>
      <c r="F188" s="3">
        <v>0.7</v>
      </c>
      <c r="G188" s="4" t="e">
        <f t="shared" si="23"/>
        <v>#VALUE!</v>
      </c>
      <c r="H188" s="2" t="e">
        <f>AVERAGEIF([1]个股!$D$9:$D$2788,[1]行业!$B128,[1]个股!BC$9:BC$2788)</f>
        <v>#VALUE!</v>
      </c>
      <c r="I188" s="2" t="e">
        <f>AVERAGEIF([1]个股!$D$9:$D$2788,[1]行业!$B128,[1]个股!BD$9:BD$2788)</f>
        <v>#VALUE!</v>
      </c>
      <c r="J188" s="2" t="e">
        <f>AVERAGEIF([1]个股!$D$9:$D$2788,[1]行业!$B128,[1]个股!BE$9:BE$2788)</f>
        <v>#VALUE!</v>
      </c>
      <c r="K188" s="2" t="e">
        <f>AVERAGEIF([1]个股!$D$9:$D$2788,[1]行业!$B128,[1]个股!BF$9:BF$2788)</f>
        <v>#VALUE!</v>
      </c>
      <c r="L188" s="2" t="e">
        <f>AVERAGEIF([1]个股!$D$9:$D$2788,[1]行业!$B128,[1]个股!BG$9:BG$2788)</f>
        <v>#VALUE!</v>
      </c>
      <c r="M188" s="5" t="e">
        <f>SUMIF([1]个股!$D$9:$D$2788,B188,[1]个股!$M$9:$M$2788)</f>
        <v>#VALUE!</v>
      </c>
      <c r="N188" s="6" t="e">
        <f>SUMIF([1]个股!$D$9:$D$2788,B188,[1]个股!$N$9:$N$2788)</f>
        <v>#VALUE!</v>
      </c>
      <c r="O188" s="7" t="e">
        <f t="shared" si="24"/>
        <v>#VALUE!</v>
      </c>
      <c r="P188" t="e">
        <f t="shared" ca="1" si="25"/>
        <v>#NAME?</v>
      </c>
      <c r="Q188" t="str">
        <f t="shared" si="26"/>
        <v>行业4 房地产经营公司</v>
      </c>
    </row>
    <row r="189" spans="1:27">
      <c r="A189" t="s">
        <v>134</v>
      </c>
      <c r="B189" s="15" t="s">
        <v>223</v>
      </c>
      <c r="C189" s="1" t="e">
        <f t="shared" si="20"/>
        <v>#VALUE!</v>
      </c>
      <c r="D189" s="2" t="e">
        <f t="shared" si="21"/>
        <v>#VALUE!</v>
      </c>
      <c r="E189" s="3" t="e">
        <f t="shared" si="22"/>
        <v>#VALUE!</v>
      </c>
      <c r="F189" s="3">
        <v>1</v>
      </c>
      <c r="G189" s="4" t="e">
        <f t="shared" si="23"/>
        <v>#VALUE!</v>
      </c>
      <c r="H189" s="2" t="e">
        <f>AVERAGEIF([1]个股!$D$9:$D$2788,[1]行业!$B105,[1]个股!BC$9:BC$2788)</f>
        <v>#VALUE!</v>
      </c>
      <c r="I189" s="2" t="e">
        <f>AVERAGEIF([1]个股!$D$9:$D$2788,[1]行业!$B105,[1]个股!BD$9:BD$2788)</f>
        <v>#VALUE!</v>
      </c>
      <c r="J189" s="2" t="e">
        <f>AVERAGEIF([1]个股!$D$9:$D$2788,[1]行业!$B105,[1]个股!BE$9:BE$2788)</f>
        <v>#VALUE!</v>
      </c>
      <c r="K189" s="2" t="e">
        <f>AVERAGEIF([1]个股!$D$9:$D$2788,[1]行业!$B105,[1]个股!BF$9:BF$2788)</f>
        <v>#VALUE!</v>
      </c>
      <c r="L189" s="2" t="e">
        <f>AVERAGEIF([1]个股!$D$9:$D$2788,[1]行业!$B105,[1]个股!BG$9:BG$2788)</f>
        <v>#VALUE!</v>
      </c>
      <c r="M189" s="5" t="e">
        <f>SUMIF([1]个股!$D$9:$D$2788,B189,[1]个股!$M$9:$M$2788)</f>
        <v>#VALUE!</v>
      </c>
      <c r="N189" s="6" t="e">
        <f>SUMIF([1]个股!$D$9:$D$2788,B189,[1]个股!$N$9:$N$2788)</f>
        <v>#VALUE!</v>
      </c>
      <c r="O189" s="7" t="e">
        <f t="shared" si="24"/>
        <v>#VALUE!</v>
      </c>
      <c r="P189" t="e">
        <f t="shared" ca="1" si="25"/>
        <v>#NAME?</v>
      </c>
      <c r="Q189" t="str">
        <f t="shared" si="26"/>
        <v>行业4 半导体产品</v>
      </c>
    </row>
    <row r="190" spans="1:27">
      <c r="A190" t="s">
        <v>134</v>
      </c>
      <c r="B190" s="15" t="s">
        <v>224</v>
      </c>
      <c r="C190" s="1" t="e">
        <f t="shared" si="20"/>
        <v>#VALUE!</v>
      </c>
      <c r="D190" s="2" t="e">
        <f t="shared" si="21"/>
        <v>#VALUE!</v>
      </c>
      <c r="E190" s="3" t="e">
        <f t="shared" si="22"/>
        <v>#VALUE!</v>
      </c>
      <c r="F190" s="3">
        <v>1</v>
      </c>
      <c r="G190" s="4" t="e">
        <f t="shared" si="23"/>
        <v>#VALUE!</v>
      </c>
      <c r="H190" s="2" t="e">
        <f>AVERAGEIF([1]个股!$D$9:$D$2788,[1]行业!$B150,[1]个股!BC$9:BC$2788)</f>
        <v>#VALUE!</v>
      </c>
      <c r="I190" s="2" t="e">
        <f>AVERAGEIF([1]个股!$D$9:$D$2788,[1]行业!$B150,[1]个股!BD$9:BD$2788)</f>
        <v>#VALUE!</v>
      </c>
      <c r="J190" s="2" t="e">
        <f>AVERAGEIF([1]个股!$D$9:$D$2788,[1]行业!$B150,[1]个股!BE$9:BE$2788)</f>
        <v>#VALUE!</v>
      </c>
      <c r="K190" s="2" t="e">
        <f>AVERAGEIF([1]个股!$D$9:$D$2788,[1]行业!$B150,[1]个股!BF$9:BF$2788)</f>
        <v>#VALUE!</v>
      </c>
      <c r="L190" s="2" t="e">
        <f>AVERAGEIF([1]个股!$D$9:$D$2788,[1]行业!$B150,[1]个股!BG$9:BG$2788)</f>
        <v>#VALUE!</v>
      </c>
      <c r="M190" s="5" t="e">
        <f>SUMIF([1]个股!$D$9:$D$2788,B190,[1]个股!$M$9:$M$2788)</f>
        <v>#VALUE!</v>
      </c>
      <c r="N190" s="6" t="e">
        <f>SUMIF([1]个股!$D$9:$D$2788,B190,[1]个股!$N$9:$N$2788)</f>
        <v>#VALUE!</v>
      </c>
      <c r="O190" s="7" t="e">
        <f t="shared" si="24"/>
        <v>#VALUE!</v>
      </c>
      <c r="P190" t="e">
        <f t="shared" ca="1" si="25"/>
        <v>#NAME?</v>
      </c>
      <c r="Q190" t="str">
        <f t="shared" si="26"/>
        <v>行业4 化纤</v>
      </c>
    </row>
    <row r="191" spans="1:27">
      <c r="A191" t="s">
        <v>134</v>
      </c>
      <c r="B191" s="15" t="s">
        <v>225</v>
      </c>
      <c r="C191" s="1" t="e">
        <f t="shared" si="20"/>
        <v>#VALUE!</v>
      </c>
      <c r="D191" s="2" t="e">
        <f t="shared" si="21"/>
        <v>#VALUE!</v>
      </c>
      <c r="E191" s="3" t="e">
        <f t="shared" si="22"/>
        <v>#VALUE!</v>
      </c>
      <c r="F191" s="3">
        <v>1</v>
      </c>
      <c r="G191" s="4" t="e">
        <f t="shared" si="23"/>
        <v>#VALUE!</v>
      </c>
      <c r="H191" s="2" t="e">
        <f>AVERAGEIF([1]个股!$D$9:$D$2788,[1]行业!$B121,[1]个股!BC$9:BC$2788)</f>
        <v>#VALUE!</v>
      </c>
      <c r="I191" s="2" t="e">
        <f>AVERAGEIF([1]个股!$D$9:$D$2788,[1]行业!$B121,[1]个股!BD$9:BD$2788)</f>
        <v>#VALUE!</v>
      </c>
      <c r="J191" s="2" t="e">
        <f>AVERAGEIF([1]个股!$D$9:$D$2788,[1]行业!$B121,[1]个股!BE$9:BE$2788)</f>
        <v>#VALUE!</v>
      </c>
      <c r="K191" s="2" t="e">
        <f>AVERAGEIF([1]个股!$D$9:$D$2788,[1]行业!$B121,[1]个股!BF$9:BF$2788)</f>
        <v>#VALUE!</v>
      </c>
      <c r="L191" s="2" t="e">
        <f>AVERAGEIF([1]个股!$D$9:$D$2788,[1]行业!$B121,[1]个股!BG$9:BG$2788)</f>
        <v>#VALUE!</v>
      </c>
      <c r="M191" s="5" t="e">
        <f>SUMIF([1]个股!$D$9:$D$2788,B191,[1]个股!$M$9:$M$2788)</f>
        <v>#VALUE!</v>
      </c>
      <c r="N191" s="6" t="e">
        <f>SUMIF([1]个股!$D$9:$D$2788,B191,[1]个股!$N$9:$N$2788)</f>
        <v>#VALUE!</v>
      </c>
      <c r="O191" s="7" t="e">
        <f t="shared" si="24"/>
        <v>#VALUE!</v>
      </c>
      <c r="P191" t="e">
        <f t="shared" ca="1" si="25"/>
        <v>#NAME?</v>
      </c>
      <c r="Q191" t="str">
        <f t="shared" si="26"/>
        <v>行业4 电子制造服务</v>
      </c>
    </row>
    <row r="192" spans="1:27">
      <c r="A192" t="s">
        <v>134</v>
      </c>
      <c r="B192" s="15" t="s">
        <v>226</v>
      </c>
      <c r="C192" s="1" t="e">
        <f t="shared" si="20"/>
        <v>#VALUE!</v>
      </c>
      <c r="D192" s="2" t="e">
        <f t="shared" si="21"/>
        <v>#VALUE!</v>
      </c>
      <c r="E192" s="3" t="e">
        <f t="shared" si="22"/>
        <v>#VALUE!</v>
      </c>
      <c r="F192" s="3">
        <v>1</v>
      </c>
      <c r="G192" s="4" t="e">
        <f t="shared" si="23"/>
        <v>#VALUE!</v>
      </c>
      <c r="H192" s="2" t="e">
        <f>AVERAGEIF([1]个股!$D$9:$D$2788,[1]行业!$B181,[1]个股!BC$9:BC$2788)</f>
        <v>#VALUE!</v>
      </c>
      <c r="I192" s="2" t="e">
        <f>AVERAGEIF([1]个股!$D$9:$D$2788,[1]行业!$B181,[1]个股!BD$9:BD$2788)</f>
        <v>#VALUE!</v>
      </c>
      <c r="J192" s="2" t="e">
        <f>AVERAGEIF([1]个股!$D$9:$D$2788,[1]行业!$B181,[1]个股!BE$9:BE$2788)</f>
        <v>#VALUE!</v>
      </c>
      <c r="K192" s="2" t="e">
        <f>AVERAGEIF([1]个股!$D$9:$D$2788,[1]行业!$B181,[1]个股!BF$9:BF$2788)</f>
        <v>#VALUE!</v>
      </c>
      <c r="L192" s="2" t="e">
        <f>AVERAGEIF([1]个股!$D$9:$D$2788,[1]行业!$B181,[1]个股!BG$9:BG$2788)</f>
        <v>#VALUE!</v>
      </c>
      <c r="M192" s="5" t="e">
        <f>SUMIF([1]个股!$D$9:$D$2788,B192,[1]个股!$M$9:$M$2788)</f>
        <v>#VALUE!</v>
      </c>
      <c r="N192" s="6" t="e">
        <f>SUMIF([1]个股!$D$9:$D$2788,B192,[1]个股!$N$9:$N$2788)</f>
        <v>#VALUE!</v>
      </c>
      <c r="O192" s="7" t="e">
        <f t="shared" si="24"/>
        <v>#VALUE!</v>
      </c>
      <c r="P192" t="e">
        <f t="shared" ca="1" si="25"/>
        <v>#NAME?</v>
      </c>
      <c r="Q192" t="str">
        <f t="shared" si="26"/>
        <v>行业4 汽车零售</v>
      </c>
      <c r="R192" s="2"/>
      <c r="S192" s="2"/>
      <c r="T192" s="2"/>
      <c r="U192" s="2"/>
      <c r="Y192" s="5"/>
      <c r="Z192" s="6"/>
      <c r="AA192" s="2"/>
    </row>
    <row r="193" spans="1:27">
      <c r="A193" t="s">
        <v>134</v>
      </c>
      <c r="B193" s="15" t="s">
        <v>227</v>
      </c>
      <c r="C193" s="1" t="e">
        <f t="shared" si="20"/>
        <v>#VALUE!</v>
      </c>
      <c r="D193" s="2" t="e">
        <f t="shared" si="21"/>
        <v>#VALUE!</v>
      </c>
      <c r="E193" s="3" t="e">
        <f t="shared" si="22"/>
        <v>#VALUE!</v>
      </c>
      <c r="F193" s="3">
        <v>1</v>
      </c>
      <c r="G193" s="4" t="e">
        <f t="shared" si="23"/>
        <v>#VALUE!</v>
      </c>
      <c r="H193" s="2" t="e">
        <f>AVERAGEIF([1]个股!$D$9:$D$2788,[1]行业!$B123,[1]个股!BC$9:BC$2788)</f>
        <v>#VALUE!</v>
      </c>
      <c r="I193" s="2" t="e">
        <f>AVERAGEIF([1]个股!$D$9:$D$2788,[1]行业!$B123,[1]个股!BD$9:BD$2788)</f>
        <v>#VALUE!</v>
      </c>
      <c r="J193" s="2" t="e">
        <f>AVERAGEIF([1]个股!$D$9:$D$2788,[1]行业!$B123,[1]个股!BE$9:BE$2788)</f>
        <v>#VALUE!</v>
      </c>
      <c r="K193" s="2" t="e">
        <f>AVERAGEIF([1]个股!$D$9:$D$2788,[1]行业!$B123,[1]个股!BF$9:BF$2788)</f>
        <v>#VALUE!</v>
      </c>
      <c r="L193" s="2" t="e">
        <f>AVERAGEIF([1]个股!$D$9:$D$2788,[1]行业!$B123,[1]个股!BG$9:BG$2788)</f>
        <v>#VALUE!</v>
      </c>
      <c r="M193" s="5" t="e">
        <f>SUMIF([1]个股!$D$9:$D$2788,B193,[1]个股!$M$9:$M$2788)</f>
        <v>#VALUE!</v>
      </c>
      <c r="N193" s="6" t="e">
        <f>SUMIF([1]个股!$D$9:$D$2788,B193,[1]个股!$N$9:$N$2788)</f>
        <v>#VALUE!</v>
      </c>
      <c r="O193" s="7" t="e">
        <f t="shared" si="24"/>
        <v>#VALUE!</v>
      </c>
      <c r="P193" t="e">
        <f t="shared" ca="1" si="25"/>
        <v>#NAME?</v>
      </c>
      <c r="Q193" t="str">
        <f t="shared" si="26"/>
        <v>行业4 多领域控股</v>
      </c>
    </row>
    <row r="194" spans="1:27">
      <c r="A194" t="s">
        <v>134</v>
      </c>
      <c r="B194" s="15" t="s">
        <v>228</v>
      </c>
      <c r="C194" s="1" t="e">
        <f t="shared" si="20"/>
        <v>#VALUE!</v>
      </c>
      <c r="D194" s="2" t="e">
        <f t="shared" si="21"/>
        <v>#VALUE!</v>
      </c>
      <c r="E194" s="3" t="e">
        <f t="shared" si="22"/>
        <v>#VALUE!</v>
      </c>
      <c r="F194" s="3">
        <v>1</v>
      </c>
      <c r="G194" s="4" t="e">
        <f t="shared" si="23"/>
        <v>#VALUE!</v>
      </c>
      <c r="H194" s="2" t="e">
        <f>AVERAGEIF([1]个股!$D$9:$D$2788,[1]行业!$B224,[1]个股!BC$9:BC$2788)</f>
        <v>#VALUE!</v>
      </c>
      <c r="I194" s="2" t="e">
        <f>AVERAGEIF([1]个股!$D$9:$D$2788,[1]行业!$B224,[1]个股!BD$9:BD$2788)</f>
        <v>#VALUE!</v>
      </c>
      <c r="J194" s="2" t="e">
        <f>AVERAGEIF([1]个股!$D$9:$D$2788,[1]行业!$B224,[1]个股!BE$9:BE$2788)</f>
        <v>#VALUE!</v>
      </c>
      <c r="K194" s="2" t="e">
        <f>AVERAGEIF([1]个股!$D$9:$D$2788,[1]行业!$B224,[1]个股!BF$9:BF$2788)</f>
        <v>#VALUE!</v>
      </c>
      <c r="L194" s="2" t="e">
        <f>AVERAGEIF([1]个股!$D$9:$D$2788,[1]行业!$B224,[1]个股!BG$9:BG$2788)</f>
        <v>#VALUE!</v>
      </c>
      <c r="M194" s="5" t="e">
        <f>SUMIF([1]个股!$D$9:$D$2788,B194,[1]个股!$M$9:$M$2788)</f>
        <v>#VALUE!</v>
      </c>
      <c r="N194" s="6" t="e">
        <f>SUMIF([1]个股!$D$9:$D$2788,B194,[1]个股!$N$9:$N$2788)</f>
        <v>#VALUE!</v>
      </c>
      <c r="O194" s="7" t="e">
        <f t="shared" si="24"/>
        <v>#VALUE!</v>
      </c>
      <c r="P194" t="e">
        <f t="shared" ca="1" si="25"/>
        <v>#NAME?</v>
      </c>
      <c r="Q194" t="str">
        <f t="shared" si="26"/>
        <v>行业4 住宅建筑</v>
      </c>
      <c r="R194" s="2"/>
      <c r="S194" s="2"/>
      <c r="T194" s="2"/>
      <c r="U194" s="2"/>
      <c r="Y194" s="5"/>
      <c r="Z194" s="6"/>
      <c r="AA194" s="2"/>
    </row>
    <row r="195" spans="1:27">
      <c r="A195" t="s">
        <v>134</v>
      </c>
      <c r="B195" s="15" t="s">
        <v>229</v>
      </c>
      <c r="C195" s="1" t="e">
        <f t="shared" si="20"/>
        <v>#VALUE!</v>
      </c>
      <c r="D195" s="2" t="e">
        <f t="shared" si="21"/>
        <v>#VALUE!</v>
      </c>
      <c r="E195" s="3" t="e">
        <f t="shared" si="22"/>
        <v>#VALUE!</v>
      </c>
      <c r="F195" s="3">
        <v>1</v>
      </c>
      <c r="G195" s="4" t="e">
        <f t="shared" si="23"/>
        <v>#VALUE!</v>
      </c>
      <c r="H195" s="2" t="e">
        <f>AVERAGEIF([1]个股!$D$9:$D$2788,[1]行业!$B161,[1]个股!BC$9:BC$2788)</f>
        <v>#VALUE!</v>
      </c>
      <c r="I195" s="2" t="e">
        <f>AVERAGEIF([1]个股!$D$9:$D$2788,[1]行业!$B161,[1]个股!BD$9:BD$2788)</f>
        <v>#VALUE!</v>
      </c>
      <c r="J195" s="2" t="e">
        <f>AVERAGEIF([1]个股!$D$9:$D$2788,[1]行业!$B161,[1]个股!BE$9:BE$2788)</f>
        <v>#VALUE!</v>
      </c>
      <c r="K195" s="2" t="e">
        <f>AVERAGEIF([1]个股!$D$9:$D$2788,[1]行业!$B161,[1]个股!BF$9:BF$2788)</f>
        <v>#VALUE!</v>
      </c>
      <c r="L195" s="2" t="e">
        <f>AVERAGEIF([1]个股!$D$9:$D$2788,[1]行业!$B161,[1]个股!BG$9:BG$2788)</f>
        <v>#VALUE!</v>
      </c>
      <c r="M195" s="5" t="e">
        <f>SUMIF([1]个股!$D$9:$D$2788,B195,[1]个股!$M$9:$M$2788)</f>
        <v>#VALUE!</v>
      </c>
      <c r="N195" s="6" t="e">
        <f>SUMIF([1]个股!$D$9:$D$2788,B195,[1]个股!$N$9:$N$2788)</f>
        <v>#VALUE!</v>
      </c>
      <c r="O195" s="7" t="e">
        <f t="shared" si="24"/>
        <v>#VALUE!</v>
      </c>
      <c r="P195" t="e">
        <f t="shared" ca="1" si="25"/>
        <v>#NAME?</v>
      </c>
      <c r="Q195" t="str">
        <f t="shared" si="26"/>
        <v>行业4 家用器具与特殊消费品</v>
      </c>
    </row>
    <row r="196" spans="1:27">
      <c r="A196" t="s">
        <v>134</v>
      </c>
      <c r="B196" s="15" t="s">
        <v>230</v>
      </c>
      <c r="C196" s="1" t="e">
        <f t="shared" ref="C196:C231" si="27">AVERAGEIF(A$4:A$231,A196,D$4:D$231)</f>
        <v>#VALUE!</v>
      </c>
      <c r="D196" s="2" t="e">
        <f t="shared" ref="D196:D231" si="28">K196*30%+ L196*70%</f>
        <v>#VALUE!</v>
      </c>
      <c r="E196" s="3" t="e">
        <f t="shared" ref="E196:E231" si="29">IF((D196+C196)/(2*C196)&gt;0,((D196+C196)/(2*C196))^0.5,50%)</f>
        <v>#VALUE!</v>
      </c>
      <c r="F196" s="3">
        <v>1</v>
      </c>
      <c r="G196" s="4" t="e">
        <f t="shared" ref="G196:G231" si="30">E196*F196</f>
        <v>#VALUE!</v>
      </c>
      <c r="H196" s="2" t="e">
        <f>AVERAGEIF([1]个股!$D$9:$D$2788,[1]行业!$B116,[1]个股!BC$9:BC$2788)</f>
        <v>#VALUE!</v>
      </c>
      <c r="I196" s="2" t="e">
        <f>AVERAGEIF([1]个股!$D$9:$D$2788,[1]行业!$B116,[1]个股!BD$9:BD$2788)</f>
        <v>#VALUE!</v>
      </c>
      <c r="J196" s="2" t="e">
        <f>AVERAGEIF([1]个股!$D$9:$D$2788,[1]行业!$B116,[1]个股!BE$9:BE$2788)</f>
        <v>#VALUE!</v>
      </c>
      <c r="K196" s="2" t="e">
        <f>AVERAGEIF([1]个股!$D$9:$D$2788,[1]行业!$B116,[1]个股!BF$9:BF$2788)</f>
        <v>#VALUE!</v>
      </c>
      <c r="L196" s="2" t="e">
        <f>AVERAGEIF([1]个股!$D$9:$D$2788,[1]行业!$B116,[1]个股!BG$9:BG$2788)</f>
        <v>#VALUE!</v>
      </c>
      <c r="M196" s="5" t="e">
        <f>SUMIF([1]个股!$D$9:$D$2788,B196,[1]个股!$M$9:$M$2788)</f>
        <v>#VALUE!</v>
      </c>
      <c r="N196" s="6" t="e">
        <f>SUMIF([1]个股!$D$9:$D$2788,B196,[1]个股!$N$9:$N$2788)</f>
        <v>#VALUE!</v>
      </c>
      <c r="O196" s="7" t="e">
        <f t="shared" ref="O196:O231" si="31">(M196-N196)/N196</f>
        <v>#VALUE!</v>
      </c>
      <c r="P196" t="e">
        <f t="shared" ca="1" si="25"/>
        <v>#NAME?</v>
      </c>
      <c r="Q196" t="str">
        <f t="shared" si="26"/>
        <v>行业4 电脑与电子产品零售</v>
      </c>
    </row>
    <row r="197" spans="1:27">
      <c r="A197" t="s">
        <v>134</v>
      </c>
      <c r="B197" s="15" t="s">
        <v>231</v>
      </c>
      <c r="C197" s="1" t="e">
        <f t="shared" si="27"/>
        <v>#VALUE!</v>
      </c>
      <c r="D197" s="2" t="e">
        <f t="shared" si="28"/>
        <v>#VALUE!</v>
      </c>
      <c r="E197" s="3" t="e">
        <f t="shared" si="29"/>
        <v>#VALUE!</v>
      </c>
      <c r="F197" s="3">
        <v>1</v>
      </c>
      <c r="G197" s="4" t="e">
        <f t="shared" si="30"/>
        <v>#VALUE!</v>
      </c>
      <c r="H197" s="2" t="e">
        <f>AVERAGEIF([1]个股!$D$9:$D$2788,[1]行业!$B178,[1]个股!BC$9:BC$2788)</f>
        <v>#VALUE!</v>
      </c>
      <c r="I197" s="2" t="e">
        <f>AVERAGEIF([1]个股!$D$9:$D$2788,[1]行业!$B178,[1]个股!BD$9:BD$2788)</f>
        <v>#VALUE!</v>
      </c>
      <c r="J197" s="2" t="e">
        <f>AVERAGEIF([1]个股!$D$9:$D$2788,[1]行业!$B178,[1]个股!BE$9:BE$2788)</f>
        <v>#VALUE!</v>
      </c>
      <c r="K197" s="2" t="e">
        <f>AVERAGEIF([1]个股!$D$9:$D$2788,[1]行业!$B178,[1]个股!BF$9:BF$2788)</f>
        <v>#VALUE!</v>
      </c>
      <c r="L197" s="2" t="e">
        <f>AVERAGEIF([1]个股!$D$9:$D$2788,[1]行业!$B178,[1]个股!BG$9:BG$2788)</f>
        <v>#VALUE!</v>
      </c>
      <c r="M197" s="5" t="e">
        <f>SUMIF([1]个股!$D$9:$D$2788,B197,[1]个股!$M$9:$M$2788)</f>
        <v>#VALUE!</v>
      </c>
      <c r="N197" s="6" t="e">
        <f>SUMIF([1]个股!$D$9:$D$2788,B197,[1]个股!$N$9:$N$2788)</f>
        <v>#VALUE!</v>
      </c>
      <c r="O197" s="7" t="e">
        <f t="shared" si="31"/>
        <v>#VALUE!</v>
      </c>
      <c r="P197" t="e">
        <f t="shared" ref="P197:P231" ca="1" si="32">LOWER(hztopy(B197))&amp;RIGHT(A197,1)</f>
        <v>#NAME?</v>
      </c>
      <c r="Q197" t="str">
        <f t="shared" si="26"/>
        <v>行业4 农用农业机械</v>
      </c>
      <c r="R197" s="2"/>
      <c r="S197" s="2"/>
      <c r="T197" s="2"/>
      <c r="U197" s="2"/>
      <c r="Y197" s="5"/>
      <c r="Z197" s="6"/>
      <c r="AA197" s="2"/>
    </row>
    <row r="198" spans="1:27">
      <c r="A198" t="s">
        <v>134</v>
      </c>
      <c r="B198" s="15" t="s">
        <v>232</v>
      </c>
      <c r="C198" s="1" t="e">
        <f t="shared" si="27"/>
        <v>#VALUE!</v>
      </c>
      <c r="D198" s="2" t="e">
        <f t="shared" si="28"/>
        <v>#VALUE!</v>
      </c>
      <c r="E198" s="3" t="e">
        <f t="shared" si="29"/>
        <v>#VALUE!</v>
      </c>
      <c r="F198" s="3">
        <v>1</v>
      </c>
      <c r="G198" s="4" t="e">
        <f t="shared" si="30"/>
        <v>#VALUE!</v>
      </c>
      <c r="H198" s="2" t="e">
        <f>AVERAGEIF([1]个股!$D$9:$D$2788,[1]行业!$B220,[1]个股!BC$9:BC$2788)</f>
        <v>#VALUE!</v>
      </c>
      <c r="I198" s="2" t="e">
        <f>AVERAGEIF([1]个股!$D$9:$D$2788,[1]行业!$B220,[1]个股!BD$9:BD$2788)</f>
        <v>#VALUE!</v>
      </c>
      <c r="J198" s="2" t="e">
        <f>AVERAGEIF([1]个股!$D$9:$D$2788,[1]行业!$B220,[1]个股!BE$9:BE$2788)</f>
        <v>#VALUE!</v>
      </c>
      <c r="K198" s="2" t="e">
        <f>AVERAGEIF([1]个股!$D$9:$D$2788,[1]行业!$B220,[1]个股!BF$9:BF$2788)</f>
        <v>#VALUE!</v>
      </c>
      <c r="L198" s="2" t="e">
        <f>AVERAGEIF([1]个股!$D$9:$D$2788,[1]行业!$B220,[1]个股!BG$9:BG$2788)</f>
        <v>#VALUE!</v>
      </c>
      <c r="M198" s="5" t="e">
        <f>SUMIF([1]个股!$D$9:$D$2788,B198,[1]个股!$M$9:$M$2788)</f>
        <v>#VALUE!</v>
      </c>
      <c r="N198" s="6" t="e">
        <f>SUMIF([1]个股!$D$9:$D$2788,B198,[1]个股!$N$9:$N$2788)</f>
        <v>#VALUE!</v>
      </c>
      <c r="O198" s="7" t="e">
        <f t="shared" si="31"/>
        <v>#VALUE!</v>
      </c>
      <c r="P198" t="e">
        <f t="shared" ca="1" si="32"/>
        <v>#NAME?</v>
      </c>
      <c r="Q198" t="str">
        <f t="shared" si="26"/>
        <v>行业4 纸包装</v>
      </c>
      <c r="R198" s="2"/>
      <c r="S198" s="2"/>
      <c r="T198" s="2"/>
      <c r="U198" s="2"/>
      <c r="Y198" s="5"/>
      <c r="Z198" s="6"/>
      <c r="AA198" s="2"/>
    </row>
    <row r="199" spans="1:27">
      <c r="A199" t="s">
        <v>134</v>
      </c>
      <c r="B199" s="15" t="s">
        <v>233</v>
      </c>
      <c r="C199" s="1" t="e">
        <f t="shared" si="27"/>
        <v>#VALUE!</v>
      </c>
      <c r="D199" s="2" t="e">
        <f t="shared" si="28"/>
        <v>#VALUE!</v>
      </c>
      <c r="E199" s="3" t="e">
        <f t="shared" si="29"/>
        <v>#VALUE!</v>
      </c>
      <c r="F199" s="3">
        <v>1</v>
      </c>
      <c r="G199" s="4" t="e">
        <f t="shared" si="30"/>
        <v>#VALUE!</v>
      </c>
      <c r="H199" s="2" t="e">
        <f>AVERAGEIF([1]个股!$D$9:$D$2788,[1]行业!$B215,[1]个股!BC$9:BC$2788)</f>
        <v>#VALUE!</v>
      </c>
      <c r="I199" s="2" t="e">
        <f>AVERAGEIF([1]个股!$D$9:$D$2788,[1]行业!$B215,[1]个股!BD$9:BD$2788)</f>
        <v>#VALUE!</v>
      </c>
      <c r="J199" s="2" t="e">
        <f>AVERAGEIF([1]个股!$D$9:$D$2788,[1]行业!$B215,[1]个股!BE$9:BE$2788)</f>
        <v>#VALUE!</v>
      </c>
      <c r="K199" s="2" t="e">
        <f>AVERAGEIF([1]个股!$D$9:$D$2788,[1]行业!$B215,[1]个股!BF$9:BF$2788)</f>
        <v>#VALUE!</v>
      </c>
      <c r="L199" s="2" t="e">
        <f>AVERAGEIF([1]个股!$D$9:$D$2788,[1]行业!$B215,[1]个股!BG$9:BG$2788)</f>
        <v>#VALUE!</v>
      </c>
      <c r="M199" s="5" t="e">
        <f>SUMIF([1]个股!$D$9:$D$2788,B199,[1]个股!$M$9:$M$2788)</f>
        <v>#VALUE!</v>
      </c>
      <c r="N199" s="6" t="e">
        <f>SUMIF([1]个股!$D$9:$D$2788,B199,[1]个股!$N$9:$N$2788)</f>
        <v>#VALUE!</v>
      </c>
      <c r="O199" s="7" t="e">
        <f t="shared" si="31"/>
        <v>#VALUE!</v>
      </c>
      <c r="P199" t="e">
        <f t="shared" ca="1" si="32"/>
        <v>#NAME?</v>
      </c>
      <c r="Q199" t="str">
        <f t="shared" si="26"/>
        <v>行业4 医疗保健技术</v>
      </c>
      <c r="R199" s="2"/>
      <c r="S199" s="2"/>
      <c r="T199" s="2"/>
      <c r="U199" s="2"/>
      <c r="Y199" s="5"/>
      <c r="Z199" s="6"/>
      <c r="AA199" s="2"/>
    </row>
    <row r="200" spans="1:27">
      <c r="A200" t="s">
        <v>134</v>
      </c>
      <c r="B200" s="15" t="s">
        <v>234</v>
      </c>
      <c r="C200" s="1" t="e">
        <f t="shared" si="27"/>
        <v>#VALUE!</v>
      </c>
      <c r="D200" s="2" t="e">
        <f t="shared" si="28"/>
        <v>#VALUE!</v>
      </c>
      <c r="E200" s="3" t="e">
        <f t="shared" si="29"/>
        <v>#VALUE!</v>
      </c>
      <c r="F200" s="3">
        <v>1</v>
      </c>
      <c r="G200" s="4" t="e">
        <f t="shared" si="30"/>
        <v>#VALUE!</v>
      </c>
      <c r="H200" s="2" t="e">
        <f>AVERAGEIF([1]个股!$D$9:$D$2788,[1]行业!$B229,[1]个股!BC$9:BC$2788)</f>
        <v>#VALUE!</v>
      </c>
      <c r="I200" s="2" t="e">
        <f>AVERAGEIF([1]个股!$D$9:$D$2788,[1]行业!$B229,[1]个股!BD$9:BD$2788)</f>
        <v>#VALUE!</v>
      </c>
      <c r="J200" s="2" t="e">
        <f>AVERAGEIF([1]个股!$D$9:$D$2788,[1]行业!$B229,[1]个股!BE$9:BE$2788)</f>
        <v>#VALUE!</v>
      </c>
      <c r="K200" s="2" t="e">
        <f>AVERAGEIF([1]个股!$D$9:$D$2788,[1]行业!$B229,[1]个股!BF$9:BF$2788)</f>
        <v>#VALUE!</v>
      </c>
      <c r="L200" s="2" t="e">
        <f>AVERAGEIF([1]个股!$D$9:$D$2788,[1]行业!$B229,[1]个股!BG$9:BG$2788)</f>
        <v>#VALUE!</v>
      </c>
      <c r="M200" s="5" t="e">
        <f>SUMIF([1]个股!$D$9:$D$2788,B200,[1]个股!$M$9:$M$2788)</f>
        <v>#VALUE!</v>
      </c>
      <c r="N200" s="6" t="e">
        <f>SUMIF([1]个股!$D$9:$D$2788,B200,[1]个股!$N$9:$N$2788)</f>
        <v>#VALUE!</v>
      </c>
      <c r="O200" s="7" t="e">
        <f t="shared" si="31"/>
        <v>#VALUE!</v>
      </c>
      <c r="P200" t="e">
        <f t="shared" ca="1" si="32"/>
        <v>#NAME?</v>
      </c>
      <c r="Q200" t="str">
        <f t="shared" si="26"/>
        <v>行业4 综合类行业</v>
      </c>
      <c r="R200" s="2"/>
      <c r="S200" s="2"/>
      <c r="T200" s="2"/>
      <c r="U200" s="2"/>
      <c r="Y200" s="5"/>
      <c r="Z200" s="6"/>
      <c r="AA200" s="2"/>
    </row>
    <row r="201" spans="1:27">
      <c r="A201" t="s">
        <v>134</v>
      </c>
      <c r="B201" s="15" t="s">
        <v>235</v>
      </c>
      <c r="C201" s="1" t="e">
        <f t="shared" si="27"/>
        <v>#VALUE!</v>
      </c>
      <c r="D201" s="2" t="e">
        <f t="shared" si="28"/>
        <v>#VALUE!</v>
      </c>
      <c r="E201" s="3" t="e">
        <f t="shared" si="29"/>
        <v>#VALUE!</v>
      </c>
      <c r="F201" s="3">
        <v>1</v>
      </c>
      <c r="G201" s="4" t="e">
        <f t="shared" si="30"/>
        <v>#VALUE!</v>
      </c>
      <c r="H201" s="2" t="e">
        <f>AVERAGEIF([1]个股!$D$9:$D$2788,[1]行业!$B166,[1]个股!BC$9:BC$2788)</f>
        <v>#VALUE!</v>
      </c>
      <c r="I201" s="2" t="e">
        <f>AVERAGEIF([1]个股!$D$9:$D$2788,[1]行业!$B166,[1]个股!BD$9:BD$2788)</f>
        <v>#VALUE!</v>
      </c>
      <c r="J201" s="2" t="e">
        <f>AVERAGEIF([1]个股!$D$9:$D$2788,[1]行业!$B166,[1]个股!BE$9:BE$2788)</f>
        <v>#VALUE!</v>
      </c>
      <c r="K201" s="2" t="e">
        <f>AVERAGEIF([1]个股!$D$9:$D$2788,[1]行业!$B166,[1]个股!BF$9:BF$2788)</f>
        <v>#VALUE!</v>
      </c>
      <c r="L201" s="2" t="e">
        <f>AVERAGEIF([1]个股!$D$9:$D$2788,[1]行业!$B166,[1]个股!BG$9:BG$2788)</f>
        <v>#VALUE!</v>
      </c>
      <c r="M201" s="5" t="e">
        <f>SUMIF([1]个股!$D$9:$D$2788,B201,[1]个股!$M$9:$M$2788)</f>
        <v>#VALUE!</v>
      </c>
      <c r="N201" s="6" t="e">
        <f>SUMIF([1]个股!$D$9:$D$2788,B201,[1]个股!$N$9:$N$2788)</f>
        <v>#VALUE!</v>
      </c>
      <c r="O201" s="7" t="e">
        <f t="shared" si="31"/>
        <v>#VALUE!</v>
      </c>
      <c r="P201" t="e">
        <f t="shared" ca="1" si="32"/>
        <v>#NAME?</v>
      </c>
      <c r="Q201" t="str">
        <f t="shared" si="26"/>
        <v>行业4 教育服务</v>
      </c>
      <c r="R201" s="2"/>
      <c r="S201" s="2"/>
      <c r="T201" s="2"/>
      <c r="U201" s="2"/>
      <c r="Y201" s="5"/>
      <c r="Z201" s="6"/>
      <c r="AA201" s="2"/>
    </row>
    <row r="202" spans="1:27">
      <c r="A202" t="s">
        <v>134</v>
      </c>
      <c r="B202" s="15" t="s">
        <v>236</v>
      </c>
      <c r="C202" s="1" t="e">
        <f t="shared" si="27"/>
        <v>#VALUE!</v>
      </c>
      <c r="D202" s="2" t="e">
        <f t="shared" si="28"/>
        <v>#VALUE!</v>
      </c>
      <c r="E202" s="3" t="e">
        <f t="shared" si="29"/>
        <v>#VALUE!</v>
      </c>
      <c r="F202" s="3">
        <v>1</v>
      </c>
      <c r="G202" s="4" t="e">
        <f t="shared" si="30"/>
        <v>#VALUE!</v>
      </c>
      <c r="H202" s="2" t="e">
        <f>AVERAGEIF([1]个股!$D$9:$D$2788,[1]行业!$B112,[1]个股!BC$9:BC$2788)</f>
        <v>#VALUE!</v>
      </c>
      <c r="I202" s="2" t="e">
        <f>AVERAGEIF([1]个股!$D$9:$D$2788,[1]行业!$B112,[1]个股!BD$9:BD$2788)</f>
        <v>#VALUE!</v>
      </c>
      <c r="J202" s="2" t="e">
        <f>AVERAGEIF([1]个股!$D$9:$D$2788,[1]行业!$B112,[1]个股!BE$9:BE$2788)</f>
        <v>#VALUE!</v>
      </c>
      <c r="K202" s="2" t="e">
        <f>AVERAGEIF([1]个股!$D$9:$D$2788,[1]行业!$B112,[1]个股!BF$9:BF$2788)</f>
        <v>#VALUE!</v>
      </c>
      <c r="L202" s="2" t="e">
        <f>AVERAGEIF([1]个股!$D$9:$D$2788,[1]行业!$B112,[1]个股!BG$9:BG$2788)</f>
        <v>#VALUE!</v>
      </c>
      <c r="M202" s="5" t="e">
        <f>SUMIF([1]个股!$D$9:$D$2788,B202,[1]个股!$M$9:$M$2788)</f>
        <v>#VALUE!</v>
      </c>
      <c r="N202" s="6" t="e">
        <f>SUMIF([1]个股!$D$9:$D$2788,B202,[1]个股!$N$9:$N$2788)</f>
        <v>#VALUE!</v>
      </c>
      <c r="O202" s="7" t="e">
        <f t="shared" si="31"/>
        <v>#VALUE!</v>
      </c>
      <c r="P202" t="e">
        <f t="shared" ca="1" si="32"/>
        <v>#NAME?</v>
      </c>
      <c r="Q202" t="str">
        <f t="shared" si="26"/>
        <v>行业4 大卖场与超市</v>
      </c>
    </row>
    <row r="203" spans="1:27">
      <c r="A203" t="s">
        <v>134</v>
      </c>
      <c r="B203" s="15" t="s">
        <v>237</v>
      </c>
      <c r="C203" s="1" t="e">
        <f t="shared" si="27"/>
        <v>#VALUE!</v>
      </c>
      <c r="D203" s="2" t="e">
        <f t="shared" si="28"/>
        <v>#VALUE!</v>
      </c>
      <c r="E203" s="3" t="e">
        <f t="shared" si="29"/>
        <v>#VALUE!</v>
      </c>
      <c r="F203" s="3">
        <v>1</v>
      </c>
      <c r="G203" s="4" t="e">
        <f t="shared" si="30"/>
        <v>#VALUE!</v>
      </c>
      <c r="H203" s="2" t="e">
        <f>AVERAGEIF([1]个股!$D$9:$D$2788,[1]行业!$B208,[1]个股!BC$9:BC$2788)</f>
        <v>#VALUE!</v>
      </c>
      <c r="I203" s="2" t="e">
        <f>AVERAGEIF([1]个股!$D$9:$D$2788,[1]行业!$B208,[1]个股!BD$9:BD$2788)</f>
        <v>#VALUE!</v>
      </c>
      <c r="J203" s="2" t="e">
        <f>AVERAGEIF([1]个股!$D$9:$D$2788,[1]行业!$B208,[1]个股!BE$9:BE$2788)</f>
        <v>#VALUE!</v>
      </c>
      <c r="K203" s="2" t="e">
        <f>AVERAGEIF([1]个股!$D$9:$D$2788,[1]行业!$B208,[1]个股!BF$9:BF$2788)</f>
        <v>#VALUE!</v>
      </c>
      <c r="L203" s="2" t="e">
        <f>AVERAGEIF([1]个股!$D$9:$D$2788,[1]行业!$B208,[1]个股!BG$9:BG$2788)</f>
        <v>#VALUE!</v>
      </c>
      <c r="M203" s="5" t="e">
        <f>SUMIF([1]个股!$D$9:$D$2788,B203,[1]个股!$M$9:$M$2788)</f>
        <v>#VALUE!</v>
      </c>
      <c r="N203" s="6" t="e">
        <f>SUMIF([1]个股!$D$9:$D$2788,B203,[1]个股!$N$9:$N$2788)</f>
        <v>#VALUE!</v>
      </c>
      <c r="O203" s="7" t="e">
        <f t="shared" si="31"/>
        <v>#VALUE!</v>
      </c>
      <c r="P203" t="e">
        <f t="shared" ca="1" si="32"/>
        <v>#NAME?</v>
      </c>
      <c r="Q203" t="str">
        <f t="shared" si="26"/>
        <v>行业4 消费品经销商</v>
      </c>
      <c r="R203" s="2"/>
      <c r="S203" s="2"/>
      <c r="T203" s="2"/>
      <c r="U203" s="2"/>
      <c r="Y203" s="5"/>
      <c r="Z203" s="6"/>
      <c r="AA203" s="2"/>
    </row>
    <row r="204" spans="1:27">
      <c r="A204" t="s">
        <v>134</v>
      </c>
      <c r="B204" s="15" t="s">
        <v>238</v>
      </c>
      <c r="C204" s="1" t="e">
        <f t="shared" si="27"/>
        <v>#VALUE!</v>
      </c>
      <c r="D204" s="2" t="e">
        <f t="shared" si="28"/>
        <v>#VALUE!</v>
      </c>
      <c r="E204" s="3" t="e">
        <f t="shared" si="29"/>
        <v>#VALUE!</v>
      </c>
      <c r="F204" s="3">
        <v>1</v>
      </c>
      <c r="G204" s="4" t="e">
        <f t="shared" si="30"/>
        <v>#VALUE!</v>
      </c>
      <c r="H204" s="2" t="e">
        <f>AVERAGEIF([1]个股!$D$9:$D$2788,[1]行业!$B231,[1]个股!BC$9:BC$2788)</f>
        <v>#VALUE!</v>
      </c>
      <c r="I204" s="2" t="e">
        <f>AVERAGEIF([1]个股!$D$9:$D$2788,[1]行业!$B231,[1]个股!BD$9:BD$2788)</f>
        <v>#VALUE!</v>
      </c>
      <c r="J204" s="2" t="e">
        <f>AVERAGEIF([1]个股!$D$9:$D$2788,[1]行业!$B231,[1]个股!BE$9:BE$2788)</f>
        <v>#VALUE!</v>
      </c>
      <c r="K204" s="2" t="e">
        <f>AVERAGEIF([1]个股!$D$9:$D$2788,[1]行业!$B231,[1]个股!BF$9:BF$2788)</f>
        <v>#VALUE!</v>
      </c>
      <c r="L204" s="2" t="e">
        <f>AVERAGEIF([1]个股!$D$9:$D$2788,[1]行业!$B231,[1]个股!BG$9:BG$2788)</f>
        <v>#VALUE!</v>
      </c>
      <c r="M204" s="5" t="e">
        <f>SUMIF([1]个股!$D$9:$D$2788,B204,[1]个股!$M$9:$M$2788)</f>
        <v>#VALUE!</v>
      </c>
      <c r="N204" s="6" t="e">
        <f>SUMIF([1]个股!$D$9:$D$2788,B204,[1]个股!$N$9:$N$2788)</f>
        <v>#VALUE!</v>
      </c>
      <c r="O204" s="7" t="e">
        <f t="shared" si="31"/>
        <v>#VALUE!</v>
      </c>
      <c r="P204" t="e">
        <f t="shared" ca="1" si="32"/>
        <v>#NAME?</v>
      </c>
      <c r="Q204" t="str">
        <f t="shared" si="26"/>
        <v>行业4 综合支持服务</v>
      </c>
      <c r="R204" s="2"/>
      <c r="S204" s="2"/>
      <c r="T204" s="2"/>
      <c r="U204" s="2"/>
      <c r="Y204" s="5"/>
      <c r="Z204" s="6"/>
      <c r="AA204" s="2"/>
    </row>
    <row r="205" spans="1:27">
      <c r="A205" t="s">
        <v>134</v>
      </c>
      <c r="B205" s="15" t="s">
        <v>239</v>
      </c>
      <c r="C205" s="1" t="e">
        <f t="shared" si="27"/>
        <v>#VALUE!</v>
      </c>
      <c r="D205" s="2" t="e">
        <f t="shared" si="28"/>
        <v>#VALUE!</v>
      </c>
      <c r="E205" s="3" t="e">
        <f t="shared" si="29"/>
        <v>#VALUE!</v>
      </c>
      <c r="F205" s="3">
        <v>1</v>
      </c>
      <c r="G205" s="4" t="e">
        <f t="shared" si="30"/>
        <v>#VALUE!</v>
      </c>
      <c r="H205" s="2" t="e">
        <f>AVERAGEIF([1]个股!$D$9:$D$2788,[1]行业!$B213,[1]个股!BC$9:BC$2788)</f>
        <v>#VALUE!</v>
      </c>
      <c r="I205" s="2" t="e">
        <f>AVERAGEIF([1]个股!$D$9:$D$2788,[1]行业!$B213,[1]个股!BD$9:BD$2788)</f>
        <v>#VALUE!</v>
      </c>
      <c r="J205" s="2" t="e">
        <f>AVERAGEIF([1]个股!$D$9:$D$2788,[1]行业!$B213,[1]个股!BE$9:BE$2788)</f>
        <v>#VALUE!</v>
      </c>
      <c r="K205" s="2" t="e">
        <f>AVERAGEIF([1]个股!$D$9:$D$2788,[1]行业!$B213,[1]个股!BF$9:BF$2788)</f>
        <v>#VALUE!</v>
      </c>
      <c r="L205" s="2" t="e">
        <f>AVERAGEIF([1]个股!$D$9:$D$2788,[1]行业!$B213,[1]个股!BG$9:BG$2788)</f>
        <v>#VALUE!</v>
      </c>
      <c r="M205" s="5" t="e">
        <f>SUMIF([1]个股!$D$9:$D$2788,B205,[1]个股!$M$9:$M$2788)</f>
        <v>#VALUE!</v>
      </c>
      <c r="N205" s="6" t="e">
        <f>SUMIF([1]个股!$D$9:$D$2788,B205,[1]个股!$N$9:$N$2788)</f>
        <v>#VALUE!</v>
      </c>
      <c r="O205" s="7" t="e">
        <f t="shared" si="31"/>
        <v>#VALUE!</v>
      </c>
      <c r="P205" t="e">
        <f t="shared" ca="1" si="32"/>
        <v>#NAME?</v>
      </c>
      <c r="Q205" t="str">
        <f t="shared" si="26"/>
        <v>行业4 休闲用品</v>
      </c>
      <c r="R205" s="2"/>
      <c r="S205" s="2"/>
      <c r="T205" s="2"/>
      <c r="U205" s="2"/>
      <c r="Y205" s="5"/>
      <c r="Z205" s="6"/>
      <c r="AA205" s="2"/>
    </row>
    <row r="206" spans="1:27">
      <c r="A206" t="s">
        <v>134</v>
      </c>
      <c r="B206" s="15" t="s">
        <v>240</v>
      </c>
      <c r="C206" s="1" t="e">
        <f t="shared" si="27"/>
        <v>#VALUE!</v>
      </c>
      <c r="D206" s="2" t="e">
        <f t="shared" si="28"/>
        <v>#VALUE!</v>
      </c>
      <c r="E206" s="3" t="e">
        <f t="shared" si="29"/>
        <v>#VALUE!</v>
      </c>
      <c r="F206" s="3">
        <v>1</v>
      </c>
      <c r="G206" s="4" t="e">
        <f t="shared" si="30"/>
        <v>#VALUE!</v>
      </c>
      <c r="H206" s="2" t="e">
        <f>AVERAGEIF([1]个股!$D$9:$D$2788,[1]行业!$B170,[1]个股!BC$9:BC$2788)</f>
        <v>#VALUE!</v>
      </c>
      <c r="I206" s="2" t="e">
        <f>AVERAGEIF([1]个股!$D$9:$D$2788,[1]行业!$B170,[1]个股!BD$9:BD$2788)</f>
        <v>#VALUE!</v>
      </c>
      <c r="J206" s="2" t="e">
        <f>AVERAGEIF([1]个股!$D$9:$D$2788,[1]行业!$B170,[1]个股!BE$9:BE$2788)</f>
        <v>#VALUE!</v>
      </c>
      <c r="K206" s="2" t="e">
        <f>AVERAGEIF([1]个股!$D$9:$D$2788,[1]行业!$B170,[1]个股!BF$9:BF$2788)</f>
        <v>#VALUE!</v>
      </c>
      <c r="L206" s="2" t="e">
        <f>AVERAGEIF([1]个股!$D$9:$D$2788,[1]行业!$B170,[1]个股!BG$9:BG$2788)</f>
        <v>#VALUE!</v>
      </c>
      <c r="M206" s="5" t="e">
        <f>SUMIF([1]个股!$D$9:$D$2788,B206,[1]个股!$M$9:$M$2788)</f>
        <v>#VALUE!</v>
      </c>
      <c r="N206" s="6" t="e">
        <f>SUMIF([1]个股!$D$9:$D$2788,B206,[1]个股!$N$9:$N$2788)</f>
        <v>#VALUE!</v>
      </c>
      <c r="O206" s="7" t="e">
        <f t="shared" si="31"/>
        <v>#VALUE!</v>
      </c>
      <c r="P206" t="e">
        <f t="shared" ca="1" si="32"/>
        <v>#NAME?</v>
      </c>
      <c r="Q206" t="str">
        <f t="shared" si="26"/>
        <v>行业4 林木产品</v>
      </c>
      <c r="R206" s="2"/>
      <c r="S206" s="2"/>
      <c r="T206" s="2"/>
      <c r="U206" s="2"/>
      <c r="Y206" s="5"/>
      <c r="Z206" s="6"/>
      <c r="AA206" s="2"/>
    </row>
    <row r="207" spans="1:27">
      <c r="A207" t="s">
        <v>134</v>
      </c>
      <c r="B207" s="15" t="s">
        <v>241</v>
      </c>
      <c r="C207" s="1" t="e">
        <f t="shared" si="27"/>
        <v>#VALUE!</v>
      </c>
      <c r="D207" s="2" t="e">
        <f t="shared" si="28"/>
        <v>#VALUE!</v>
      </c>
      <c r="E207" s="3" t="e">
        <f t="shared" si="29"/>
        <v>#VALUE!</v>
      </c>
      <c r="F207" s="3">
        <v>1</v>
      </c>
      <c r="G207" s="4" t="e">
        <f t="shared" si="30"/>
        <v>#VALUE!</v>
      </c>
      <c r="H207" s="2" t="e">
        <f>AVERAGEIF([1]个股!$D$9:$D$2788,[1]行业!$B115,[1]个股!BC$9:BC$2788)</f>
        <v>#VALUE!</v>
      </c>
      <c r="I207" s="2" t="e">
        <f>AVERAGEIF([1]个股!$D$9:$D$2788,[1]行业!$B115,[1]个股!BD$9:BD$2788)</f>
        <v>#VALUE!</v>
      </c>
      <c r="J207" s="2" t="e">
        <f>AVERAGEIF([1]个股!$D$9:$D$2788,[1]行业!$B115,[1]个股!BE$9:BE$2788)</f>
        <v>#VALUE!</v>
      </c>
      <c r="K207" s="2" t="e">
        <f>AVERAGEIF([1]个股!$D$9:$D$2788,[1]行业!$B115,[1]个股!BF$9:BF$2788)</f>
        <v>#VALUE!</v>
      </c>
      <c r="L207" s="2" t="e">
        <f>AVERAGEIF([1]个股!$D$9:$D$2788,[1]行业!$B115,[1]个股!BG$9:BG$2788)</f>
        <v>#VALUE!</v>
      </c>
      <c r="M207" s="5" t="e">
        <f>SUMIF([1]个股!$D$9:$D$2788,B207,[1]个股!$M$9:$M$2788)</f>
        <v>#VALUE!</v>
      </c>
      <c r="N207" s="6" t="e">
        <f>SUMIF([1]个股!$D$9:$D$2788,B207,[1]个股!$N$9:$N$2788)</f>
        <v>#VALUE!</v>
      </c>
      <c r="O207" s="7" t="e">
        <f t="shared" si="31"/>
        <v>#VALUE!</v>
      </c>
      <c r="P207" t="e">
        <f t="shared" ca="1" si="32"/>
        <v>#NAME?</v>
      </c>
      <c r="Q207" t="str">
        <f t="shared" si="26"/>
        <v>行业4 电脑硬件</v>
      </c>
    </row>
    <row r="208" spans="1:27">
      <c r="A208" t="s">
        <v>134</v>
      </c>
      <c r="B208" s="15" t="s">
        <v>242</v>
      </c>
      <c r="C208" s="1" t="e">
        <f t="shared" si="27"/>
        <v>#VALUE!</v>
      </c>
      <c r="D208" s="2" t="e">
        <f t="shared" si="28"/>
        <v>#VALUE!</v>
      </c>
      <c r="E208" s="3" t="e">
        <f t="shared" si="29"/>
        <v>#VALUE!</v>
      </c>
      <c r="F208" s="3">
        <v>1</v>
      </c>
      <c r="G208" s="4" t="e">
        <f t="shared" si="30"/>
        <v>#VALUE!</v>
      </c>
      <c r="H208" s="2" t="e">
        <f>AVERAGEIF([1]个股!$D$9:$D$2788,[1]行业!$B230,[1]个股!BC$9:BC$2788)</f>
        <v>#VALUE!</v>
      </c>
      <c r="I208" s="2" t="e">
        <f>AVERAGEIF([1]个股!$D$9:$D$2788,[1]行业!$B230,[1]个股!BD$9:BD$2788)</f>
        <v>#VALUE!</v>
      </c>
      <c r="J208" s="2" t="e">
        <f>AVERAGEIF([1]个股!$D$9:$D$2788,[1]行业!$B230,[1]个股!BE$9:BE$2788)</f>
        <v>#VALUE!</v>
      </c>
      <c r="K208" s="2" t="e">
        <f>AVERAGEIF([1]个股!$D$9:$D$2788,[1]行业!$B230,[1]个股!BF$9:BF$2788)</f>
        <v>#VALUE!</v>
      </c>
      <c r="L208" s="2" t="e">
        <f>AVERAGEIF([1]个股!$D$9:$D$2788,[1]行业!$B230,[1]个股!BG$9:BG$2788)</f>
        <v>#VALUE!</v>
      </c>
      <c r="M208" s="5" t="e">
        <f>SUMIF([1]个股!$D$9:$D$2788,B208,[1]个股!$M$9:$M$2788)</f>
        <v>#VALUE!</v>
      </c>
      <c r="N208" s="6" t="e">
        <f>SUMIF([1]个股!$D$9:$D$2788,B208,[1]个股!$N$9:$N$2788)</f>
        <v>#VALUE!</v>
      </c>
      <c r="O208" s="7" t="e">
        <f t="shared" si="31"/>
        <v>#VALUE!</v>
      </c>
      <c r="P208" t="e">
        <f t="shared" ca="1" si="32"/>
        <v>#NAME?</v>
      </c>
      <c r="Q208" t="str">
        <f t="shared" si="26"/>
        <v>行业4 综合性石油天然气</v>
      </c>
      <c r="R208" s="2"/>
      <c r="S208" s="2"/>
      <c r="T208" s="2"/>
      <c r="U208" s="2"/>
      <c r="Y208" s="5"/>
      <c r="Z208" s="6"/>
      <c r="AA208" s="2"/>
    </row>
    <row r="209" spans="1:27">
      <c r="A209" t="s">
        <v>134</v>
      </c>
      <c r="B209" s="15" t="s">
        <v>243</v>
      </c>
      <c r="C209" s="1" t="e">
        <f t="shared" si="27"/>
        <v>#VALUE!</v>
      </c>
      <c r="D209" s="2" t="e">
        <f t="shared" si="28"/>
        <v>#VALUE!</v>
      </c>
      <c r="E209" s="3" t="e">
        <f t="shared" si="29"/>
        <v>#VALUE!</v>
      </c>
      <c r="F209" s="3">
        <v>1</v>
      </c>
      <c r="G209" s="4" t="e">
        <f t="shared" si="30"/>
        <v>#VALUE!</v>
      </c>
      <c r="H209" s="2" t="e">
        <f>AVERAGEIF([1]个股!$D$9:$D$2788,[1]行业!$B152,[1]个股!BC$9:BC$2788)</f>
        <v>#VALUE!</v>
      </c>
      <c r="I209" s="2" t="e">
        <f>AVERAGEIF([1]个股!$D$9:$D$2788,[1]行业!$B152,[1]个股!BD$9:BD$2788)</f>
        <v>#VALUE!</v>
      </c>
      <c r="J209" s="2" t="e">
        <f>AVERAGEIF([1]个股!$D$9:$D$2788,[1]行业!$B152,[1]个股!BE$9:BE$2788)</f>
        <v>#VALUE!</v>
      </c>
      <c r="K209" s="2" t="e">
        <f>AVERAGEIF([1]个股!$D$9:$D$2788,[1]行业!$B152,[1]个股!BF$9:BF$2788)</f>
        <v>#VALUE!</v>
      </c>
      <c r="L209" s="2" t="e">
        <f>AVERAGEIF([1]个股!$D$9:$D$2788,[1]行业!$B152,[1]个股!BG$9:BG$2788)</f>
        <v>#VALUE!</v>
      </c>
      <c r="M209" s="5" t="e">
        <f>SUMIF([1]个股!$D$9:$D$2788,B209,[1]个股!$M$9:$M$2788)</f>
        <v>#VALUE!</v>
      </c>
      <c r="N209" s="6" t="e">
        <f>SUMIF([1]个股!$D$9:$D$2788,B209,[1]个股!$N$9:$N$2788)</f>
        <v>#VALUE!</v>
      </c>
      <c r="O209" s="7" t="e">
        <f t="shared" si="31"/>
        <v>#VALUE!</v>
      </c>
      <c r="P209" t="e">
        <f t="shared" ca="1" si="32"/>
        <v>#NAME?</v>
      </c>
      <c r="Q209" t="str">
        <f t="shared" si="26"/>
        <v>行业4 黄金</v>
      </c>
    </row>
    <row r="210" spans="1:27">
      <c r="A210" t="s">
        <v>134</v>
      </c>
      <c r="B210" s="15" t="s">
        <v>244</v>
      </c>
      <c r="C210" s="1" t="e">
        <f t="shared" si="27"/>
        <v>#VALUE!</v>
      </c>
      <c r="D210" s="2" t="e">
        <f t="shared" si="28"/>
        <v>#VALUE!</v>
      </c>
      <c r="E210" s="3" t="e">
        <f t="shared" si="29"/>
        <v>#VALUE!</v>
      </c>
      <c r="F210" s="3">
        <v>1</v>
      </c>
      <c r="G210" s="4" t="e">
        <f t="shared" si="30"/>
        <v>#VALUE!</v>
      </c>
      <c r="H210" s="2" t="e">
        <f>AVERAGEIF([1]个股!$D$9:$D$2788,[1]行业!$B179,[1]个股!BC$9:BC$2788)</f>
        <v>#VALUE!</v>
      </c>
      <c r="I210" s="2" t="e">
        <f>AVERAGEIF([1]个股!$D$9:$D$2788,[1]行业!$B179,[1]个股!BD$9:BD$2788)</f>
        <v>#VALUE!</v>
      </c>
      <c r="J210" s="2" t="e">
        <f>AVERAGEIF([1]个股!$D$9:$D$2788,[1]行业!$B179,[1]个股!BE$9:BE$2788)</f>
        <v>#VALUE!</v>
      </c>
      <c r="K210" s="2" t="e">
        <f>AVERAGEIF([1]个股!$D$9:$D$2788,[1]行业!$B179,[1]个股!BF$9:BF$2788)</f>
        <v>#VALUE!</v>
      </c>
      <c r="L210" s="2" t="e">
        <f>AVERAGEIF([1]个股!$D$9:$D$2788,[1]行业!$B179,[1]个股!BG$9:BG$2788)</f>
        <v>#VALUE!</v>
      </c>
      <c r="M210" s="5" t="e">
        <f>SUMIF([1]个股!$D$9:$D$2788,B210,[1]个股!$M$9:$M$2788)</f>
        <v>#VALUE!</v>
      </c>
      <c r="N210" s="6" t="e">
        <f>SUMIF([1]个股!$D$9:$D$2788,B210,[1]个股!$N$9:$N$2788)</f>
        <v>#VALUE!</v>
      </c>
      <c r="O210" s="7" t="e">
        <f t="shared" si="31"/>
        <v>#VALUE!</v>
      </c>
      <c r="P210" t="e">
        <f t="shared" ca="1" si="32"/>
        <v>#NAME?</v>
      </c>
      <c r="Q210" t="str">
        <f t="shared" si="26"/>
        <v>行业4 啤酒</v>
      </c>
      <c r="R210" s="2"/>
      <c r="S210" s="2"/>
      <c r="T210" s="2"/>
      <c r="U210" s="2"/>
      <c r="Y210" s="5"/>
      <c r="Z210" s="6"/>
      <c r="AA210" s="2"/>
    </row>
    <row r="211" spans="1:27">
      <c r="A211" t="s">
        <v>134</v>
      </c>
      <c r="B211" s="15" t="s">
        <v>245</v>
      </c>
      <c r="C211" s="1" t="e">
        <f t="shared" si="27"/>
        <v>#VALUE!</v>
      </c>
      <c r="D211" s="2" t="e">
        <f t="shared" si="28"/>
        <v>#VALUE!</v>
      </c>
      <c r="E211" s="3" t="e">
        <f t="shared" si="29"/>
        <v>#VALUE!</v>
      </c>
      <c r="F211" s="3">
        <v>1</v>
      </c>
      <c r="G211" s="4" t="e">
        <f t="shared" si="30"/>
        <v>#VALUE!</v>
      </c>
      <c r="H211" s="2" t="e">
        <f>AVERAGEIF([1]个股!$D$9:$D$2788,[1]行业!$B140,[1]个股!BC$9:BC$2788)</f>
        <v>#VALUE!</v>
      </c>
      <c r="I211" s="2" t="e">
        <f>AVERAGEIF([1]个股!$D$9:$D$2788,[1]行业!$B140,[1]个股!BD$9:BD$2788)</f>
        <v>#VALUE!</v>
      </c>
      <c r="J211" s="2" t="e">
        <f>AVERAGEIF([1]个股!$D$9:$D$2788,[1]行业!$B140,[1]个股!BE$9:BE$2788)</f>
        <v>#VALUE!</v>
      </c>
      <c r="K211" s="2" t="e">
        <f>AVERAGEIF([1]个股!$D$9:$D$2788,[1]行业!$B140,[1]个股!BF$9:BF$2788)</f>
        <v>#VALUE!</v>
      </c>
      <c r="L211" s="2" t="e">
        <f>AVERAGEIF([1]个股!$D$9:$D$2788,[1]行业!$B140,[1]个股!BG$9:BG$2788)</f>
        <v>#VALUE!</v>
      </c>
      <c r="M211" s="5" t="e">
        <f>SUMIF([1]个股!$D$9:$D$2788,B211,[1]个股!$M$9:$M$2788)</f>
        <v>#VALUE!</v>
      </c>
      <c r="N211" s="6" t="e">
        <f>SUMIF([1]个股!$D$9:$D$2788,B211,[1]个股!$N$9:$N$2788)</f>
        <v>#VALUE!</v>
      </c>
      <c r="O211" s="7" t="e">
        <f t="shared" si="31"/>
        <v>#VALUE!</v>
      </c>
      <c r="P211" t="e">
        <f t="shared" ca="1" si="32"/>
        <v>#NAME?</v>
      </c>
      <c r="Q211" t="str">
        <f t="shared" si="26"/>
        <v>行业4 广告</v>
      </c>
    </row>
    <row r="212" spans="1:27">
      <c r="A212" t="s">
        <v>134</v>
      </c>
      <c r="B212" s="15" t="s">
        <v>246</v>
      </c>
      <c r="C212" s="1" t="e">
        <f t="shared" si="27"/>
        <v>#VALUE!</v>
      </c>
      <c r="D212" s="2" t="e">
        <f t="shared" si="28"/>
        <v>#VALUE!</v>
      </c>
      <c r="E212" s="3" t="e">
        <f t="shared" si="29"/>
        <v>#VALUE!</v>
      </c>
      <c r="F212" s="3">
        <v>1</v>
      </c>
      <c r="G212" s="4" t="e">
        <f t="shared" si="30"/>
        <v>#VALUE!</v>
      </c>
      <c r="H212" s="2" t="e">
        <f>AVERAGEIF([1]个股!$D$9:$D$2788,[1]行业!$B157,[1]个股!BC$9:BC$2788)</f>
        <v>#VALUE!</v>
      </c>
      <c r="I212" s="2" t="e">
        <f>AVERAGEIF([1]个股!$D$9:$D$2788,[1]行业!$B157,[1]个股!BD$9:BD$2788)</f>
        <v>#VALUE!</v>
      </c>
      <c r="J212" s="2" t="e">
        <f>AVERAGEIF([1]个股!$D$9:$D$2788,[1]行业!$B157,[1]个股!BE$9:BE$2788)</f>
        <v>#VALUE!</v>
      </c>
      <c r="K212" s="2" t="e">
        <f>AVERAGEIF([1]个股!$D$9:$D$2788,[1]行业!$B157,[1]个股!BF$9:BF$2788)</f>
        <v>#VALUE!</v>
      </c>
      <c r="L212" s="2" t="e">
        <f>AVERAGEIF([1]个股!$D$9:$D$2788,[1]行业!$B157,[1]个股!BG$9:BG$2788)</f>
        <v>#VALUE!</v>
      </c>
      <c r="M212" s="5" t="e">
        <f>SUMIF([1]个股!$D$9:$D$2788,B212,[1]个股!$M$9:$M$2788)</f>
        <v>#VALUE!</v>
      </c>
      <c r="N212" s="6" t="e">
        <f>SUMIF([1]个股!$D$9:$D$2788,B212,[1]个股!$N$9:$N$2788)</f>
        <v>#VALUE!</v>
      </c>
      <c r="O212" s="7" t="e">
        <f t="shared" si="31"/>
        <v>#VALUE!</v>
      </c>
      <c r="P212" t="e">
        <f t="shared" ca="1" si="32"/>
        <v>#NAME?</v>
      </c>
      <c r="Q212" t="str">
        <f t="shared" si="26"/>
        <v>行业4 家庭用品</v>
      </c>
    </row>
    <row r="213" spans="1:27">
      <c r="A213" t="s">
        <v>134</v>
      </c>
      <c r="B213" s="15" t="s">
        <v>247</v>
      </c>
      <c r="C213" s="1" t="e">
        <f t="shared" si="27"/>
        <v>#VALUE!</v>
      </c>
      <c r="D213" s="2" t="e">
        <f t="shared" si="28"/>
        <v>#VALUE!</v>
      </c>
      <c r="E213" s="3" t="e">
        <f t="shared" si="29"/>
        <v>#VALUE!</v>
      </c>
      <c r="F213" s="3">
        <v>1</v>
      </c>
      <c r="G213" s="4" t="e">
        <f t="shared" si="30"/>
        <v>#VALUE!</v>
      </c>
      <c r="H213" s="2" t="e">
        <f>AVERAGEIF([1]个股!$D$9:$D$2788,[1]行业!$B167,[1]个股!BC$9:BC$2788)</f>
        <v>#VALUE!</v>
      </c>
      <c r="I213" s="2" t="e">
        <f>AVERAGEIF([1]个股!$D$9:$D$2788,[1]行业!$B167,[1]个股!BD$9:BD$2788)</f>
        <v>#VALUE!</v>
      </c>
      <c r="J213" s="2" t="e">
        <f>AVERAGEIF([1]个股!$D$9:$D$2788,[1]行业!$B167,[1]个股!BE$9:BE$2788)</f>
        <v>#VALUE!</v>
      </c>
      <c r="K213" s="2" t="e">
        <f>AVERAGEIF([1]个股!$D$9:$D$2788,[1]行业!$B167,[1]个股!BF$9:BF$2788)</f>
        <v>#VALUE!</v>
      </c>
      <c r="L213" s="2" t="e">
        <f>AVERAGEIF([1]个股!$D$9:$D$2788,[1]行业!$B167,[1]个股!BG$9:BG$2788)</f>
        <v>#VALUE!</v>
      </c>
      <c r="M213" s="5" t="e">
        <f>SUMIF([1]个股!$D$9:$D$2788,B213,[1]个股!$M$9:$M$2788)</f>
        <v>#VALUE!</v>
      </c>
      <c r="N213" s="6" t="e">
        <f>SUMIF([1]个股!$D$9:$D$2788,B213,[1]个股!$N$9:$N$2788)</f>
        <v>#VALUE!</v>
      </c>
      <c r="O213" s="7" t="e">
        <f t="shared" si="31"/>
        <v>#VALUE!</v>
      </c>
      <c r="P213" t="e">
        <f t="shared" ca="1" si="32"/>
        <v>#NAME?</v>
      </c>
      <c r="Q213" t="str">
        <f t="shared" si="26"/>
        <v>行业4 金属非金属</v>
      </c>
      <c r="R213" s="2"/>
      <c r="S213" s="2"/>
      <c r="T213" s="2"/>
      <c r="U213" s="2"/>
      <c r="Y213" s="5"/>
      <c r="Z213" s="6"/>
      <c r="AA213" s="2"/>
    </row>
    <row r="214" spans="1:27">
      <c r="A214" t="s">
        <v>134</v>
      </c>
      <c r="B214" s="15" t="s">
        <v>248</v>
      </c>
      <c r="C214" s="1" t="e">
        <f t="shared" si="27"/>
        <v>#VALUE!</v>
      </c>
      <c r="D214" s="2" t="e">
        <f t="shared" si="28"/>
        <v>#VALUE!</v>
      </c>
      <c r="E214" s="3" t="e">
        <f t="shared" si="29"/>
        <v>#VALUE!</v>
      </c>
      <c r="F214" s="3">
        <v>1</v>
      </c>
      <c r="G214" s="4" t="e">
        <f t="shared" si="30"/>
        <v>#VALUE!</v>
      </c>
      <c r="H214" s="2" t="e">
        <f>AVERAGEIF([1]个股!$D$9:$D$2788,[1]行业!$B205,[1]个股!BC$9:BC$2788)</f>
        <v>#VALUE!</v>
      </c>
      <c r="I214" s="2" t="e">
        <f>AVERAGEIF([1]个股!$D$9:$D$2788,[1]行业!$B205,[1]个股!BD$9:BD$2788)</f>
        <v>#VALUE!</v>
      </c>
      <c r="J214" s="2" t="e">
        <f>AVERAGEIF([1]个股!$D$9:$D$2788,[1]行业!$B205,[1]个股!BE$9:BE$2788)</f>
        <v>#VALUE!</v>
      </c>
      <c r="K214" s="2" t="e">
        <f>AVERAGEIF([1]个股!$D$9:$D$2788,[1]行业!$B205,[1]个股!BF$9:BF$2788)</f>
        <v>#VALUE!</v>
      </c>
      <c r="L214" s="2" t="e">
        <f>AVERAGEIF([1]个股!$D$9:$D$2788,[1]行业!$B205,[1]个股!BG$9:BG$2788)</f>
        <v>#VALUE!</v>
      </c>
      <c r="M214" s="5" t="e">
        <f>SUMIF([1]个股!$D$9:$D$2788,B214,[1]个股!$M$9:$M$2788)</f>
        <v>#VALUE!</v>
      </c>
      <c r="N214" s="6" t="e">
        <f>SUMIF([1]个股!$D$9:$D$2788,B214,[1]个股!$N$9:$N$2788)</f>
        <v>#VALUE!</v>
      </c>
      <c r="O214" s="7" t="e">
        <f t="shared" si="31"/>
        <v>#VALUE!</v>
      </c>
      <c r="P214" t="e">
        <f t="shared" ca="1" si="32"/>
        <v>#NAME?</v>
      </c>
      <c r="Q214" t="str">
        <f t="shared" si="26"/>
        <v>行业4 无线电信业务</v>
      </c>
      <c r="R214" s="2"/>
      <c r="S214" s="2"/>
      <c r="T214" s="2"/>
      <c r="U214" s="2"/>
      <c r="Y214" s="5"/>
      <c r="Z214" s="6"/>
      <c r="AA214" s="2"/>
    </row>
    <row r="215" spans="1:27">
      <c r="A215" t="s">
        <v>148</v>
      </c>
      <c r="B215" s="15" t="s">
        <v>249</v>
      </c>
      <c r="C215" s="1" t="e">
        <f t="shared" si="27"/>
        <v>#VALUE!</v>
      </c>
      <c r="D215" s="2" t="e">
        <f t="shared" si="28"/>
        <v>#VALUE!</v>
      </c>
      <c r="E215" s="3" t="e">
        <f t="shared" si="29"/>
        <v>#VALUE!</v>
      </c>
      <c r="F215" s="3">
        <v>1</v>
      </c>
      <c r="G215" s="4" t="e">
        <f t="shared" si="30"/>
        <v>#VALUE!</v>
      </c>
      <c r="H215" s="2" t="e">
        <f>AVERAGEIF([1]个股!$D$9:$D$2788,[1]行业!$B102,[1]个股!BC$9:BC$2788)</f>
        <v>#VALUE!</v>
      </c>
      <c r="I215" s="2" t="e">
        <f>AVERAGEIF([1]个股!$D$9:$D$2788,[1]行业!$B102,[1]个股!BD$9:BD$2788)</f>
        <v>#VALUE!</v>
      </c>
      <c r="J215" s="2" t="e">
        <f>AVERAGEIF([1]个股!$D$9:$D$2788,[1]行业!$B102,[1]个股!BE$9:BE$2788)</f>
        <v>#VALUE!</v>
      </c>
      <c r="K215" s="2" t="e">
        <f>AVERAGEIF([1]个股!$D$9:$D$2788,[1]行业!$B102,[1]个股!BF$9:BF$2788)</f>
        <v>#VALUE!</v>
      </c>
      <c r="L215" s="2" t="e">
        <f>AVERAGEIF([1]个股!$D$9:$D$2788,[1]行业!$B102,[1]个股!BG$9:BG$2788)</f>
        <v>#VALUE!</v>
      </c>
      <c r="M215" s="5" t="e">
        <f>SUMIF([1]个股!$D$9:$D$2788,B215,[1]个股!$M$9:$M$2788)</f>
        <v>#VALUE!</v>
      </c>
      <c r="N215" s="6" t="e">
        <f>SUMIF([1]个股!$D$9:$D$2788,B215,[1]个股!$N$9:$N$2788)</f>
        <v>#VALUE!</v>
      </c>
      <c r="O215" s="7" t="e">
        <f t="shared" si="31"/>
        <v>#VALUE!</v>
      </c>
      <c r="P215" t="e">
        <f t="shared" ca="1" si="32"/>
        <v>#NAME?</v>
      </c>
      <c r="Q215" t="str">
        <f t="shared" ref="Q215:Q231" si="33">A215&amp;" "&amp;B215</f>
        <v>行业4 白银</v>
      </c>
    </row>
    <row r="216" spans="1:27">
      <c r="A216" t="s">
        <v>134</v>
      </c>
      <c r="B216" s="15" t="s">
        <v>250</v>
      </c>
      <c r="C216" s="1" t="e">
        <f t="shared" si="27"/>
        <v>#VALUE!</v>
      </c>
      <c r="D216" s="2" t="e">
        <f t="shared" si="28"/>
        <v>#VALUE!</v>
      </c>
      <c r="E216" s="3" t="e">
        <f t="shared" si="29"/>
        <v>#VALUE!</v>
      </c>
      <c r="F216" s="3">
        <v>1</v>
      </c>
      <c r="G216" s="4" t="e">
        <f t="shared" si="30"/>
        <v>#VALUE!</v>
      </c>
      <c r="H216" s="2" t="e">
        <f>AVERAGEIF([1]个股!$D$9:$D$2788,[1]行业!$B106,[1]个股!BC$9:BC$2788)</f>
        <v>#VALUE!</v>
      </c>
      <c r="I216" s="2" t="e">
        <f>AVERAGEIF([1]个股!$D$9:$D$2788,[1]行业!$B106,[1]个股!BD$9:BD$2788)</f>
        <v>#VALUE!</v>
      </c>
      <c r="J216" s="2" t="e">
        <f>AVERAGEIF([1]个股!$D$9:$D$2788,[1]行业!$B106,[1]个股!BE$9:BE$2788)</f>
        <v>#VALUE!</v>
      </c>
      <c r="K216" s="2" t="e">
        <f>AVERAGEIF([1]个股!$D$9:$D$2788,[1]行业!$B106,[1]个股!BF$9:BF$2788)</f>
        <v>#VALUE!</v>
      </c>
      <c r="L216" s="2" t="e">
        <f>AVERAGEIF([1]个股!$D$9:$D$2788,[1]行业!$B106,[1]个股!BG$9:BG$2788)</f>
        <v>#VALUE!</v>
      </c>
      <c r="M216" s="5" t="e">
        <f>SUMIF([1]个股!$D$9:$D$2788,B216,[1]个股!$M$9:$M$2788)</f>
        <v>#VALUE!</v>
      </c>
      <c r="N216" s="6" t="e">
        <f>SUMIF([1]个股!$D$9:$D$2788,B216,[1]个股!$N$9:$N$2788)</f>
        <v>#VALUE!</v>
      </c>
      <c r="O216" s="7" t="e">
        <f t="shared" si="31"/>
        <v>#VALUE!</v>
      </c>
      <c r="P216" t="e">
        <f t="shared" ca="1" si="32"/>
        <v>#NAME?</v>
      </c>
      <c r="Q216" t="str">
        <f t="shared" si="33"/>
        <v>行业4 半导体设备</v>
      </c>
    </row>
    <row r="217" spans="1:27">
      <c r="A217" t="s">
        <v>134</v>
      </c>
      <c r="B217" s="15" t="s">
        <v>251</v>
      </c>
      <c r="C217" s="1" t="e">
        <f t="shared" si="27"/>
        <v>#VALUE!</v>
      </c>
      <c r="D217" s="2" t="e">
        <f t="shared" si="28"/>
        <v>#VALUE!</v>
      </c>
      <c r="E217" s="3" t="e">
        <f t="shared" si="29"/>
        <v>#VALUE!</v>
      </c>
      <c r="F217" s="3">
        <v>1</v>
      </c>
      <c r="G217" s="4" t="e">
        <f t="shared" si="30"/>
        <v>#VALUE!</v>
      </c>
      <c r="H217" s="2" t="e">
        <f>AVERAGEIF([1]个股!$D$9:$D$2788,[1]行业!$B141,[1]个股!BC$9:BC$2788)</f>
        <v>#VALUE!</v>
      </c>
      <c r="I217" s="2" t="e">
        <f>AVERAGEIF([1]个股!$D$9:$D$2788,[1]行业!$B141,[1]个股!BD$9:BD$2788)</f>
        <v>#VALUE!</v>
      </c>
      <c r="J217" s="2" t="e">
        <f>AVERAGEIF([1]个股!$D$9:$D$2788,[1]行业!$B141,[1]个股!BE$9:BE$2788)</f>
        <v>#VALUE!</v>
      </c>
      <c r="K217" s="2" t="e">
        <f>AVERAGEIF([1]个股!$D$9:$D$2788,[1]行业!$B141,[1]个股!BF$9:BF$2788)</f>
        <v>#VALUE!</v>
      </c>
      <c r="L217" s="2" t="e">
        <f>AVERAGEIF([1]个股!$D$9:$D$2788,[1]行业!$B141,[1]个股!BG$9:BG$2788)</f>
        <v>#VALUE!</v>
      </c>
      <c r="M217" s="5" t="e">
        <f>SUMIF([1]个股!$D$9:$D$2788,B217,[1]个股!$M$9:$M$2788)</f>
        <v>#VALUE!</v>
      </c>
      <c r="N217" s="6" t="e">
        <f>SUMIF([1]个股!$D$9:$D$2788,B217,[1]个股!$N$9:$N$2788)</f>
        <v>#VALUE!</v>
      </c>
      <c r="O217" s="7" t="e">
        <f t="shared" si="31"/>
        <v>#VALUE!</v>
      </c>
      <c r="P217" t="e">
        <f t="shared" ca="1" si="32"/>
        <v>#NAME?</v>
      </c>
      <c r="Q217" t="str">
        <f t="shared" si="33"/>
        <v>行业4 贵金属与矿石</v>
      </c>
    </row>
    <row r="218" spans="1:27">
      <c r="A218" t="s">
        <v>134</v>
      </c>
      <c r="B218" s="15" t="s">
        <v>252</v>
      </c>
      <c r="C218" s="1" t="e">
        <f t="shared" si="27"/>
        <v>#VALUE!</v>
      </c>
      <c r="D218" s="2" t="e">
        <f t="shared" si="28"/>
        <v>#VALUE!</v>
      </c>
      <c r="E218" s="3" t="e">
        <f t="shared" si="29"/>
        <v>#VALUE!</v>
      </c>
      <c r="F218" s="3">
        <v>1</v>
      </c>
      <c r="G218" s="4" t="e">
        <f t="shared" si="30"/>
        <v>#VALUE!</v>
      </c>
      <c r="H218" s="2" t="e">
        <f>AVERAGEIF([1]个股!$D$9:$D$2788,[1]行业!$B195,[1]个股!BC$9:BC$2788)</f>
        <v>#VALUE!</v>
      </c>
      <c r="I218" s="2" t="e">
        <f>AVERAGEIF([1]个股!$D$9:$D$2788,[1]行业!$B195,[1]个股!BD$9:BD$2788)</f>
        <v>#VALUE!</v>
      </c>
      <c r="J218" s="2" t="e">
        <f>AVERAGEIF([1]个股!$D$9:$D$2788,[1]行业!$B195,[1]个股!BE$9:BE$2788)</f>
        <v>#VALUE!</v>
      </c>
      <c r="K218" s="2" t="e">
        <f>AVERAGEIF([1]个股!$D$9:$D$2788,[1]行业!$B195,[1]个股!BF$9:BF$2788)</f>
        <v>#VALUE!</v>
      </c>
      <c r="L218" s="2" t="e">
        <f>AVERAGEIF([1]个股!$D$9:$D$2788,[1]行业!$B195,[1]个股!BG$9:BG$2788)</f>
        <v>#VALUE!</v>
      </c>
      <c r="M218" s="5" t="e">
        <f>SUMIF([1]个股!$D$9:$D$2788,B218,[1]个股!$M$9:$M$2788)</f>
        <v>#VALUE!</v>
      </c>
      <c r="N218" s="6" t="e">
        <f>SUMIF([1]个股!$D$9:$D$2788,B218,[1]个股!$N$9:$N$2788)</f>
        <v>#VALUE!</v>
      </c>
      <c r="O218" s="7" t="e">
        <f t="shared" si="31"/>
        <v>#VALUE!</v>
      </c>
      <c r="P218" t="e">
        <f t="shared" ca="1" si="32"/>
        <v>#NAME?</v>
      </c>
      <c r="Q218" t="str">
        <f t="shared" si="33"/>
        <v>行业4 食品分销商</v>
      </c>
      <c r="R218" s="2"/>
      <c r="S218" s="2"/>
      <c r="T218" s="2"/>
      <c r="U218" s="2"/>
      <c r="Y218" s="5"/>
      <c r="Z218" s="6"/>
      <c r="AA218" s="2"/>
    </row>
    <row r="219" spans="1:27">
      <c r="A219" t="s">
        <v>134</v>
      </c>
      <c r="B219" s="15" t="s">
        <v>253</v>
      </c>
      <c r="C219" s="1" t="e">
        <f t="shared" si="27"/>
        <v>#VALUE!</v>
      </c>
      <c r="D219" s="2" t="e">
        <f t="shared" si="28"/>
        <v>#VALUE!</v>
      </c>
      <c r="E219" s="3" t="e">
        <f t="shared" si="29"/>
        <v>#VALUE!</v>
      </c>
      <c r="F219" s="3">
        <v>1</v>
      </c>
      <c r="G219" s="4" t="e">
        <f t="shared" si="30"/>
        <v>#VALUE!</v>
      </c>
      <c r="H219" s="2" t="e">
        <f>AVERAGEIF([1]个股!$D$9:$D$2788,[1]行业!$B147,[1]个股!BC$9:BC$2788)</f>
        <v>#VALUE!</v>
      </c>
      <c r="I219" s="2" t="e">
        <f>AVERAGEIF([1]个股!$D$9:$D$2788,[1]行业!$B147,[1]个股!BD$9:BD$2788)</f>
        <v>#VALUE!</v>
      </c>
      <c r="J219" s="2" t="e">
        <f>AVERAGEIF([1]个股!$D$9:$D$2788,[1]行业!$B147,[1]个股!BE$9:BE$2788)</f>
        <v>#VALUE!</v>
      </c>
      <c r="K219" s="2" t="e">
        <f>AVERAGEIF([1]个股!$D$9:$D$2788,[1]行业!$B147,[1]个股!BF$9:BF$2788)</f>
        <v>#VALUE!</v>
      </c>
      <c r="L219" s="2" t="e">
        <f>AVERAGEIF([1]个股!$D$9:$D$2788,[1]行业!$B147,[1]个股!BG$9:BG$2788)</f>
        <v>#VALUE!</v>
      </c>
      <c r="M219" s="5" t="e">
        <f>SUMIF([1]个股!$D$9:$D$2788,B219,[1]个股!$M$9:$M$2788)</f>
        <v>#VALUE!</v>
      </c>
      <c r="N219" s="6" t="e">
        <f>SUMIF([1]个股!$D$9:$D$2788,B219,[1]个股!$N$9:$N$2788)</f>
        <v>#VALUE!</v>
      </c>
      <c r="O219" s="7" t="e">
        <f t="shared" si="31"/>
        <v>#VALUE!</v>
      </c>
      <c r="P219" t="e">
        <f t="shared" ca="1" si="32"/>
        <v>#NAME?</v>
      </c>
      <c r="Q219" t="str">
        <f t="shared" si="33"/>
        <v>行业4 互联网零售</v>
      </c>
    </row>
    <row r="220" spans="1:27">
      <c r="A220" t="s">
        <v>134</v>
      </c>
      <c r="B220" s="15" t="s">
        <v>254</v>
      </c>
      <c r="C220" s="1" t="e">
        <f t="shared" si="27"/>
        <v>#VALUE!</v>
      </c>
      <c r="D220" s="2" t="e">
        <f t="shared" si="28"/>
        <v>#VALUE!</v>
      </c>
      <c r="E220" s="3" t="e">
        <f t="shared" si="29"/>
        <v>#VALUE!</v>
      </c>
      <c r="F220" s="3">
        <v>1</v>
      </c>
      <c r="G220" s="4" t="e">
        <f t="shared" si="30"/>
        <v>#VALUE!</v>
      </c>
      <c r="H220" s="2" t="e">
        <f>AVERAGEIF([1]个股!$D$9:$D$2788,[1]行业!$B139,[1]个股!BC$9:BC$2788)</f>
        <v>#VALUE!</v>
      </c>
      <c r="I220" s="2" t="e">
        <f>AVERAGEIF([1]个股!$D$9:$D$2788,[1]行业!$B139,[1]个股!BD$9:BD$2788)</f>
        <v>#VALUE!</v>
      </c>
      <c r="J220" s="2" t="e">
        <f>AVERAGEIF([1]个股!$D$9:$D$2788,[1]行业!$B139,[1]个股!BE$9:BE$2788)</f>
        <v>#VALUE!</v>
      </c>
      <c r="K220" s="2" t="e">
        <f>AVERAGEIF([1]个股!$D$9:$D$2788,[1]行业!$B139,[1]个股!BF$9:BF$2788)</f>
        <v>#VALUE!</v>
      </c>
      <c r="L220" s="2" t="e">
        <f>AVERAGEIF([1]个股!$D$9:$D$2788,[1]行业!$B139,[1]个股!BG$9:BG$2788)</f>
        <v>#VALUE!</v>
      </c>
      <c r="M220" s="5" t="e">
        <f>SUMIF([1]个股!$D$9:$D$2788,B220,[1]个股!$M$9:$M$2788)</f>
        <v>#VALUE!</v>
      </c>
      <c r="N220" s="6" t="e">
        <f>SUMIF([1]个股!$D$9:$D$2788,B220,[1]个股!$N$9:$N$2788)</f>
        <v>#VALUE!</v>
      </c>
      <c r="O220" s="7" t="e">
        <f t="shared" si="31"/>
        <v>#VALUE!</v>
      </c>
      <c r="P220" t="e">
        <f t="shared" ca="1" si="32"/>
        <v>#NAME?</v>
      </c>
      <c r="Q220" t="str">
        <f t="shared" si="33"/>
        <v>行业4 公路运输</v>
      </c>
    </row>
    <row r="221" spans="1:27">
      <c r="A221" t="s">
        <v>134</v>
      </c>
      <c r="B221" s="15" t="s">
        <v>255</v>
      </c>
      <c r="C221" s="1" t="e">
        <f t="shared" si="27"/>
        <v>#VALUE!</v>
      </c>
      <c r="D221" s="2" t="e">
        <f t="shared" si="28"/>
        <v>#VALUE!</v>
      </c>
      <c r="E221" s="3" t="e">
        <f t="shared" si="29"/>
        <v>#VALUE!</v>
      </c>
      <c r="F221" s="3">
        <v>1</v>
      </c>
      <c r="G221" s="4" t="e">
        <f t="shared" si="30"/>
        <v>#VALUE!</v>
      </c>
      <c r="H221" s="2" t="e">
        <f>AVERAGEIF([1]个股!$D$9:$D$2788,[1]行业!$B191,[1]个股!BC$9:BC$2788)</f>
        <v>#VALUE!</v>
      </c>
      <c r="I221" s="2" t="e">
        <f>AVERAGEIF([1]个股!$D$9:$D$2788,[1]行业!$B191,[1]个股!BD$9:BD$2788)</f>
        <v>#VALUE!</v>
      </c>
      <c r="J221" s="2" t="e">
        <f>AVERAGEIF([1]个股!$D$9:$D$2788,[1]行业!$B191,[1]个股!BE$9:BE$2788)</f>
        <v>#VALUE!</v>
      </c>
      <c r="K221" s="2" t="e">
        <f>AVERAGEIF([1]个股!$D$9:$D$2788,[1]行业!$B191,[1]个股!BF$9:BF$2788)</f>
        <v>#VALUE!</v>
      </c>
      <c r="L221" s="2" t="e">
        <f>AVERAGEIF([1]个股!$D$9:$D$2788,[1]行业!$B191,[1]个股!BG$9:BG$2788)</f>
        <v>#VALUE!</v>
      </c>
      <c r="M221" s="5" t="e">
        <f>SUMIF([1]个股!$D$9:$D$2788,B221,[1]个股!$M$9:$M$2788)</f>
        <v>#VALUE!</v>
      </c>
      <c r="N221" s="6" t="e">
        <f>SUMIF([1]个股!$D$9:$D$2788,B221,[1]个股!$N$9:$N$2788)</f>
        <v>#VALUE!</v>
      </c>
      <c r="O221" s="7" t="e">
        <f t="shared" si="31"/>
        <v>#VALUE!</v>
      </c>
      <c r="P221" t="e">
        <f t="shared" ca="1" si="32"/>
        <v>#NAME?</v>
      </c>
      <c r="Q221" t="str">
        <f t="shared" si="33"/>
        <v>行业4 石油天然气勘探与生产</v>
      </c>
      <c r="R221" s="2"/>
      <c r="S221" s="2"/>
      <c r="T221" s="2"/>
      <c r="U221" s="2"/>
      <c r="Y221" s="5"/>
      <c r="Z221" s="6"/>
      <c r="AA221" s="2"/>
    </row>
    <row r="222" spans="1:27">
      <c r="A222" t="s">
        <v>134</v>
      </c>
      <c r="B222" s="15" t="s">
        <v>256</v>
      </c>
      <c r="C222" s="1" t="e">
        <f t="shared" si="27"/>
        <v>#VALUE!</v>
      </c>
      <c r="D222" s="2" t="e">
        <f t="shared" si="28"/>
        <v>#VALUE!</v>
      </c>
      <c r="E222" s="3" t="e">
        <f t="shared" si="29"/>
        <v>#VALUE!</v>
      </c>
      <c r="F222" s="3">
        <v>1</v>
      </c>
      <c r="G222" s="4" t="e">
        <f t="shared" si="30"/>
        <v>#VALUE!</v>
      </c>
      <c r="H222" s="2" t="e">
        <f>AVERAGEIF([1]个股!$D$9:$D$2788,[1]行业!$B107,[1]个股!BC$9:BC$2788)</f>
        <v>#VALUE!</v>
      </c>
      <c r="I222" s="2" t="e">
        <f>AVERAGEIF([1]个股!$D$9:$D$2788,[1]行业!$B107,[1]个股!BD$9:BD$2788)</f>
        <v>#VALUE!</v>
      </c>
      <c r="J222" s="2" t="e">
        <f>AVERAGEIF([1]个股!$D$9:$D$2788,[1]行业!$B107,[1]个股!BE$9:BE$2788)</f>
        <v>#VALUE!</v>
      </c>
      <c r="K222" s="2" t="e">
        <f>AVERAGEIF([1]个股!$D$9:$D$2788,[1]行业!$B107,[1]个股!BF$9:BF$2788)</f>
        <v>#VALUE!</v>
      </c>
      <c r="L222" s="2" t="e">
        <f>AVERAGEIF([1]个股!$D$9:$D$2788,[1]行业!$B107,[1]个股!BG$9:BG$2788)</f>
        <v>#VALUE!</v>
      </c>
      <c r="M222" s="5" t="e">
        <f>SUMIF([1]个股!$D$9:$D$2788,B222,[1]个股!$M$9:$M$2788)</f>
        <v>#VALUE!</v>
      </c>
      <c r="N222" s="6" t="e">
        <f>SUMIF([1]个股!$D$9:$D$2788,B222,[1]个股!$N$9:$N$2788)</f>
        <v>#VALUE!</v>
      </c>
      <c r="O222" s="7" t="e">
        <f t="shared" si="31"/>
        <v>#VALUE!</v>
      </c>
      <c r="P222" t="e">
        <f t="shared" ca="1" si="32"/>
        <v>#NAME?</v>
      </c>
      <c r="Q222" t="str">
        <f t="shared" si="33"/>
        <v>行业4 保健护理服务</v>
      </c>
    </row>
    <row r="223" spans="1:27">
      <c r="A223" t="s">
        <v>134</v>
      </c>
      <c r="B223" s="15" t="s">
        <v>257</v>
      </c>
      <c r="C223" s="1" t="e">
        <f t="shared" si="27"/>
        <v>#VALUE!</v>
      </c>
      <c r="D223" s="2" t="e">
        <f t="shared" si="28"/>
        <v>#VALUE!</v>
      </c>
      <c r="E223" s="3" t="e">
        <f t="shared" si="29"/>
        <v>#VALUE!</v>
      </c>
      <c r="F223" s="3">
        <v>1</v>
      </c>
      <c r="G223" s="4" t="e">
        <f t="shared" si="30"/>
        <v>#VALUE!</v>
      </c>
      <c r="H223" s="2" t="e">
        <f>AVERAGEIF([1]个股!$D$9:$D$2788,[1]行业!$B156,[1]个股!BC$9:BC$2788)</f>
        <v>#VALUE!</v>
      </c>
      <c r="I223" s="2" t="e">
        <f>AVERAGEIF([1]个股!$D$9:$D$2788,[1]行业!$B156,[1]个股!BD$9:BD$2788)</f>
        <v>#VALUE!</v>
      </c>
      <c r="J223" s="2" t="e">
        <f>AVERAGEIF([1]个股!$D$9:$D$2788,[1]行业!$B156,[1]个股!BE$9:BE$2788)</f>
        <v>#VALUE!</v>
      </c>
      <c r="K223" s="2" t="e">
        <f>AVERAGEIF([1]个股!$D$9:$D$2788,[1]行业!$B156,[1]个股!BF$9:BF$2788)</f>
        <v>#VALUE!</v>
      </c>
      <c r="L223" s="2" t="e">
        <f>AVERAGEIF([1]个股!$D$9:$D$2788,[1]行业!$B156,[1]个股!BG$9:BG$2788)</f>
        <v>#VALUE!</v>
      </c>
      <c r="M223" s="5" t="e">
        <f>SUMIF([1]个股!$D$9:$D$2788,B223,[1]个股!$M$9:$M$2788)</f>
        <v>#VALUE!</v>
      </c>
      <c r="N223" s="6" t="e">
        <f>SUMIF([1]个股!$D$9:$D$2788,B223,[1]个股!$N$9:$N$2788)</f>
        <v>#VALUE!</v>
      </c>
      <c r="O223" s="7" t="e">
        <f t="shared" si="31"/>
        <v>#VALUE!</v>
      </c>
      <c r="P223" t="e">
        <f t="shared" ca="1" si="32"/>
        <v>#NAME?</v>
      </c>
      <c r="Q223" t="str">
        <f t="shared" si="33"/>
        <v>行业4 技术产品经销商</v>
      </c>
    </row>
    <row r="224" spans="1:27">
      <c r="A224" t="s">
        <v>134</v>
      </c>
      <c r="B224" s="15" t="s">
        <v>258</v>
      </c>
      <c r="C224" s="1" t="e">
        <f t="shared" si="27"/>
        <v>#VALUE!</v>
      </c>
      <c r="D224" s="2" t="e">
        <f t="shared" si="28"/>
        <v>#VALUE!</v>
      </c>
      <c r="E224" s="3" t="e">
        <f t="shared" si="29"/>
        <v>#VALUE!</v>
      </c>
      <c r="F224" s="3">
        <v>1</v>
      </c>
      <c r="G224" s="4" t="e">
        <f t="shared" si="30"/>
        <v>#VALUE!</v>
      </c>
      <c r="H224" s="2" t="e">
        <f>AVERAGEIF([1]个股!$D$9:$D$2788,[1]行业!$B110,[1]个股!BC$9:BC$2788)</f>
        <v>#VALUE!</v>
      </c>
      <c r="I224" s="2" t="e">
        <f>AVERAGEIF([1]个股!$D$9:$D$2788,[1]行业!$B110,[1]个股!BD$9:BD$2788)</f>
        <v>#VALUE!</v>
      </c>
      <c r="J224" s="2" t="e">
        <f>AVERAGEIF([1]个股!$D$9:$D$2788,[1]行业!$B110,[1]个股!BE$9:BE$2788)</f>
        <v>#VALUE!</v>
      </c>
      <c r="K224" s="2" t="e">
        <f>AVERAGEIF([1]个股!$D$9:$D$2788,[1]行业!$B110,[1]个股!BF$9:BF$2788)</f>
        <v>#VALUE!</v>
      </c>
      <c r="L224" s="2" t="e">
        <f>AVERAGEIF([1]个股!$D$9:$D$2788,[1]行业!$B110,[1]个股!BG$9:BG$2788)</f>
        <v>#VALUE!</v>
      </c>
      <c r="M224" s="5" t="e">
        <f>SUMIF([1]个股!$D$9:$D$2788,B224,[1]个股!$M$9:$M$2788)</f>
        <v>#VALUE!</v>
      </c>
      <c r="N224" s="6" t="e">
        <f>SUMIF([1]个股!$D$9:$D$2788,B224,[1]个股!$N$9:$N$2788)</f>
        <v>#VALUE!</v>
      </c>
      <c r="O224" s="7" t="e">
        <f t="shared" si="31"/>
        <v>#VALUE!</v>
      </c>
      <c r="P224" t="e">
        <f t="shared" ca="1" si="32"/>
        <v>#NAME?</v>
      </c>
      <c r="Q224" t="str">
        <f t="shared" si="33"/>
        <v>行业4 餐馆</v>
      </c>
    </row>
    <row r="225" spans="1:27">
      <c r="A225" t="s">
        <v>134</v>
      </c>
      <c r="B225" s="15" t="s">
        <v>259</v>
      </c>
      <c r="C225" s="1" t="e">
        <f t="shared" si="27"/>
        <v>#VALUE!</v>
      </c>
      <c r="D225" s="2" t="e">
        <f t="shared" si="28"/>
        <v>#VALUE!</v>
      </c>
      <c r="E225" s="3" t="e">
        <f t="shared" si="29"/>
        <v>#VALUE!</v>
      </c>
      <c r="F225" s="3">
        <v>1</v>
      </c>
      <c r="G225" s="4" t="e">
        <f t="shared" si="30"/>
        <v>#VALUE!</v>
      </c>
      <c r="H225" s="2" t="e">
        <f>AVERAGEIF([1]个股!$D$9:$D$2788,[1]行业!$B146,[1]个股!BC$9:BC$2788)</f>
        <v>#VALUE!</v>
      </c>
      <c r="I225" s="2" t="e">
        <f>AVERAGEIF([1]个股!$D$9:$D$2788,[1]行业!$B146,[1]个股!BD$9:BD$2788)</f>
        <v>#VALUE!</v>
      </c>
      <c r="J225" s="2" t="e">
        <f>AVERAGEIF([1]个股!$D$9:$D$2788,[1]行业!$B146,[1]个股!BE$9:BE$2788)</f>
        <v>#VALUE!</v>
      </c>
      <c r="K225" s="2" t="e">
        <f>AVERAGEIF([1]个股!$D$9:$D$2788,[1]行业!$B146,[1]个股!BF$9:BF$2788)</f>
        <v>#VALUE!</v>
      </c>
      <c r="L225" s="2" t="e">
        <f>AVERAGEIF([1]个股!$D$9:$D$2788,[1]行业!$B146,[1]个股!BG$9:BG$2788)</f>
        <v>#VALUE!</v>
      </c>
      <c r="M225" s="5" t="e">
        <f>SUMIF([1]个股!$D$9:$D$2788,B225,[1]个股!$M$9:$M$2788)</f>
        <v>#VALUE!</v>
      </c>
      <c r="N225" s="6" t="e">
        <f>SUMIF([1]个股!$D$9:$D$2788,B225,[1]个股!$N$9:$N$2788)</f>
        <v>#VALUE!</v>
      </c>
      <c r="O225" s="7" t="e">
        <f t="shared" si="31"/>
        <v>#VALUE!</v>
      </c>
      <c r="P225" t="e">
        <f t="shared" ca="1" si="32"/>
        <v>#NAME?</v>
      </c>
      <c r="Q225" t="str">
        <f t="shared" si="33"/>
        <v>行业4 航天航空与国防</v>
      </c>
    </row>
    <row r="226" spans="1:27">
      <c r="A226" t="s">
        <v>134</v>
      </c>
      <c r="B226" s="15" t="s">
        <v>260</v>
      </c>
      <c r="C226" s="1" t="e">
        <f t="shared" si="27"/>
        <v>#VALUE!</v>
      </c>
      <c r="D226" s="2" t="e">
        <f t="shared" si="28"/>
        <v>#VALUE!</v>
      </c>
      <c r="E226" s="3" t="e">
        <f t="shared" si="29"/>
        <v>#VALUE!</v>
      </c>
      <c r="F226" s="3">
        <v>1</v>
      </c>
      <c r="G226" s="4" t="e">
        <f t="shared" si="30"/>
        <v>#VALUE!</v>
      </c>
      <c r="H226" s="2" t="e">
        <f>AVERAGEIF([1]个股!$D$9:$D$2788,[1]行业!$B228,[1]个股!BC$9:BC$2788)</f>
        <v>#VALUE!</v>
      </c>
      <c r="I226" s="2" t="e">
        <f>AVERAGEIF([1]个股!$D$9:$D$2788,[1]行业!$B228,[1]个股!BD$9:BD$2788)</f>
        <v>#VALUE!</v>
      </c>
      <c r="J226" s="2" t="e">
        <f>AVERAGEIF([1]个股!$D$9:$D$2788,[1]行业!$B228,[1]个股!BE$9:BE$2788)</f>
        <v>#VALUE!</v>
      </c>
      <c r="K226" s="2" t="e">
        <f>AVERAGEIF([1]个股!$D$9:$D$2788,[1]行业!$B228,[1]个股!BF$9:BF$2788)</f>
        <v>#VALUE!</v>
      </c>
      <c r="L226" s="2" t="e">
        <f>AVERAGEIF([1]个股!$D$9:$D$2788,[1]行业!$B228,[1]个股!BG$9:BG$2788)</f>
        <v>#VALUE!</v>
      </c>
      <c r="M226" s="5" t="e">
        <f>SUMIF([1]个股!$D$9:$D$2788,B226,[1]个股!$M$9:$M$2788)</f>
        <v>#VALUE!</v>
      </c>
      <c r="N226" s="6" t="e">
        <f>SUMIF([1]个股!$D$9:$D$2788,B226,[1]个股!$N$9:$N$2788)</f>
        <v>#VALUE!</v>
      </c>
      <c r="O226" s="7" t="e">
        <f t="shared" si="31"/>
        <v>#VALUE!</v>
      </c>
      <c r="P226" t="e">
        <f t="shared" ca="1" si="32"/>
        <v>#NAME?</v>
      </c>
      <c r="Q226" t="str">
        <f t="shared" si="33"/>
        <v>行业4 综合货品商店</v>
      </c>
      <c r="R226" s="2"/>
      <c r="S226" s="2"/>
      <c r="T226" s="2"/>
      <c r="U226" s="2"/>
      <c r="Y226" s="5"/>
      <c r="Z226" s="6"/>
      <c r="AA226" s="2"/>
    </row>
    <row r="227" spans="1:27">
      <c r="A227" t="s">
        <v>134</v>
      </c>
      <c r="B227" s="15" t="s">
        <v>261</v>
      </c>
      <c r="C227" s="1" t="e">
        <f t="shared" si="27"/>
        <v>#VALUE!</v>
      </c>
      <c r="D227" s="2" t="e">
        <f t="shared" si="28"/>
        <v>#VALUE!</v>
      </c>
      <c r="E227" s="3" t="e">
        <f t="shared" si="29"/>
        <v>#VALUE!</v>
      </c>
      <c r="F227" s="3">
        <v>1</v>
      </c>
      <c r="G227" s="4" t="e">
        <f t="shared" si="30"/>
        <v>#VALUE!</v>
      </c>
      <c r="H227" s="2" t="e">
        <f>AVERAGEIF([1]个股!$D$9:$D$2788,[1]行业!$B137,[1]个股!BC$9:BC$2788)</f>
        <v>#VALUE!</v>
      </c>
      <c r="I227" s="2" t="e">
        <f>AVERAGEIF([1]个股!$D$9:$D$2788,[1]行业!$B137,[1]个股!BD$9:BD$2788)</f>
        <v>#VALUE!</v>
      </c>
      <c r="J227" s="2" t="e">
        <f>AVERAGEIF([1]个股!$D$9:$D$2788,[1]行业!$B137,[1]个股!BE$9:BE$2788)</f>
        <v>#VALUE!</v>
      </c>
      <c r="K227" s="2" t="e">
        <f>AVERAGEIF([1]个股!$D$9:$D$2788,[1]行业!$B137,[1]个股!BF$9:BF$2788)</f>
        <v>#VALUE!</v>
      </c>
      <c r="L227" s="2" t="e">
        <f>AVERAGEIF([1]个股!$D$9:$D$2788,[1]行业!$B137,[1]个股!BG$9:BG$2788)</f>
        <v>#VALUE!</v>
      </c>
      <c r="M227" s="5" t="e">
        <f>SUMIF([1]个股!$D$9:$D$2788,B227,[1]个股!$M$9:$M$2788)</f>
        <v>#VALUE!</v>
      </c>
      <c r="N227" s="6" t="e">
        <f>SUMIF([1]个股!$D$9:$D$2788,B227,[1]个股!$N$9:$N$2788)</f>
        <v>#VALUE!</v>
      </c>
      <c r="O227" s="7" t="e">
        <f t="shared" si="31"/>
        <v>#VALUE!</v>
      </c>
      <c r="P227" t="e">
        <f t="shared" ca="1" si="32"/>
        <v>#NAME?</v>
      </c>
      <c r="Q227" t="str">
        <f t="shared" si="33"/>
        <v>行业4 工业气体</v>
      </c>
    </row>
    <row r="228" spans="1:27">
      <c r="A228" t="s">
        <v>134</v>
      </c>
      <c r="B228" s="15" t="s">
        <v>262</v>
      </c>
      <c r="C228" s="1" t="e">
        <f t="shared" si="27"/>
        <v>#VALUE!</v>
      </c>
      <c r="D228" s="2" t="e">
        <f t="shared" si="28"/>
        <v>#VALUE!</v>
      </c>
      <c r="E228" s="3" t="e">
        <f t="shared" si="29"/>
        <v>#VALUE!</v>
      </c>
      <c r="F228" s="3">
        <v>1</v>
      </c>
      <c r="G228" s="4" t="e">
        <f t="shared" si="30"/>
        <v>#VALUE!</v>
      </c>
      <c r="H228" s="2" t="e">
        <f>AVERAGEIF([1]个股!$D$9:$D$2788,[1]行业!$B122,[1]个股!BC$9:BC$2788)</f>
        <v>#VALUE!</v>
      </c>
      <c r="I228" s="2" t="e">
        <f>AVERAGEIF([1]个股!$D$9:$D$2788,[1]行业!$B122,[1]个股!BD$9:BD$2788)</f>
        <v>#VALUE!</v>
      </c>
      <c r="J228" s="2" t="e">
        <f>AVERAGEIF([1]个股!$D$9:$D$2788,[1]行业!$B122,[1]个股!BE$9:BE$2788)</f>
        <v>#VALUE!</v>
      </c>
      <c r="K228" s="2" t="e">
        <f>AVERAGEIF([1]个股!$D$9:$D$2788,[1]行业!$B122,[1]个股!BF$9:BF$2788)</f>
        <v>#VALUE!</v>
      </c>
      <c r="L228" s="2" t="e">
        <f>AVERAGEIF([1]个股!$D$9:$D$2788,[1]行业!$B122,[1]个股!BG$9:BG$2788)</f>
        <v>#VALUE!</v>
      </c>
      <c r="M228" s="5" t="e">
        <f>SUMIF([1]个股!$D$9:$D$2788,B228,[1]个股!$M$9:$M$2788)</f>
        <v>#VALUE!</v>
      </c>
      <c r="N228" s="6" t="e">
        <f>SUMIF([1]个股!$D$9:$D$2788,B228,[1]个股!$N$9:$N$2788)</f>
        <v>#VALUE!</v>
      </c>
      <c r="O228" s="7" t="e">
        <f t="shared" si="31"/>
        <v>#VALUE!</v>
      </c>
      <c r="P228" t="e">
        <f t="shared" ca="1" si="32"/>
        <v>#NAME?</v>
      </c>
      <c r="Q228" t="str">
        <f t="shared" si="33"/>
        <v>行业4 独立电力生产商与能源贸易商</v>
      </c>
    </row>
    <row r="229" spans="1:27">
      <c r="A229" t="s">
        <v>134</v>
      </c>
      <c r="B229" s="15" t="s">
        <v>263</v>
      </c>
      <c r="C229" s="1" t="e">
        <f t="shared" si="27"/>
        <v>#VALUE!</v>
      </c>
      <c r="D229" s="2" t="e">
        <f t="shared" si="28"/>
        <v>#VALUE!</v>
      </c>
      <c r="E229" s="3" t="e">
        <f t="shared" si="29"/>
        <v>#VALUE!</v>
      </c>
      <c r="F229" s="3">
        <v>1</v>
      </c>
      <c r="G229" s="4" t="e">
        <f t="shared" si="30"/>
        <v>#VALUE!</v>
      </c>
      <c r="H229" s="2" t="e">
        <f>AVERAGEIF([1]个股!$D$9:$D$2788,[1]行业!$B197,[1]个股!BC$9:BC$2788)</f>
        <v>#VALUE!</v>
      </c>
      <c r="I229" s="2" t="e">
        <f>AVERAGEIF([1]个股!$D$9:$D$2788,[1]行业!$B197,[1]个股!BD$9:BD$2788)</f>
        <v>#VALUE!</v>
      </c>
      <c r="J229" s="2" t="e">
        <f>AVERAGEIF([1]个股!$D$9:$D$2788,[1]行业!$B197,[1]个股!BE$9:BE$2788)</f>
        <v>#VALUE!</v>
      </c>
      <c r="K229" s="2" t="e">
        <f>AVERAGEIF([1]个股!$D$9:$D$2788,[1]行业!$B197,[1]个股!BF$9:BF$2788)</f>
        <v>#VALUE!</v>
      </c>
      <c r="L229" s="2" t="e">
        <f>AVERAGEIF([1]个股!$D$9:$D$2788,[1]行业!$B197,[1]个股!BG$9:BG$2788)</f>
        <v>#VALUE!</v>
      </c>
      <c r="M229" s="5" t="e">
        <f>SUMIF([1]个股!$D$9:$D$2788,B229,[1]个股!$M$9:$M$2788)</f>
        <v>#VALUE!</v>
      </c>
      <c r="N229" s="6" t="e">
        <f>SUMIF([1]个股!$D$9:$D$2788,B229,[1]个股!$N$9:$N$2788)</f>
        <v>#VALUE!</v>
      </c>
      <c r="O229" s="7" t="e">
        <f t="shared" si="31"/>
        <v>#VALUE!</v>
      </c>
      <c r="P229" t="e">
        <f t="shared" ca="1" si="32"/>
        <v>#NAME?</v>
      </c>
      <c r="Q229" t="str">
        <f t="shared" si="33"/>
        <v>行业4 售货目录零售</v>
      </c>
      <c r="R229" s="2"/>
      <c r="S229" s="2"/>
      <c r="T229" s="2"/>
      <c r="U229" s="2"/>
      <c r="Y229" s="5"/>
      <c r="Z229" s="6"/>
      <c r="AA229" s="2"/>
    </row>
    <row r="230" spans="1:27">
      <c r="A230" t="s">
        <v>134</v>
      </c>
      <c r="B230" s="15" t="s">
        <v>264</v>
      </c>
      <c r="C230" s="1" t="e">
        <f t="shared" si="27"/>
        <v>#VALUE!</v>
      </c>
      <c r="D230" s="2" t="e">
        <f t="shared" si="28"/>
        <v>#VALUE!</v>
      </c>
      <c r="E230" s="3" t="e">
        <f t="shared" si="29"/>
        <v>#VALUE!</v>
      </c>
      <c r="F230" s="3">
        <v>0.7</v>
      </c>
      <c r="G230" s="4" t="e">
        <f t="shared" si="30"/>
        <v>#VALUE!</v>
      </c>
      <c r="H230" s="2" t="e">
        <f>AVERAGEIF([1]个股!$D$9:$D$2788,[1]行业!$B180,[1]个股!BC$9:BC$2788)</f>
        <v>#VALUE!</v>
      </c>
      <c r="I230" s="2" t="e">
        <f>AVERAGEIF([1]个股!$D$9:$D$2788,[1]行业!$B180,[1]个股!BD$9:BD$2788)</f>
        <v>#VALUE!</v>
      </c>
      <c r="J230" s="2" t="e">
        <f>AVERAGEIF([1]个股!$D$9:$D$2788,[1]行业!$B180,[1]个股!BE$9:BE$2788)</f>
        <v>#VALUE!</v>
      </c>
      <c r="K230" s="2" t="e">
        <f>AVERAGEIF([1]个股!$D$9:$D$2788,[1]行业!$B180,[1]个股!BF$9:BF$2788)</f>
        <v>#VALUE!</v>
      </c>
      <c r="L230" s="2" t="e">
        <f>AVERAGEIF([1]个股!$D$9:$D$2788,[1]行业!$B180,[1]个股!BG$9:BG$2788)</f>
        <v>#VALUE!</v>
      </c>
      <c r="M230" s="5" t="e">
        <f>SUMIF([1]个股!$D$9:$D$2788,B230,[1]个股!$M$9:$M$2788)</f>
        <v>#VALUE!</v>
      </c>
      <c r="N230" s="6" t="e">
        <f>SUMIF([1]个股!$D$9:$D$2788,B230,[1]个股!$N$9:$N$2788)</f>
        <v>#VALUE!</v>
      </c>
      <c r="O230" s="7" t="e">
        <f t="shared" si="31"/>
        <v>#VALUE!</v>
      </c>
      <c r="P230" t="e">
        <f t="shared" ca="1" si="32"/>
        <v>#NAME?</v>
      </c>
      <c r="Q230" t="str">
        <f t="shared" si="33"/>
        <v>行业4 其他多元金融服务</v>
      </c>
      <c r="R230" s="2"/>
      <c r="S230" s="2"/>
      <c r="T230" s="2"/>
      <c r="U230" s="2"/>
      <c r="Y230" s="5"/>
      <c r="Z230" s="6"/>
      <c r="AA230" s="2"/>
    </row>
    <row r="231" spans="1:27">
      <c r="A231" t="s">
        <v>134</v>
      </c>
      <c r="B231" s="15" t="s">
        <v>265</v>
      </c>
      <c r="C231" s="1" t="e">
        <f t="shared" si="27"/>
        <v>#VALUE!</v>
      </c>
      <c r="D231" s="2" t="e">
        <f t="shared" si="28"/>
        <v>#VALUE!</v>
      </c>
      <c r="E231" s="3" t="e">
        <f t="shared" si="29"/>
        <v>#VALUE!</v>
      </c>
      <c r="F231" s="3">
        <v>1</v>
      </c>
      <c r="G231" s="4" t="e">
        <f t="shared" si="30"/>
        <v>#VALUE!</v>
      </c>
      <c r="H231" s="2" t="e">
        <f>AVERAGEIF([1]个股!$D$9:$D$2788,[1]行业!$B225,[1]个股!BC$9:BC$2788)</f>
        <v>#VALUE!</v>
      </c>
      <c r="I231" s="2" t="e">
        <f>AVERAGEIF([1]个股!$D$9:$D$2788,[1]行业!$B225,[1]个股!BD$9:BD$2788)</f>
        <v>#VALUE!</v>
      </c>
      <c r="J231" s="2" t="e">
        <f>AVERAGEIF([1]个股!$D$9:$D$2788,[1]行业!$B225,[1]个股!BE$9:BE$2788)</f>
        <v>#VALUE!</v>
      </c>
      <c r="K231" s="2" t="e">
        <f>AVERAGEIF([1]个股!$D$9:$D$2788,[1]行业!$B225,[1]个股!BF$9:BF$2788)</f>
        <v>#VALUE!</v>
      </c>
      <c r="L231" s="2" t="e">
        <f>AVERAGEIF([1]个股!$D$9:$D$2788,[1]行业!$B225,[1]个股!BG$9:BG$2788)</f>
        <v>#VALUE!</v>
      </c>
      <c r="M231" s="5" t="e">
        <f>SUMIF([1]个股!$D$9:$D$2788,B231,[1]个股!$M$9:$M$2788)</f>
        <v>#VALUE!</v>
      </c>
      <c r="N231" s="6" t="e">
        <f>SUMIF([1]个股!$D$9:$D$2788,B231,[1]个股!$N$9:$N$2788)</f>
        <v>#VALUE!</v>
      </c>
      <c r="O231" s="7" t="e">
        <f t="shared" si="31"/>
        <v>#VALUE!</v>
      </c>
      <c r="P231" t="e">
        <f t="shared" ca="1" si="32"/>
        <v>#NAME?</v>
      </c>
      <c r="Q231" t="str">
        <f t="shared" si="33"/>
        <v>行业4 专卖店</v>
      </c>
      <c r="R231" s="2"/>
      <c r="S231" s="2"/>
      <c r="T231" s="2"/>
      <c r="U231" s="2"/>
      <c r="Y231" s="5"/>
      <c r="Z231" s="6"/>
      <c r="AA231" s="2"/>
    </row>
  </sheetData>
  <phoneticPr fontId="3" type="noConversion"/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T5"/>
  <sheetViews>
    <sheetView tabSelected="1" workbookViewId="0">
      <selection activeCell="A5" sqref="A5:HT5"/>
    </sheetView>
  </sheetViews>
  <sheetFormatPr baseColWidth="10" defaultColWidth="8.83203125" defaultRowHeight="14" x14ac:dyDescent="0"/>
  <cols>
    <col min="1" max="1" width="21.1640625" bestFit="1" customWidth="1"/>
    <col min="192" max="192" width="41" bestFit="1" customWidth="1"/>
  </cols>
  <sheetData>
    <row r="1" spans="1:228">
      <c r="A1" t="s">
        <v>685</v>
      </c>
      <c r="B1" t="s">
        <v>686</v>
      </c>
      <c r="C1" t="s">
        <v>687</v>
      </c>
      <c r="D1" t="s">
        <v>688</v>
      </c>
      <c r="E1" t="s">
        <v>689</v>
      </c>
      <c r="F1" t="s">
        <v>690</v>
      </c>
      <c r="G1" t="s">
        <v>691</v>
      </c>
      <c r="H1" t="s">
        <v>692</v>
      </c>
      <c r="I1" t="s">
        <v>693</v>
      </c>
      <c r="J1" t="s">
        <v>694</v>
      </c>
      <c r="K1" t="s">
        <v>695</v>
      </c>
      <c r="L1" t="s">
        <v>696</v>
      </c>
      <c r="M1" t="s">
        <v>697</v>
      </c>
      <c r="N1" t="s">
        <v>698</v>
      </c>
      <c r="O1" t="s">
        <v>699</v>
      </c>
      <c r="P1" t="s">
        <v>700</v>
      </c>
      <c r="Q1" t="s">
        <v>701</v>
      </c>
      <c r="R1" t="s">
        <v>702</v>
      </c>
      <c r="S1" t="s">
        <v>475</v>
      </c>
      <c r="T1" t="s">
        <v>476</v>
      </c>
      <c r="U1" t="s">
        <v>477</v>
      </c>
      <c r="V1" t="s">
        <v>478</v>
      </c>
      <c r="W1" t="s">
        <v>479</v>
      </c>
      <c r="X1" t="s">
        <v>480</v>
      </c>
      <c r="Y1" t="s">
        <v>481</v>
      </c>
      <c r="Z1" t="s">
        <v>482</v>
      </c>
      <c r="AA1" t="s">
        <v>483</v>
      </c>
      <c r="AB1" t="s">
        <v>484</v>
      </c>
      <c r="AC1" t="s">
        <v>485</v>
      </c>
      <c r="AD1" t="s">
        <v>486</v>
      </c>
      <c r="AE1" t="s">
        <v>487</v>
      </c>
      <c r="AF1" t="s">
        <v>488</v>
      </c>
      <c r="AG1" t="s">
        <v>489</v>
      </c>
      <c r="AH1" t="s">
        <v>490</v>
      </c>
      <c r="AI1" t="s">
        <v>491</v>
      </c>
      <c r="AJ1" t="s">
        <v>492</v>
      </c>
      <c r="AK1" t="s">
        <v>493</v>
      </c>
      <c r="AL1" t="s">
        <v>494</v>
      </c>
      <c r="AM1" t="s">
        <v>495</v>
      </c>
      <c r="AN1" t="s">
        <v>496</v>
      </c>
      <c r="AO1" t="s">
        <v>497</v>
      </c>
      <c r="AP1" t="s">
        <v>498</v>
      </c>
      <c r="AQ1" t="s">
        <v>499</v>
      </c>
      <c r="AR1" t="s">
        <v>500</v>
      </c>
      <c r="AS1" t="s">
        <v>501</v>
      </c>
      <c r="AT1" t="s">
        <v>502</v>
      </c>
      <c r="AU1" t="s">
        <v>503</v>
      </c>
      <c r="AV1" t="s">
        <v>504</v>
      </c>
      <c r="AW1" t="s">
        <v>505</v>
      </c>
      <c r="AX1" t="s">
        <v>506</v>
      </c>
      <c r="AY1" t="s">
        <v>507</v>
      </c>
      <c r="AZ1" t="s">
        <v>508</v>
      </c>
      <c r="BA1" t="s">
        <v>509</v>
      </c>
      <c r="BB1" t="s">
        <v>510</v>
      </c>
      <c r="BC1" t="s">
        <v>511</v>
      </c>
      <c r="BD1" t="s">
        <v>512</v>
      </c>
      <c r="BE1" t="s">
        <v>513</v>
      </c>
      <c r="BF1" t="s">
        <v>514</v>
      </c>
      <c r="BG1" t="s">
        <v>515</v>
      </c>
      <c r="BH1" t="s">
        <v>516</v>
      </c>
      <c r="BI1" t="s">
        <v>517</v>
      </c>
      <c r="BJ1" t="s">
        <v>518</v>
      </c>
      <c r="BK1" t="s">
        <v>519</v>
      </c>
      <c r="BL1" t="s">
        <v>520</v>
      </c>
      <c r="BM1" t="s">
        <v>521</v>
      </c>
      <c r="BN1" t="s">
        <v>522</v>
      </c>
      <c r="BO1" t="s">
        <v>523</v>
      </c>
      <c r="BP1" t="s">
        <v>524</v>
      </c>
      <c r="BQ1" t="s">
        <v>525</v>
      </c>
      <c r="BR1" t="s">
        <v>526</v>
      </c>
      <c r="BS1" t="s">
        <v>527</v>
      </c>
      <c r="BT1" t="s">
        <v>528</v>
      </c>
      <c r="BU1" t="s">
        <v>529</v>
      </c>
      <c r="BV1" t="s">
        <v>530</v>
      </c>
      <c r="BW1" t="s">
        <v>531</v>
      </c>
      <c r="BX1" t="s">
        <v>532</v>
      </c>
      <c r="BY1" t="s">
        <v>533</v>
      </c>
      <c r="BZ1" t="s">
        <v>534</v>
      </c>
      <c r="CA1" t="s">
        <v>535</v>
      </c>
      <c r="CB1" t="s">
        <v>536</v>
      </c>
      <c r="CC1" t="s">
        <v>537</v>
      </c>
      <c r="CD1" t="s">
        <v>538</v>
      </c>
      <c r="CE1" t="s">
        <v>539</v>
      </c>
      <c r="CF1" t="s">
        <v>540</v>
      </c>
      <c r="CG1" t="s">
        <v>541</v>
      </c>
      <c r="CH1" t="s">
        <v>542</v>
      </c>
      <c r="CI1" t="s">
        <v>543</v>
      </c>
      <c r="CJ1" t="s">
        <v>544</v>
      </c>
      <c r="CK1" t="s">
        <v>545</v>
      </c>
      <c r="CL1" t="s">
        <v>546</v>
      </c>
      <c r="CM1" t="s">
        <v>547</v>
      </c>
      <c r="CN1" t="s">
        <v>548</v>
      </c>
      <c r="CO1" t="s">
        <v>549</v>
      </c>
      <c r="CP1" t="s">
        <v>550</v>
      </c>
      <c r="CQ1" t="s">
        <v>551</v>
      </c>
      <c r="CR1" t="s">
        <v>552</v>
      </c>
      <c r="CS1" t="s">
        <v>553</v>
      </c>
      <c r="CT1" t="s">
        <v>554</v>
      </c>
      <c r="CU1" t="s">
        <v>555</v>
      </c>
      <c r="CV1" t="s">
        <v>556</v>
      </c>
      <c r="CW1" t="s">
        <v>557</v>
      </c>
      <c r="CX1" t="s">
        <v>558</v>
      </c>
      <c r="CY1" t="s">
        <v>559</v>
      </c>
      <c r="CZ1" t="s">
        <v>560</v>
      </c>
      <c r="DA1" t="s">
        <v>561</v>
      </c>
      <c r="DB1" t="s">
        <v>562</v>
      </c>
      <c r="DC1" t="s">
        <v>563</v>
      </c>
      <c r="DD1" t="s">
        <v>564</v>
      </c>
      <c r="DE1" t="s">
        <v>565</v>
      </c>
      <c r="DF1" t="s">
        <v>566</v>
      </c>
      <c r="DG1" t="s">
        <v>567</v>
      </c>
      <c r="DH1" t="s">
        <v>568</v>
      </c>
      <c r="DI1" t="s">
        <v>569</v>
      </c>
      <c r="DJ1" t="s">
        <v>570</v>
      </c>
      <c r="DK1" t="s">
        <v>571</v>
      </c>
      <c r="DL1" t="s">
        <v>572</v>
      </c>
      <c r="DM1" t="s">
        <v>573</v>
      </c>
      <c r="DN1" t="s">
        <v>574</v>
      </c>
      <c r="DO1" t="s">
        <v>575</v>
      </c>
      <c r="DP1" t="s">
        <v>576</v>
      </c>
      <c r="DQ1" t="s">
        <v>577</v>
      </c>
      <c r="DR1" t="s">
        <v>578</v>
      </c>
      <c r="DS1" t="s">
        <v>579</v>
      </c>
      <c r="DT1" t="s">
        <v>580</v>
      </c>
      <c r="DU1" t="s">
        <v>581</v>
      </c>
      <c r="DV1" t="s">
        <v>582</v>
      </c>
      <c r="DW1" t="s">
        <v>583</v>
      </c>
      <c r="DX1" t="s">
        <v>584</v>
      </c>
      <c r="DY1" t="s">
        <v>585</v>
      </c>
      <c r="DZ1" t="s">
        <v>586</v>
      </c>
      <c r="EA1" t="s">
        <v>587</v>
      </c>
      <c r="EB1" t="s">
        <v>588</v>
      </c>
      <c r="EC1" t="s">
        <v>589</v>
      </c>
      <c r="ED1" t="s">
        <v>590</v>
      </c>
      <c r="EE1" t="s">
        <v>591</v>
      </c>
      <c r="EF1" t="s">
        <v>592</v>
      </c>
      <c r="EG1" t="s">
        <v>593</v>
      </c>
      <c r="EH1" t="s">
        <v>594</v>
      </c>
      <c r="EI1" t="s">
        <v>595</v>
      </c>
      <c r="EJ1" t="s">
        <v>596</v>
      </c>
      <c r="EK1" t="s">
        <v>597</v>
      </c>
      <c r="EL1" t="s">
        <v>598</v>
      </c>
      <c r="EM1" t="s">
        <v>599</v>
      </c>
      <c r="EN1" t="s">
        <v>600</v>
      </c>
      <c r="EO1" t="s">
        <v>601</v>
      </c>
      <c r="EP1" t="s">
        <v>602</v>
      </c>
      <c r="EQ1" t="s">
        <v>603</v>
      </c>
      <c r="ER1" t="s">
        <v>604</v>
      </c>
      <c r="ES1" t="s">
        <v>605</v>
      </c>
      <c r="ET1" t="s">
        <v>606</v>
      </c>
      <c r="EU1" t="s">
        <v>607</v>
      </c>
      <c r="EV1" t="s">
        <v>608</v>
      </c>
      <c r="EW1" t="s">
        <v>609</v>
      </c>
      <c r="EX1" t="s">
        <v>610</v>
      </c>
      <c r="EY1" t="s">
        <v>611</v>
      </c>
      <c r="EZ1" t="s">
        <v>612</v>
      </c>
      <c r="FA1" t="s">
        <v>613</v>
      </c>
      <c r="FB1" t="s">
        <v>614</v>
      </c>
      <c r="FC1" t="s">
        <v>615</v>
      </c>
      <c r="FD1" t="s">
        <v>616</v>
      </c>
      <c r="FE1" t="s">
        <v>617</v>
      </c>
      <c r="FF1" t="s">
        <v>618</v>
      </c>
      <c r="FG1" t="s">
        <v>619</v>
      </c>
      <c r="FH1" t="s">
        <v>620</v>
      </c>
      <c r="FI1" t="s">
        <v>621</v>
      </c>
      <c r="FJ1" t="s">
        <v>622</v>
      </c>
      <c r="FK1" t="s">
        <v>623</v>
      </c>
      <c r="FL1" t="s">
        <v>624</v>
      </c>
      <c r="FM1" t="s">
        <v>625</v>
      </c>
      <c r="FN1" t="s">
        <v>626</v>
      </c>
      <c r="FO1" t="s">
        <v>627</v>
      </c>
      <c r="FP1" t="s">
        <v>628</v>
      </c>
      <c r="FQ1" t="s">
        <v>629</v>
      </c>
      <c r="FR1" t="s">
        <v>630</v>
      </c>
      <c r="FS1" t="s">
        <v>631</v>
      </c>
      <c r="FT1" t="s">
        <v>632</v>
      </c>
      <c r="FU1" t="s">
        <v>633</v>
      </c>
      <c r="FV1" t="s">
        <v>634</v>
      </c>
      <c r="FW1" t="s">
        <v>635</v>
      </c>
      <c r="FX1" t="s">
        <v>636</v>
      </c>
      <c r="FY1" t="s">
        <v>637</v>
      </c>
      <c r="FZ1" t="s">
        <v>638</v>
      </c>
      <c r="GA1" t="s">
        <v>639</v>
      </c>
      <c r="GB1" t="s">
        <v>640</v>
      </c>
      <c r="GC1" t="s">
        <v>641</v>
      </c>
      <c r="GD1" t="s">
        <v>642</v>
      </c>
      <c r="GE1" t="s">
        <v>643</v>
      </c>
      <c r="GF1" t="s">
        <v>644</v>
      </c>
      <c r="GG1" t="s">
        <v>645</v>
      </c>
      <c r="GH1" t="s">
        <v>646</v>
      </c>
      <c r="GI1" t="s">
        <v>647</v>
      </c>
      <c r="GJ1" t="s">
        <v>648</v>
      </c>
      <c r="GK1" t="s">
        <v>649</v>
      </c>
      <c r="GL1" t="s">
        <v>650</v>
      </c>
      <c r="GM1" t="s">
        <v>651</v>
      </c>
      <c r="GN1" t="s">
        <v>652</v>
      </c>
      <c r="GO1" t="s">
        <v>653</v>
      </c>
      <c r="GP1" t="s">
        <v>654</v>
      </c>
      <c r="GQ1" t="s">
        <v>655</v>
      </c>
      <c r="GR1" t="s">
        <v>656</v>
      </c>
      <c r="GS1" t="s">
        <v>657</v>
      </c>
      <c r="GT1" t="s">
        <v>658</v>
      </c>
      <c r="GU1" t="s">
        <v>659</v>
      </c>
      <c r="GV1" t="s">
        <v>660</v>
      </c>
      <c r="GW1" t="s">
        <v>661</v>
      </c>
      <c r="GX1" t="s">
        <v>662</v>
      </c>
      <c r="GY1" t="s">
        <v>663</v>
      </c>
      <c r="GZ1" t="s">
        <v>664</v>
      </c>
      <c r="HA1" t="s">
        <v>665</v>
      </c>
      <c r="HB1" t="s">
        <v>666</v>
      </c>
      <c r="HC1" t="s">
        <v>667</v>
      </c>
      <c r="HD1" t="s">
        <v>668</v>
      </c>
      <c r="HE1" t="s">
        <v>669</v>
      </c>
      <c r="HF1" t="s">
        <v>670</v>
      </c>
      <c r="HG1" t="s">
        <v>671</v>
      </c>
      <c r="HH1" t="s">
        <v>672</v>
      </c>
      <c r="HI1" t="s">
        <v>673</v>
      </c>
      <c r="HJ1" t="s">
        <v>674</v>
      </c>
      <c r="HK1" t="s">
        <v>675</v>
      </c>
      <c r="HL1" t="s">
        <v>676</v>
      </c>
      <c r="HM1" t="s">
        <v>677</v>
      </c>
      <c r="HN1" t="s">
        <v>678</v>
      </c>
      <c r="HO1" t="s">
        <v>679</v>
      </c>
      <c r="HP1" t="s">
        <v>680</v>
      </c>
      <c r="HQ1" t="s">
        <v>681</v>
      </c>
      <c r="HR1" t="s">
        <v>682</v>
      </c>
      <c r="HS1" t="s">
        <v>683</v>
      </c>
      <c r="HT1" t="s">
        <v>684</v>
      </c>
    </row>
    <row r="2" spans="1:228">
      <c r="A2" t="s">
        <v>266</v>
      </c>
      <c r="B2" t="s">
        <v>267</v>
      </c>
      <c r="C2" t="s">
        <v>268</v>
      </c>
      <c r="D2" t="s">
        <v>269</v>
      </c>
      <c r="E2" t="s">
        <v>270</v>
      </c>
      <c r="F2" t="s">
        <v>271</v>
      </c>
      <c r="G2" t="s">
        <v>272</v>
      </c>
      <c r="H2" t="s">
        <v>273</v>
      </c>
      <c r="I2" t="s">
        <v>274</v>
      </c>
      <c r="J2" t="s">
        <v>275</v>
      </c>
      <c r="K2" t="s">
        <v>276</v>
      </c>
      <c r="L2" t="s">
        <v>277</v>
      </c>
      <c r="M2" t="s">
        <v>278</v>
      </c>
      <c r="N2" t="s">
        <v>279</v>
      </c>
      <c r="O2" t="s">
        <v>280</v>
      </c>
      <c r="P2" t="s">
        <v>281</v>
      </c>
      <c r="Q2" t="s">
        <v>282</v>
      </c>
      <c r="R2" t="s">
        <v>283</v>
      </c>
      <c r="S2" t="s">
        <v>284</v>
      </c>
      <c r="T2" t="s">
        <v>285</v>
      </c>
      <c r="U2" t="s">
        <v>286</v>
      </c>
      <c r="V2" t="s">
        <v>287</v>
      </c>
      <c r="W2" t="s">
        <v>288</v>
      </c>
      <c r="X2" t="s">
        <v>289</v>
      </c>
      <c r="Y2" t="s">
        <v>290</v>
      </c>
      <c r="Z2" t="s">
        <v>291</v>
      </c>
      <c r="AA2" t="s">
        <v>292</v>
      </c>
      <c r="AB2" t="s">
        <v>293</v>
      </c>
      <c r="AC2" t="s">
        <v>294</v>
      </c>
      <c r="AD2" t="s">
        <v>295</v>
      </c>
      <c r="AE2" t="s">
        <v>296</v>
      </c>
      <c r="AF2" t="s">
        <v>297</v>
      </c>
      <c r="AG2" t="s">
        <v>298</v>
      </c>
      <c r="AH2" t="s">
        <v>299</v>
      </c>
      <c r="AI2" t="s">
        <v>300</v>
      </c>
      <c r="AJ2" t="s">
        <v>301</v>
      </c>
      <c r="AK2" t="s">
        <v>302</v>
      </c>
      <c r="AL2" t="s">
        <v>303</v>
      </c>
      <c r="AM2" t="s">
        <v>304</v>
      </c>
      <c r="AN2" t="s">
        <v>305</v>
      </c>
      <c r="AO2" t="s">
        <v>306</v>
      </c>
      <c r="AP2" t="s">
        <v>307</v>
      </c>
      <c r="AQ2" t="s">
        <v>308</v>
      </c>
      <c r="AR2" t="s">
        <v>309</v>
      </c>
      <c r="AS2" t="s">
        <v>310</v>
      </c>
      <c r="AT2" t="s">
        <v>311</v>
      </c>
      <c r="AU2" t="s">
        <v>312</v>
      </c>
      <c r="AV2" t="s">
        <v>313</v>
      </c>
      <c r="AW2" t="s">
        <v>314</v>
      </c>
      <c r="AX2" t="s">
        <v>315</v>
      </c>
      <c r="AY2" t="s">
        <v>316</v>
      </c>
      <c r="AZ2" t="s">
        <v>317</v>
      </c>
      <c r="BA2" t="s">
        <v>318</v>
      </c>
      <c r="BB2" t="s">
        <v>319</v>
      </c>
      <c r="BC2" t="s">
        <v>320</v>
      </c>
      <c r="BD2" t="s">
        <v>321</v>
      </c>
      <c r="BE2" t="s">
        <v>322</v>
      </c>
      <c r="BF2" t="s">
        <v>323</v>
      </c>
      <c r="BG2" t="s">
        <v>324</v>
      </c>
      <c r="BH2" t="s">
        <v>325</v>
      </c>
      <c r="BI2" t="s">
        <v>326</v>
      </c>
      <c r="BJ2" t="s">
        <v>327</v>
      </c>
      <c r="BK2" t="s">
        <v>328</v>
      </c>
      <c r="BL2" t="s">
        <v>329</v>
      </c>
      <c r="BM2" t="s">
        <v>330</v>
      </c>
      <c r="BN2" t="s">
        <v>331</v>
      </c>
      <c r="BO2" t="s">
        <v>332</v>
      </c>
      <c r="BP2" t="s">
        <v>333</v>
      </c>
      <c r="BQ2" t="s">
        <v>334</v>
      </c>
      <c r="BR2" t="s">
        <v>335</v>
      </c>
      <c r="BS2" t="s">
        <v>336</v>
      </c>
      <c r="BT2" t="s">
        <v>337</v>
      </c>
      <c r="BU2" t="s">
        <v>338</v>
      </c>
      <c r="BV2" t="s">
        <v>339</v>
      </c>
      <c r="BW2" t="s">
        <v>340</v>
      </c>
      <c r="BX2" t="s">
        <v>341</v>
      </c>
      <c r="BY2" t="s">
        <v>342</v>
      </c>
      <c r="BZ2" t="s">
        <v>343</v>
      </c>
      <c r="CA2" t="s">
        <v>344</v>
      </c>
      <c r="CB2" t="s">
        <v>345</v>
      </c>
      <c r="CC2" t="s">
        <v>346</v>
      </c>
      <c r="CD2" t="s">
        <v>347</v>
      </c>
      <c r="CE2" t="s">
        <v>348</v>
      </c>
      <c r="CF2" t="s">
        <v>349</v>
      </c>
      <c r="CG2" t="s">
        <v>350</v>
      </c>
      <c r="CH2" t="s">
        <v>351</v>
      </c>
      <c r="CI2" t="s">
        <v>352</v>
      </c>
      <c r="CJ2" t="s">
        <v>353</v>
      </c>
      <c r="CK2" t="s">
        <v>354</v>
      </c>
      <c r="CL2" t="s">
        <v>355</v>
      </c>
      <c r="CM2" t="s">
        <v>356</v>
      </c>
      <c r="CN2" t="s">
        <v>357</v>
      </c>
      <c r="CO2" t="s">
        <v>358</v>
      </c>
      <c r="CP2" t="s">
        <v>359</v>
      </c>
      <c r="CQ2" t="s">
        <v>360</v>
      </c>
      <c r="CR2" t="s">
        <v>361</v>
      </c>
      <c r="CS2" t="s">
        <v>362</v>
      </c>
      <c r="CT2" t="s">
        <v>363</v>
      </c>
      <c r="CU2" t="s">
        <v>364</v>
      </c>
      <c r="CV2" t="s">
        <v>365</v>
      </c>
      <c r="CW2" t="s">
        <v>366</v>
      </c>
      <c r="CX2" t="s">
        <v>367</v>
      </c>
      <c r="CY2" t="s">
        <v>368</v>
      </c>
      <c r="CZ2" t="s">
        <v>369</v>
      </c>
      <c r="DA2" t="s">
        <v>370</v>
      </c>
      <c r="DB2" t="s">
        <v>371</v>
      </c>
      <c r="DC2" t="s">
        <v>372</v>
      </c>
      <c r="DD2" t="s">
        <v>373</v>
      </c>
      <c r="DE2" t="s">
        <v>374</v>
      </c>
      <c r="DF2" t="s">
        <v>375</v>
      </c>
      <c r="DG2" t="s">
        <v>376</v>
      </c>
      <c r="DH2" t="s">
        <v>377</v>
      </c>
      <c r="DI2" t="s">
        <v>378</v>
      </c>
      <c r="DJ2" t="s">
        <v>379</v>
      </c>
      <c r="DK2" t="s">
        <v>380</v>
      </c>
      <c r="DL2" t="s">
        <v>381</v>
      </c>
      <c r="DM2" t="s">
        <v>382</v>
      </c>
      <c r="DN2" t="s">
        <v>383</v>
      </c>
      <c r="DO2" t="s">
        <v>384</v>
      </c>
      <c r="DP2" t="s">
        <v>385</v>
      </c>
      <c r="DQ2" t="s">
        <v>386</v>
      </c>
      <c r="DR2" t="s">
        <v>387</v>
      </c>
      <c r="DS2" t="s">
        <v>388</v>
      </c>
      <c r="DT2" t="s">
        <v>389</v>
      </c>
      <c r="DU2" t="s">
        <v>390</v>
      </c>
      <c r="DV2" t="s">
        <v>391</v>
      </c>
      <c r="DW2" t="s">
        <v>392</v>
      </c>
      <c r="DX2" t="s">
        <v>393</v>
      </c>
      <c r="DY2" t="s">
        <v>394</v>
      </c>
      <c r="DZ2" t="s">
        <v>395</v>
      </c>
      <c r="EA2" t="s">
        <v>396</v>
      </c>
      <c r="EB2" t="s">
        <v>397</v>
      </c>
      <c r="EC2" t="s">
        <v>398</v>
      </c>
      <c r="ED2" t="s">
        <v>399</v>
      </c>
      <c r="EE2" t="s">
        <v>400</v>
      </c>
      <c r="EF2" t="s">
        <v>401</v>
      </c>
      <c r="EG2" t="s">
        <v>402</v>
      </c>
      <c r="EH2" t="s">
        <v>403</v>
      </c>
      <c r="EI2" t="s">
        <v>404</v>
      </c>
      <c r="EJ2" t="s">
        <v>405</v>
      </c>
      <c r="EK2" t="s">
        <v>406</v>
      </c>
      <c r="EL2" t="s">
        <v>407</v>
      </c>
      <c r="EM2" t="s">
        <v>408</v>
      </c>
      <c r="EN2" t="s">
        <v>409</v>
      </c>
      <c r="EO2" t="s">
        <v>410</v>
      </c>
      <c r="EP2" t="s">
        <v>411</v>
      </c>
      <c r="EQ2" t="s">
        <v>412</v>
      </c>
      <c r="ER2" t="s">
        <v>413</v>
      </c>
      <c r="ES2" t="s">
        <v>414</v>
      </c>
      <c r="ET2" t="s">
        <v>415</v>
      </c>
      <c r="EU2" t="s">
        <v>416</v>
      </c>
      <c r="EV2" t="s">
        <v>417</v>
      </c>
      <c r="EW2" t="s">
        <v>418</v>
      </c>
      <c r="EX2" t="s">
        <v>419</v>
      </c>
      <c r="EY2" t="s">
        <v>420</v>
      </c>
      <c r="EZ2" t="s">
        <v>421</v>
      </c>
      <c r="FA2" t="s">
        <v>422</v>
      </c>
      <c r="FB2" t="s">
        <v>423</v>
      </c>
      <c r="FC2" t="s">
        <v>424</v>
      </c>
      <c r="FD2" t="s">
        <v>425</v>
      </c>
      <c r="FE2" t="s">
        <v>426</v>
      </c>
      <c r="FF2" t="s">
        <v>427</v>
      </c>
      <c r="FG2" t="s">
        <v>428</v>
      </c>
      <c r="FH2" t="s">
        <v>429</v>
      </c>
      <c r="FI2" t="s">
        <v>430</v>
      </c>
      <c r="FJ2" t="s">
        <v>431</v>
      </c>
      <c r="FK2" t="s">
        <v>432</v>
      </c>
      <c r="FL2" t="s">
        <v>433</v>
      </c>
      <c r="FM2" t="s">
        <v>434</v>
      </c>
      <c r="FN2" t="s">
        <v>435</v>
      </c>
      <c r="FO2" t="s">
        <v>436</v>
      </c>
      <c r="FP2" t="s">
        <v>437</v>
      </c>
      <c r="FQ2" t="s">
        <v>438</v>
      </c>
      <c r="FR2" t="s">
        <v>439</v>
      </c>
      <c r="FS2" t="s">
        <v>440</v>
      </c>
      <c r="FT2" t="s">
        <v>441</v>
      </c>
      <c r="FU2" t="s">
        <v>442</v>
      </c>
      <c r="FV2" t="s">
        <v>443</v>
      </c>
      <c r="FW2" t="s">
        <v>444</v>
      </c>
      <c r="FX2" t="s">
        <v>445</v>
      </c>
      <c r="FY2" t="s">
        <v>446</v>
      </c>
      <c r="FZ2" t="s">
        <v>447</v>
      </c>
      <c r="GA2" t="s">
        <v>448</v>
      </c>
      <c r="GB2" t="s">
        <v>449</v>
      </c>
      <c r="GC2" t="s">
        <v>450</v>
      </c>
      <c r="GD2" t="s">
        <v>451</v>
      </c>
      <c r="GE2" t="s">
        <v>452</v>
      </c>
      <c r="GF2" t="s">
        <v>453</v>
      </c>
      <c r="GG2" t="s">
        <v>454</v>
      </c>
      <c r="GH2" t="s">
        <v>455</v>
      </c>
      <c r="GI2" t="s">
        <v>456</v>
      </c>
      <c r="GJ2" t="s">
        <v>457</v>
      </c>
      <c r="GK2" t="s">
        <v>458</v>
      </c>
      <c r="GL2" t="s">
        <v>459</v>
      </c>
      <c r="GM2" t="s">
        <v>460</v>
      </c>
      <c r="GN2" t="s">
        <v>461</v>
      </c>
      <c r="GO2" t="s">
        <v>462</v>
      </c>
      <c r="GP2" t="s">
        <v>463</v>
      </c>
      <c r="GQ2" t="s">
        <v>703</v>
      </c>
      <c r="GR2" t="s">
        <v>464</v>
      </c>
      <c r="GS2" t="s">
        <v>465</v>
      </c>
      <c r="GT2" t="s">
        <v>466</v>
      </c>
      <c r="GU2" t="s">
        <v>467</v>
      </c>
      <c r="GV2" t="s">
        <v>468</v>
      </c>
      <c r="GW2" t="s">
        <v>469</v>
      </c>
      <c r="GX2" t="s">
        <v>470</v>
      </c>
      <c r="GY2" t="s">
        <v>471</v>
      </c>
      <c r="GZ2" t="s">
        <v>472</v>
      </c>
      <c r="HA2" t="s">
        <v>473</v>
      </c>
      <c r="HB2" t="s">
        <v>474</v>
      </c>
      <c r="HC2" t="s">
        <v>704</v>
      </c>
      <c r="HD2" t="s">
        <v>705</v>
      </c>
      <c r="HE2" t="s">
        <v>706</v>
      </c>
      <c r="HF2" t="s">
        <v>707</v>
      </c>
      <c r="HG2" t="s">
        <v>708</v>
      </c>
      <c r="HH2" t="s">
        <v>709</v>
      </c>
      <c r="HI2" t="s">
        <v>710</v>
      </c>
      <c r="HJ2" t="s">
        <v>711</v>
      </c>
      <c r="HK2" t="s">
        <v>712</v>
      </c>
      <c r="HL2" t="s">
        <v>713</v>
      </c>
      <c r="HM2" t="s">
        <v>714</v>
      </c>
      <c r="HN2" t="s">
        <v>715</v>
      </c>
      <c r="HO2" t="s">
        <v>716</v>
      </c>
      <c r="HP2" t="s">
        <v>717</v>
      </c>
      <c r="HQ2" t="s">
        <v>718</v>
      </c>
      <c r="HR2" t="s">
        <v>719</v>
      </c>
      <c r="HS2" t="s">
        <v>720</v>
      </c>
      <c r="HT2" t="s">
        <v>721</v>
      </c>
    </row>
    <row r="3" spans="1:228">
      <c r="A3" t="str">
        <f>"'"&amp;A2&amp;"'"&amp;":"&amp;"'"&amp;A1&amp;"'"&amp;","</f>
        <v>'行业1 金融':'jr1',</v>
      </c>
      <c r="B3" t="str">
        <f t="shared" ref="B3:BM3" si="0">"'"&amp;B2&amp;"'"&amp;":"&amp;"'"&amp;B1&amp;"'"&amp;","</f>
        <v>'行业1 公用事业':'gysy1',</v>
      </c>
      <c r="C3" t="str">
        <f t="shared" si="0"/>
        <v>'行业1 可选消费':'kxxf1',</v>
      </c>
      <c r="D3" t="str">
        <f t="shared" si="0"/>
        <v>'行业1 日常消费':'rcxf1',</v>
      </c>
      <c r="E3" t="str">
        <f t="shared" si="0"/>
        <v>'行业1 医疗保健':'ylbj1',</v>
      </c>
      <c r="F3" t="str">
        <f t="shared" si="0"/>
        <v>'行业1 工业':'gy1',</v>
      </c>
      <c r="G3" t="str">
        <f t="shared" si="0"/>
        <v>'行业1 电信服务':'dxfw1',</v>
      </c>
      <c r="H3" t="str">
        <f t="shared" si="0"/>
        <v>'行业1 材料':'cl1',</v>
      </c>
      <c r="I3" t="str">
        <f t="shared" si="0"/>
        <v>'行业1 信息技术':'xxjs1',</v>
      </c>
      <c r="J3" t="str">
        <f t="shared" si="0"/>
        <v>'行业1 能源':'ny1',</v>
      </c>
      <c r="K3" t="str">
        <f t="shared" si="0"/>
        <v>'行业2 银行':'yx2',</v>
      </c>
      <c r="L3" t="str">
        <f t="shared" si="0"/>
        <v>'行业2 多元金融':'dyjr2',</v>
      </c>
      <c r="M3" t="str">
        <f t="shared" si="0"/>
        <v>'行业2 公用事业Ⅱ':'gysye2',</v>
      </c>
      <c r="N3" t="str">
        <f t="shared" si="0"/>
        <v>'行业2 家庭与个人用品':'jtygryp2',</v>
      </c>
      <c r="O3" t="str">
        <f t="shared" si="0"/>
        <v>'行业2 汽车与汽车零部件':'qcyqclbj2',</v>
      </c>
      <c r="P3" t="str">
        <f t="shared" si="0"/>
        <v>'行业2 保险Ⅱ':'bxe2',</v>
      </c>
      <c r="Q3" t="str">
        <f t="shared" si="0"/>
        <v>'行业2 耐用消费品与服装':'nyxfpyfz2',</v>
      </c>
      <c r="R3" t="str">
        <f t="shared" si="0"/>
        <v>'行业2 运输':'ys2',</v>
      </c>
      <c r="S3" t="str">
        <f t="shared" si="0"/>
        <v>'行业2 制药、生物科技与生命科学':'zyjswkjysmkx2',</v>
      </c>
      <c r="T3" t="str">
        <f t="shared" si="0"/>
        <v>'行业2 食品、饮料与烟草':'spjylyyc2',</v>
      </c>
      <c r="U3" t="str">
        <f t="shared" si="0"/>
        <v>'行业2 商业和专业服务':'syhzyfw2',</v>
      </c>
      <c r="V3" t="str">
        <f t="shared" si="0"/>
        <v>'行业2 软件与服务':'rjyfw2',</v>
      </c>
      <c r="W3" t="str">
        <f t="shared" si="0"/>
        <v>'行业2 食品与主要用品零售Ⅱ':'spyzyyplse2',</v>
      </c>
      <c r="X3" t="str">
        <f t="shared" si="0"/>
        <v>'行业2 电信服务Ⅱ':'dxfwe2',</v>
      </c>
      <c r="Y3" t="str">
        <f t="shared" si="0"/>
        <v>'行业2 媒体Ⅱ':'mte2',</v>
      </c>
      <c r="Z3" t="str">
        <f t="shared" si="0"/>
        <v>'行业2 资本货物':'zbhw2',</v>
      </c>
      <c r="AA3" t="str">
        <f t="shared" si="0"/>
        <v>'行业2 材料Ⅱ':'cle2',</v>
      </c>
      <c r="AB3" t="str">
        <f t="shared" si="0"/>
        <v>'行业2 技术硬件与设备':'jsyjysb2',</v>
      </c>
      <c r="AC3" t="str">
        <f t="shared" si="0"/>
        <v>'行业2 消费者服务Ⅱ':'xfzfwe2',</v>
      </c>
      <c r="AD3" t="str">
        <f t="shared" si="0"/>
        <v>'行业2 房地产':'fdc2',</v>
      </c>
      <c r="AE3" t="str">
        <f t="shared" si="0"/>
        <v>'行业2 医疗保健设备与服务':'ylbjsbyfw2',</v>
      </c>
      <c r="AF3" t="str">
        <f t="shared" si="0"/>
        <v>'行业2 能源Ⅱ':'nye2',</v>
      </c>
      <c r="AG3" t="str">
        <f t="shared" si="0"/>
        <v>'行业2 零售业':'lsy2',</v>
      </c>
      <c r="AH3" t="str">
        <f t="shared" si="0"/>
        <v>'行业2 半导体与半导体生产设备':'bdtybdtscsb2',</v>
      </c>
      <c r="AI3" t="str">
        <f t="shared" si="0"/>
        <v>'行业3 商业银行':'syyx3',</v>
      </c>
      <c r="AJ3" t="str">
        <f t="shared" si="0"/>
        <v>'行业3 个人用品Ⅲ':'gryps3',</v>
      </c>
      <c r="AK3" t="str">
        <f t="shared" si="0"/>
        <v>'行业3 资本市场':'zbsc3',</v>
      </c>
      <c r="AL3" t="str">
        <f t="shared" si="0"/>
        <v>'行业3 电力Ⅲ':'dls3',</v>
      </c>
      <c r="AM3" t="str">
        <f t="shared" si="0"/>
        <v>'行业3 汽车':'qc3',</v>
      </c>
      <c r="AN3" t="str">
        <f t="shared" si="0"/>
        <v>'行业3 航空Ⅲ':'hks3',</v>
      </c>
      <c r="AO3" t="str">
        <f t="shared" si="0"/>
        <v>'行业3 家庭耐用消费品':'jtnyxfp3',</v>
      </c>
      <c r="AP3" t="str">
        <f t="shared" si="0"/>
        <v>'行业3 独立电力生产商与能源贸易商Ⅲ':'dldlscsynymyss3',</v>
      </c>
      <c r="AQ3" t="str">
        <f t="shared" si="0"/>
        <v>'行业3 保险Ⅲ':'bxs3',</v>
      </c>
      <c r="AR3" t="str">
        <f t="shared" si="0"/>
        <v>'行业3 公路与铁路运输':'glytlys3',</v>
      </c>
      <c r="AS3" t="str">
        <f t="shared" si="0"/>
        <v>'行业3 饮料':'yl3',</v>
      </c>
      <c r="AT3" t="str">
        <f t="shared" si="0"/>
        <v>'行业3 建筑与工程Ⅲ':'jzygcs3',</v>
      </c>
      <c r="AU3" t="str">
        <f t="shared" si="0"/>
        <v>'行业3 互联网软件与服务Ⅲ':'hlwrjyfws3',</v>
      </c>
      <c r="AV3" t="str">
        <f t="shared" si="0"/>
        <v>'行业3 生物科技Ⅲ':'swkjs3',</v>
      </c>
      <c r="AW3" t="str">
        <f t="shared" si="0"/>
        <v>'行业3 制药':'zy3',</v>
      </c>
      <c r="AX3" t="str">
        <f t="shared" si="0"/>
        <v>'行业3 纺织品、服装与奢侈品':'fzpjfzyscp3',</v>
      </c>
      <c r="AY3" t="str">
        <f t="shared" si="0"/>
        <v>'行业3 交通基础设施':'jtjcss3',</v>
      </c>
      <c r="AZ3" t="str">
        <f t="shared" si="0"/>
        <v>'行业3 电气设备':'dqsb3',</v>
      </c>
      <c r="BA3" t="str">
        <f t="shared" si="0"/>
        <v>'行业3 化工':'hg3',</v>
      </c>
      <c r="BB3" t="str">
        <f t="shared" si="0"/>
        <v>'行业3 食品':'sp3',</v>
      </c>
      <c r="BC3" t="str">
        <f t="shared" si="0"/>
        <v>'行业3 水务Ⅲ':'sws3',</v>
      </c>
      <c r="BD3" t="str">
        <f t="shared" si="0"/>
        <v>'行业3 容器与包装':'rqybz3',</v>
      </c>
      <c r="BE3" t="str">
        <f t="shared" si="0"/>
        <v>'行业3 能源设备与服务':'nysbyfw3',</v>
      </c>
      <c r="BF3" t="str">
        <f t="shared" si="0"/>
        <v>'行业3 建材Ⅲ':'jcs3',</v>
      </c>
      <c r="BG3" t="str">
        <f t="shared" si="0"/>
        <v>'行业3 汽车零配件':'qclpj3',</v>
      </c>
      <c r="BH3" t="str">
        <f t="shared" si="0"/>
        <v>'行业3 商业服务与用品':'syfwyyp3',</v>
      </c>
      <c r="BI3" t="str">
        <f t="shared" si="0"/>
        <v>'行业3 多元电信服务':'dydxfw3',</v>
      </c>
      <c r="BJ3" t="str">
        <f t="shared" si="0"/>
        <v>'行业3 食品与主要用品零售Ⅲ':'spyzyyplss3',</v>
      </c>
      <c r="BK3" t="str">
        <f t="shared" si="0"/>
        <v>'行业3 媒体Ⅲ':'mts3',</v>
      </c>
      <c r="BL3" t="str">
        <f t="shared" si="0"/>
        <v>'行业3 建筑产品Ⅲ':'jzcps3',</v>
      </c>
      <c r="BM3" t="str">
        <f t="shared" si="0"/>
        <v>'行业3 通信设备Ⅲ':'txsbs3',</v>
      </c>
      <c r="BN3" t="str">
        <f t="shared" ref="BN3:DY3" si="1">"'"&amp;BN2&amp;"'"&amp;":"&amp;"'"&amp;BN1&amp;"'"&amp;","</f>
        <v>'行业3 电子设备、仪器和元件':'dzsbjyqhyj3',</v>
      </c>
      <c r="BO3" t="str">
        <f t="shared" si="1"/>
        <v>'行业3 专业服务':'zyfw3',</v>
      </c>
      <c r="BP3" t="str">
        <f t="shared" si="1"/>
        <v>'行业3 酒店、餐馆与休闲Ⅲ':'jdjcgyxxs3',</v>
      </c>
      <c r="BQ3" t="str">
        <f t="shared" si="1"/>
        <v>'行业3 软件':'rj3',</v>
      </c>
      <c r="BR3" t="str">
        <f t="shared" si="1"/>
        <v>'行业3 房地产管理与开发':'fdcglykf3',</v>
      </c>
      <c r="BS3" t="str">
        <f t="shared" si="1"/>
        <v>'行业3 生命科学工具和服务Ⅲ':'smkxgjhfws3',</v>
      </c>
      <c r="BT3" t="str">
        <f t="shared" si="1"/>
        <v>'行业3 航空货运与物流Ⅲ':'hkhyywls3',</v>
      </c>
      <c r="BU3" t="str">
        <f t="shared" si="1"/>
        <v>'行业3 信息技术服务':'xxjsfw3',</v>
      </c>
      <c r="BV3" t="str">
        <f t="shared" si="1"/>
        <v>'行业3 机械':'jx3',</v>
      </c>
      <c r="BW3" t="str">
        <f t="shared" si="1"/>
        <v>'行业3 多元化零售':'dyhls3',</v>
      </c>
      <c r="BX3" t="str">
        <f t="shared" si="1"/>
        <v>'行业3 燃气Ⅲ':'rqs3',</v>
      </c>
      <c r="BY3" t="str">
        <f t="shared" si="1"/>
        <v>'行业3 纸与林木产品':'zylmcp3',</v>
      </c>
      <c r="BZ3" t="str">
        <f t="shared" si="1"/>
        <v>'行业3 海运Ⅲ':'hys3',</v>
      </c>
      <c r="CA3" t="str">
        <f t="shared" si="1"/>
        <v>'行业3 医疗保健设备与用品':'ylbjsbyyp3',</v>
      </c>
      <c r="CB3" t="str">
        <f t="shared" si="1"/>
        <v>'行业3 贸易公司与工业品经销商Ⅲ':'mygsygypjxss3',</v>
      </c>
      <c r="CC3" t="str">
        <f t="shared" si="1"/>
        <v>'行业3 复合型公用事业Ⅲ':'fhxgysys3',</v>
      </c>
      <c r="CD3" t="str">
        <f t="shared" si="1"/>
        <v>'行业3 电脑与外围设备':'dnywwsb3',</v>
      </c>
      <c r="CE3" t="str">
        <f t="shared" si="1"/>
        <v>'行业3 金属、非金属与采矿':'jsjfjsyck3',</v>
      </c>
      <c r="CF3" t="str">
        <f t="shared" si="1"/>
        <v>'行业3 医疗保健提供商与服务':'ylbjtgsyfw3',</v>
      </c>
      <c r="CG3" t="str">
        <f t="shared" si="1"/>
        <v>'行业3 半导体产品与半导体设备':'bdtcpybdtsb3',</v>
      </c>
      <c r="CH3" t="str">
        <f t="shared" si="1"/>
        <v>'行业3 专营零售':'zyls3',</v>
      </c>
      <c r="CI3" t="str">
        <f t="shared" si="1"/>
        <v>'行业3 石油、天然气与供消费用燃料':'syjtrqygxfyrl3',</v>
      </c>
      <c r="CJ3" t="str">
        <f t="shared" si="1"/>
        <v>'行业3 医疗保健技术Ⅲ':'ylbjjss3',</v>
      </c>
      <c r="CK3" t="str">
        <f t="shared" si="1"/>
        <v>'行业3 综合类Ⅲ':'zhls3',</v>
      </c>
      <c r="CL3" t="str">
        <f t="shared" si="1"/>
        <v>'行业3 休闲设备与用品':'xxsbyyp3',</v>
      </c>
      <c r="CM3" t="str">
        <f t="shared" si="1"/>
        <v>'行业3 综合消费者服务Ⅲ':'zhxfzfws3',</v>
      </c>
      <c r="CN3" t="str">
        <f t="shared" si="1"/>
        <v>'行业3 消费品经销商Ⅲ':'xfpjxss3',</v>
      </c>
      <c r="CO3" t="str">
        <f t="shared" si="1"/>
        <v>'行业3 多元金融服务':'dyjrfw3',</v>
      </c>
      <c r="CP3" t="str">
        <f t="shared" si="1"/>
        <v>'行业3 家庭用品Ⅲ':'jtyps3',</v>
      </c>
      <c r="CQ3" t="str">
        <f t="shared" si="1"/>
        <v>'行业3 无线电信业务Ⅲ':'wxdxyws3',</v>
      </c>
      <c r="CR3" t="str">
        <f t="shared" si="1"/>
        <v>'行业3 互联网与售货目录零售':'hlwyshmlls3',</v>
      </c>
      <c r="CS3" t="str">
        <f t="shared" si="1"/>
        <v>'行业3 航空航天与国防Ⅲ':'hkhtygfs3',</v>
      </c>
      <c r="CT3" t="str">
        <f t="shared" si="1"/>
        <v>'行业4 多元化银行':'dyhyx4',</v>
      </c>
      <c r="CU3" t="str">
        <f t="shared" si="1"/>
        <v>'行业4 个人用品':'gryp4',</v>
      </c>
      <c r="CV3" t="str">
        <f t="shared" si="1"/>
        <v>'行业4 家用电器':'jydq4',</v>
      </c>
      <c r="CW3" t="str">
        <f t="shared" si="1"/>
        <v>'行业4 投资银行业与经纪业':'tzyxyyjjy4',</v>
      </c>
      <c r="CX3" t="str">
        <f t="shared" si="1"/>
        <v>'行业4 区域性银行':'qyxyx4',</v>
      </c>
      <c r="CY3" t="str">
        <f t="shared" si="1"/>
        <v>'行业4 电力':'dl4',</v>
      </c>
      <c r="CZ3" t="str">
        <f t="shared" si="1"/>
        <v>'行业4 家庭娱乐软件':'jtylrj4',</v>
      </c>
      <c r="DA3" t="str">
        <f t="shared" si="1"/>
        <v>'行业4 汽车制造':'qczz4',</v>
      </c>
      <c r="DB3" t="str">
        <f t="shared" si="1"/>
        <v>'行业4 媒体Ⅲ':'mts4',</v>
      </c>
      <c r="DC3" t="str">
        <f t="shared" si="1"/>
        <v>'行业4 资产管理与托管银行':'zcglytgyx4',</v>
      </c>
      <c r="DD3" t="str">
        <f t="shared" si="1"/>
        <v>'行业4 铁路运输':'tlys4',</v>
      </c>
      <c r="DE3" t="str">
        <f t="shared" si="1"/>
        <v>'行业4 航空':'hk4',</v>
      </c>
      <c r="DF3" t="str">
        <f t="shared" si="1"/>
        <v>'行业4 新能源发电业者':'xnyfdyz4',</v>
      </c>
      <c r="DG3" t="str">
        <f t="shared" si="1"/>
        <v>'行业4 多元化保险':'dyhbx4',</v>
      </c>
      <c r="DH3" t="str">
        <f t="shared" si="1"/>
        <v>'行业4 白酒与葡萄酒':'bjyptj4',</v>
      </c>
      <c r="DI3" t="str">
        <f t="shared" si="1"/>
        <v>'行业4 石油与天然气的储存和运输':'syytrqdcchys4',</v>
      </c>
      <c r="DJ3" t="str">
        <f t="shared" si="1"/>
        <v>'行业4 公路与铁路':'glytl4',</v>
      </c>
      <c r="DK3" t="str">
        <f t="shared" si="1"/>
        <v>'行业4 机场服务':'jcfw4',</v>
      </c>
      <c r="DL3" t="str">
        <f t="shared" si="1"/>
        <v>'行业4 服装、服饰与奢侈品':'fzjfsyscp4',</v>
      </c>
      <c r="DM3" t="str">
        <f t="shared" si="1"/>
        <v>'行业4 人寿与健康保险':'rsyjkbx4',</v>
      </c>
      <c r="DN3" t="str">
        <f t="shared" si="1"/>
        <v>'行业4 休闲设施':'xxss4',</v>
      </c>
      <c r="DO3" t="str">
        <f t="shared" si="1"/>
        <v>'行业4 软饮料':'ryl4',</v>
      </c>
      <c r="DP3" t="str">
        <f t="shared" si="1"/>
        <v>'行业4 特种化工':'tzhg4',</v>
      </c>
      <c r="DQ3" t="str">
        <f t="shared" si="1"/>
        <v>'行业4 中药':'zy4',</v>
      </c>
      <c r="DR3" t="str">
        <f t="shared" si="1"/>
        <v>'行业4 家庭装饰品':'jtzsp4',</v>
      </c>
      <c r="DS3" t="str">
        <f t="shared" si="1"/>
        <v>'行业4 建筑与工程':'jzygc4',</v>
      </c>
      <c r="DT3" t="str">
        <f t="shared" si="1"/>
        <v>'行业4 重型电气设备':'zxdqsb4',</v>
      </c>
      <c r="DU3" t="str">
        <f t="shared" si="1"/>
        <v>'行业4 多元化工':'dyhg4',</v>
      </c>
      <c r="DV3" t="str">
        <f t="shared" si="1"/>
        <v>'行业4 互联网软件与服务':'hlwrjyfw4',</v>
      </c>
      <c r="DW3" t="str">
        <f t="shared" si="1"/>
        <v>'行业4 生物科技':'swkj4',</v>
      </c>
      <c r="DX3" t="str">
        <f t="shared" si="1"/>
        <v>'行业4 非传统电信运营商':'fctdxyys4',</v>
      </c>
      <c r="DY3" t="str">
        <f t="shared" si="1"/>
        <v>'行业4 金属与玻璃容器':'jsyblrq4',</v>
      </c>
      <c r="DZ3" t="str">
        <f t="shared" ref="DZ3:GK3" si="2">"'"&amp;DZ2&amp;"'"&amp;":"&amp;"'"&amp;DZ1&amp;"'"&amp;","</f>
        <v>'行业4 轮胎与橡胶':'ltyxj4',</v>
      </c>
      <c r="EA3" t="str">
        <f t="shared" si="2"/>
        <v>'行业4 摩托车制造':'mtczz4',</v>
      </c>
      <c r="EB3" t="str">
        <f t="shared" si="2"/>
        <v>'行业4 办公服务与用品':'bgfwyyp4',</v>
      </c>
      <c r="EC3" t="str">
        <f t="shared" si="2"/>
        <v>'行业4 药品零售':'ypls4',</v>
      </c>
      <c r="ED3" t="str">
        <f t="shared" si="2"/>
        <v>'行业4 西药':'xy4',</v>
      </c>
      <c r="EE3" t="str">
        <f t="shared" si="2"/>
        <v>'行业4 消费电子产品':'xfdzcp4',</v>
      </c>
      <c r="EF3" t="str">
        <f t="shared" si="2"/>
        <v>'行业4 医疗保健用品':'ylbjyp4',</v>
      </c>
      <c r="EG3" t="str">
        <f t="shared" si="2"/>
        <v>'行业4 化肥与农用化工':'hfynyhg4',</v>
      </c>
      <c r="EH3" t="str">
        <f t="shared" si="2"/>
        <v>'行业4 保健护理设施':'bjhlss4',</v>
      </c>
      <c r="EI3" t="str">
        <f t="shared" si="2"/>
        <v>'行业4 农产品':'ncp4',</v>
      </c>
      <c r="EJ3" t="str">
        <f t="shared" si="2"/>
        <v>'行业4 出版':'cb4',</v>
      </c>
      <c r="EK3" t="str">
        <f t="shared" si="2"/>
        <v>'行业4 食品加工与肉类':'spjgyrl4',</v>
      </c>
      <c r="EL3" t="str">
        <f t="shared" si="2"/>
        <v>'行业4 水务':'sw4',</v>
      </c>
      <c r="EM3" t="str">
        <f t="shared" si="2"/>
        <v>'行业4 基础化工':'jchg4',</v>
      </c>
      <c r="EN3" t="str">
        <f t="shared" si="2"/>
        <v>'行业4 石油天然气设备与服务':'sytrqsbyfw4',</v>
      </c>
      <c r="EO3" t="str">
        <f t="shared" si="2"/>
        <v>'行业4 建材':'jc4',</v>
      </c>
      <c r="EP3" t="str">
        <f t="shared" si="2"/>
        <v>'行业4 电子元件':'dzyj4',</v>
      </c>
      <c r="EQ3" t="str">
        <f t="shared" si="2"/>
        <v>'行业4 电脑存储与外围设备':'dnccywwsb4',</v>
      </c>
      <c r="ER3" t="str">
        <f t="shared" si="2"/>
        <v>'行业4 钢铁':'gt4',</v>
      </c>
      <c r="ES3" t="str">
        <f t="shared" si="2"/>
        <v>'行业4 电气部件与设备':'dqbjysb4',</v>
      </c>
      <c r="ET3" t="str">
        <f t="shared" si="2"/>
        <v>'行业4 环境与设施服务':'hjyssfw4',</v>
      </c>
      <c r="EU3" t="str">
        <f t="shared" si="2"/>
        <v>'行业4 电影与娱乐':'dyyyl4',</v>
      </c>
      <c r="EV3" t="str">
        <f t="shared" si="2"/>
        <v>'行业4 商业印刷':'syys4',</v>
      </c>
      <c r="EW3" t="str">
        <f t="shared" si="2"/>
        <v>'行业4 机动车零配件与设备':'jdclpjysb4',</v>
      </c>
      <c r="EX3" t="str">
        <f t="shared" si="2"/>
        <v>'行业4 石油与天然气的炼制和销售':'syytrqdlzhxs4',</v>
      </c>
      <c r="EY3" t="str">
        <f t="shared" si="2"/>
        <v>'行业4 建筑产品':'jzcp4',</v>
      </c>
      <c r="EZ3" t="str">
        <f t="shared" si="2"/>
        <v>'行业4 财产与意外伤害保险':'ccyywshbx4',</v>
      </c>
      <c r="FA3" t="str">
        <f t="shared" si="2"/>
        <v>'行业4 通信设备':'txsb4',</v>
      </c>
      <c r="FB3" t="str">
        <f t="shared" si="2"/>
        <v>'行业4 煤炭与消费用燃料':'mtyxfyrl4',</v>
      </c>
      <c r="FC3" t="str">
        <f t="shared" si="2"/>
        <v>'行业4 调查和咨询服务':'dchzxfw4',</v>
      </c>
      <c r="FD3" t="str">
        <f t="shared" si="2"/>
        <v>'行业4 综合电信服务':'zhdxfw4',</v>
      </c>
      <c r="FE3" t="str">
        <f t="shared" si="2"/>
        <v>'行业4 有线和卫星电视':'yxhwxds4',</v>
      </c>
      <c r="FF3" t="str">
        <f t="shared" si="2"/>
        <v>'行业4 纸制品':'zzp4',</v>
      </c>
      <c r="FG3" t="str">
        <f t="shared" si="2"/>
        <v>'行业4 房地产服务':'fdcfw4',</v>
      </c>
      <c r="FH3" t="str">
        <f t="shared" si="2"/>
        <v>'行业4 鞋类':'xl4',</v>
      </c>
      <c r="FI3" t="str">
        <f t="shared" si="2"/>
        <v>'行业4 海港与服务':'hgyfw4',</v>
      </c>
      <c r="FJ3" t="str">
        <f t="shared" si="2"/>
        <v>'行业4 房地产开发':'fdckf4',</v>
      </c>
      <c r="FK3" t="str">
        <f t="shared" si="2"/>
        <v>'行业4 建筑机械与重型卡车':'jzjxyzxkc4',</v>
      </c>
      <c r="FL3" t="str">
        <f t="shared" si="2"/>
        <v>'行业4 生命科学工具和服务':'smkxgjhfw4',</v>
      </c>
      <c r="FM3" t="str">
        <f t="shared" si="2"/>
        <v>'行业4 信息科技咨询与其它服务':'xxkjzxyqtfw4',</v>
      </c>
      <c r="FN3" t="str">
        <f t="shared" si="2"/>
        <v>'行业4 航空货运与物流':'hkhyywl4',</v>
      </c>
      <c r="FO3" t="str">
        <f t="shared" si="2"/>
        <v>'行业4 摄影用品':'syyp4',</v>
      </c>
      <c r="FP3" t="str">
        <f t="shared" si="2"/>
        <v>'行业4 百货商店':'bhsd4',</v>
      </c>
      <c r="FQ3" t="str">
        <f t="shared" si="2"/>
        <v>'行业4 酒店、度假村与豪华游轮':'jdjdjcyhhyl4',</v>
      </c>
      <c r="FR3" t="str">
        <f t="shared" si="2"/>
        <v>'行业4 数据处理与外包服务':'sjclywbfw4',</v>
      </c>
      <c r="FS3" t="str">
        <f t="shared" si="2"/>
        <v>'行业4 铝':'l4',</v>
      </c>
      <c r="FT3" t="str">
        <f t="shared" si="2"/>
        <v>'行业4 工业机械':'gyjx4',</v>
      </c>
      <c r="FU3" t="str">
        <f t="shared" si="2"/>
        <v>'行业4 纺织品':'fzp4',</v>
      </c>
      <c r="FV3" t="str">
        <f t="shared" si="2"/>
        <v>'行业4 燃气':'rq4',</v>
      </c>
      <c r="FW3" t="str">
        <f t="shared" si="2"/>
        <v>'行业4 应用软件':'yyrj4',</v>
      </c>
      <c r="FX3" t="str">
        <f t="shared" si="2"/>
        <v>'行业4 海运':'hy4',</v>
      </c>
      <c r="FY3" t="str">
        <f t="shared" si="2"/>
        <v>'行业4 贸易公司与工业品经销商':'mygsygypjxs4',</v>
      </c>
      <c r="FZ3" t="str">
        <f t="shared" si="2"/>
        <v>'行业4 电子设备和仪器':'dzsbhyq4',</v>
      </c>
      <c r="GA3" t="str">
        <f t="shared" si="2"/>
        <v>'行业4 复合型公用事业':'fhxgysy4',</v>
      </c>
      <c r="GB3" t="str">
        <f t="shared" si="2"/>
        <v>'行业4 医疗保健设备':'ylbjsb4',</v>
      </c>
      <c r="GC3" t="str">
        <f t="shared" si="2"/>
        <v>'行业4 房地产经营公司':'fdcjygs4',</v>
      </c>
      <c r="GD3" t="str">
        <f t="shared" si="2"/>
        <v>'行业4 半导体产品':'bdtcp4',</v>
      </c>
      <c r="GE3" t="str">
        <f t="shared" si="2"/>
        <v>'行业4 化纤':'hx4',</v>
      </c>
      <c r="GF3" t="str">
        <f t="shared" si="2"/>
        <v>'行业4 电子制造服务':'dzzzfw4',</v>
      </c>
      <c r="GG3" t="str">
        <f t="shared" si="2"/>
        <v>'行业4 汽车零售':'qcls4',</v>
      </c>
      <c r="GH3" t="str">
        <f t="shared" si="2"/>
        <v>'行业4 多领域控股':'dlykg4',</v>
      </c>
      <c r="GI3" t="str">
        <f t="shared" si="2"/>
        <v>'行业4 住宅建筑':'zzjz4',</v>
      </c>
      <c r="GJ3" t="str">
        <f t="shared" si="2"/>
        <v>'行业4 家用器具与特殊消费品':'jyqjytsxfp4',</v>
      </c>
      <c r="GK3" t="str">
        <f t="shared" si="2"/>
        <v>'行业4 电脑与电子产品零售':'dnydzcpls4',</v>
      </c>
      <c r="GL3" t="str">
        <f t="shared" ref="GL3:HT3" si="3">"'"&amp;GL2&amp;"'"&amp;":"&amp;"'"&amp;GL1&amp;"'"&amp;","</f>
        <v>'行业4 农用农业机械':'nynyjx4',</v>
      </c>
      <c r="GM3" t="str">
        <f t="shared" si="3"/>
        <v>'行业4 纸包装':'zbz4',</v>
      </c>
      <c r="GN3" t="str">
        <f t="shared" si="3"/>
        <v>'行业4 医疗保健技术':'ylbjjs4',</v>
      </c>
      <c r="GO3" t="str">
        <f t="shared" si="3"/>
        <v>'行业4 综合类行业':'zhlxy4',</v>
      </c>
      <c r="GP3" t="str">
        <f t="shared" si="3"/>
        <v>'行业4 教育服务':'jyfw4',</v>
      </c>
      <c r="GQ3" t="str">
        <f t="shared" si="3"/>
        <v>'行业4 大卖场与超市':'dmcycs4',</v>
      </c>
      <c r="GR3" t="str">
        <f t="shared" si="3"/>
        <v>'行业4 消费品经销商':'xfpjxs4',</v>
      </c>
      <c r="GS3" t="str">
        <f t="shared" si="3"/>
        <v>'行业4 综合支持服务':'zhzcfw4',</v>
      </c>
      <c r="GT3" t="str">
        <f t="shared" si="3"/>
        <v>'行业4 休闲用品':'xxyp4',</v>
      </c>
      <c r="GU3" t="str">
        <f t="shared" si="3"/>
        <v>'行业4 林木产品':'lmcp4',</v>
      </c>
      <c r="GV3" t="str">
        <f t="shared" si="3"/>
        <v>'行业4 电脑硬件':'dnyj4',</v>
      </c>
      <c r="GW3" t="str">
        <f t="shared" si="3"/>
        <v>'行业4 综合性石油天然气':'zhxsytrq4',</v>
      </c>
      <c r="GX3" t="str">
        <f t="shared" si="3"/>
        <v>'行业4 黄金':'hj4',</v>
      </c>
      <c r="GY3" t="str">
        <f t="shared" si="3"/>
        <v>'行业4 啤酒':'pj4',</v>
      </c>
      <c r="GZ3" t="str">
        <f t="shared" si="3"/>
        <v>'行业4 广告':'gg4',</v>
      </c>
      <c r="HA3" t="str">
        <f t="shared" si="3"/>
        <v>'行业4 家庭用品':'jtyp4',</v>
      </c>
      <c r="HB3" t="str">
        <f t="shared" si="3"/>
        <v>'行业4 金属非金属':'jsfjs4',</v>
      </c>
      <c r="HC3" t="str">
        <f t="shared" si="3"/>
        <v>'行业4 无线电信业务':'wxdxyw4',</v>
      </c>
      <c r="HD3" t="str">
        <f t="shared" si="3"/>
        <v>'行业4 白银':'by4',</v>
      </c>
      <c r="HE3" t="str">
        <f t="shared" si="3"/>
        <v>'行业4 半导体设备':'bdtsb4',</v>
      </c>
      <c r="HF3" t="str">
        <f t="shared" si="3"/>
        <v>'行业4 贵金属与矿石':'gjsyks4',</v>
      </c>
      <c r="HG3" t="str">
        <f t="shared" si="3"/>
        <v>'行业4 食品分销商':'spfxs4',</v>
      </c>
      <c r="HH3" t="str">
        <f t="shared" si="3"/>
        <v>'行业4 互联网零售':'hlwls4',</v>
      </c>
      <c r="HI3" t="str">
        <f t="shared" si="3"/>
        <v>'行业4 公路运输':'glys4',</v>
      </c>
      <c r="HJ3" t="str">
        <f t="shared" si="3"/>
        <v>'行业4 石油天然气勘探与生产':'sytrqktysc4',</v>
      </c>
      <c r="HK3" t="str">
        <f t="shared" si="3"/>
        <v>'行业4 保健护理服务':'bjhlfw4',</v>
      </c>
      <c r="HL3" t="str">
        <f t="shared" si="3"/>
        <v>'行业4 技术产品经销商':'jscpjxs4',</v>
      </c>
      <c r="HM3" t="str">
        <f t="shared" si="3"/>
        <v>'行业4 餐馆':'cg4',</v>
      </c>
      <c r="HN3" t="str">
        <f t="shared" si="3"/>
        <v>'行业4 航天航空与国防':'hthkygf4',</v>
      </c>
      <c r="HO3" t="str">
        <f t="shared" si="3"/>
        <v>'行业4 综合货品商店':'zhhpsd4',</v>
      </c>
      <c r="HP3" t="str">
        <f t="shared" si="3"/>
        <v>'行业4 工业气体':'gyqt4',</v>
      </c>
      <c r="HQ3" t="str">
        <f t="shared" si="3"/>
        <v>'行业4 独立电力生产商与能源贸易商':'dldlscsynymys4',</v>
      </c>
      <c r="HR3" t="str">
        <f t="shared" si="3"/>
        <v>'行业4 售货目录零售':'shmlls4',</v>
      </c>
      <c r="HS3" t="str">
        <f t="shared" si="3"/>
        <v>'行业4 其他多元金融服务':'qtdyjrfw4',</v>
      </c>
      <c r="HT3" t="str">
        <f t="shared" si="3"/>
        <v>'行业4 专卖店':'zmd4',</v>
      </c>
    </row>
    <row r="4" spans="1:228">
      <c r="A4" t="str">
        <f>"'"&amp;A1&amp;"'"&amp;","</f>
        <v>'jr1',</v>
      </c>
      <c r="B4" t="str">
        <f t="shared" ref="B4:P4" si="4">"'"&amp;B1&amp;"'"&amp;","</f>
        <v>'gysy1',</v>
      </c>
      <c r="C4" t="str">
        <f t="shared" si="4"/>
        <v>'kxxf1',</v>
      </c>
      <c r="D4" t="str">
        <f t="shared" si="4"/>
        <v>'rcxf1',</v>
      </c>
      <c r="E4" t="str">
        <f t="shared" si="4"/>
        <v>'ylbj1',</v>
      </c>
      <c r="F4" t="str">
        <f t="shared" si="4"/>
        <v>'gy1',</v>
      </c>
      <c r="G4" t="str">
        <f t="shared" si="4"/>
        <v>'dxfw1',</v>
      </c>
      <c r="H4" t="str">
        <f t="shared" si="4"/>
        <v>'cl1',</v>
      </c>
      <c r="I4" t="str">
        <f t="shared" si="4"/>
        <v>'xxjs1',</v>
      </c>
      <c r="J4" t="str">
        <f t="shared" si="4"/>
        <v>'ny1',</v>
      </c>
      <c r="K4" t="str">
        <f t="shared" si="4"/>
        <v>'yx2',</v>
      </c>
      <c r="L4" t="str">
        <f t="shared" si="4"/>
        <v>'dyjr2',</v>
      </c>
      <c r="M4" t="str">
        <f t="shared" si="4"/>
        <v>'gysye2',</v>
      </c>
      <c r="N4" t="str">
        <f t="shared" si="4"/>
        <v>'jtygryp2',</v>
      </c>
      <c r="O4" t="str">
        <f t="shared" si="4"/>
        <v>'qcyqclbj2',</v>
      </c>
      <c r="P4" t="str">
        <f t="shared" si="4"/>
        <v>'bxe2',</v>
      </c>
      <c r="Q4" t="str">
        <f t="shared" ref="Q4:CB4" si="5">"'"&amp;Q1&amp;"'"&amp;","</f>
        <v>'nyxfpyfz2',</v>
      </c>
      <c r="R4" t="str">
        <f t="shared" si="5"/>
        <v>'ys2',</v>
      </c>
      <c r="S4" t="str">
        <f t="shared" si="5"/>
        <v>'zyjswkjysmkx2',</v>
      </c>
      <c r="T4" t="str">
        <f t="shared" si="5"/>
        <v>'spjylyyc2',</v>
      </c>
      <c r="U4" t="str">
        <f t="shared" si="5"/>
        <v>'syhzyfw2',</v>
      </c>
      <c r="V4" t="str">
        <f t="shared" si="5"/>
        <v>'rjyfw2',</v>
      </c>
      <c r="W4" t="str">
        <f t="shared" si="5"/>
        <v>'spyzyyplse2',</v>
      </c>
      <c r="X4" t="str">
        <f t="shared" si="5"/>
        <v>'dxfwe2',</v>
      </c>
      <c r="Y4" t="str">
        <f t="shared" si="5"/>
        <v>'mte2',</v>
      </c>
      <c r="Z4" t="str">
        <f t="shared" si="5"/>
        <v>'zbhw2',</v>
      </c>
      <c r="AA4" t="str">
        <f t="shared" si="5"/>
        <v>'cle2',</v>
      </c>
      <c r="AB4" t="str">
        <f t="shared" si="5"/>
        <v>'jsyjysb2',</v>
      </c>
      <c r="AC4" t="str">
        <f t="shared" si="5"/>
        <v>'xfzfwe2',</v>
      </c>
      <c r="AD4" t="str">
        <f t="shared" si="5"/>
        <v>'fdc2',</v>
      </c>
      <c r="AE4" t="str">
        <f t="shared" si="5"/>
        <v>'ylbjsbyfw2',</v>
      </c>
      <c r="AF4" t="str">
        <f t="shared" si="5"/>
        <v>'nye2',</v>
      </c>
      <c r="AG4" t="str">
        <f t="shared" si="5"/>
        <v>'lsy2',</v>
      </c>
      <c r="AH4" t="str">
        <f t="shared" si="5"/>
        <v>'bdtybdtscsb2',</v>
      </c>
      <c r="AI4" t="str">
        <f t="shared" si="5"/>
        <v>'syyx3',</v>
      </c>
      <c r="AJ4" t="str">
        <f t="shared" si="5"/>
        <v>'gryps3',</v>
      </c>
      <c r="AK4" t="str">
        <f t="shared" si="5"/>
        <v>'zbsc3',</v>
      </c>
      <c r="AL4" t="str">
        <f t="shared" si="5"/>
        <v>'dls3',</v>
      </c>
      <c r="AM4" t="str">
        <f t="shared" si="5"/>
        <v>'qc3',</v>
      </c>
      <c r="AN4" t="str">
        <f t="shared" si="5"/>
        <v>'hks3',</v>
      </c>
      <c r="AO4" t="str">
        <f t="shared" si="5"/>
        <v>'jtnyxfp3',</v>
      </c>
      <c r="AP4" t="str">
        <f t="shared" si="5"/>
        <v>'dldlscsynymyss3',</v>
      </c>
      <c r="AQ4" t="str">
        <f t="shared" si="5"/>
        <v>'bxs3',</v>
      </c>
      <c r="AR4" t="str">
        <f t="shared" si="5"/>
        <v>'glytlys3',</v>
      </c>
      <c r="AS4" t="str">
        <f t="shared" si="5"/>
        <v>'yl3',</v>
      </c>
      <c r="AT4" t="str">
        <f t="shared" si="5"/>
        <v>'jzygcs3',</v>
      </c>
      <c r="AU4" t="str">
        <f t="shared" si="5"/>
        <v>'hlwrjyfws3',</v>
      </c>
      <c r="AV4" t="str">
        <f t="shared" si="5"/>
        <v>'swkjs3',</v>
      </c>
      <c r="AW4" t="str">
        <f t="shared" si="5"/>
        <v>'zy3',</v>
      </c>
      <c r="AX4" t="str">
        <f t="shared" si="5"/>
        <v>'fzpjfzyscp3',</v>
      </c>
      <c r="AY4" t="str">
        <f t="shared" si="5"/>
        <v>'jtjcss3',</v>
      </c>
      <c r="AZ4" t="str">
        <f t="shared" si="5"/>
        <v>'dqsb3',</v>
      </c>
      <c r="BA4" t="str">
        <f t="shared" si="5"/>
        <v>'hg3',</v>
      </c>
      <c r="BB4" t="str">
        <f t="shared" si="5"/>
        <v>'sp3',</v>
      </c>
      <c r="BC4" t="str">
        <f t="shared" si="5"/>
        <v>'sws3',</v>
      </c>
      <c r="BD4" t="str">
        <f t="shared" si="5"/>
        <v>'rqybz3',</v>
      </c>
      <c r="BE4" t="str">
        <f t="shared" si="5"/>
        <v>'nysbyfw3',</v>
      </c>
      <c r="BF4" t="str">
        <f t="shared" si="5"/>
        <v>'jcs3',</v>
      </c>
      <c r="BG4" t="str">
        <f t="shared" si="5"/>
        <v>'qclpj3',</v>
      </c>
      <c r="BH4" t="str">
        <f t="shared" si="5"/>
        <v>'syfwyyp3',</v>
      </c>
      <c r="BI4" t="str">
        <f t="shared" si="5"/>
        <v>'dydxfw3',</v>
      </c>
      <c r="BJ4" t="str">
        <f t="shared" si="5"/>
        <v>'spyzyyplss3',</v>
      </c>
      <c r="BK4" t="str">
        <f t="shared" si="5"/>
        <v>'mts3',</v>
      </c>
      <c r="BL4" t="str">
        <f t="shared" si="5"/>
        <v>'jzcps3',</v>
      </c>
      <c r="BM4" t="str">
        <f t="shared" si="5"/>
        <v>'txsbs3',</v>
      </c>
      <c r="BN4" t="str">
        <f t="shared" si="5"/>
        <v>'dzsbjyqhyj3',</v>
      </c>
      <c r="BO4" t="str">
        <f t="shared" si="5"/>
        <v>'zyfw3',</v>
      </c>
      <c r="BP4" t="str">
        <f t="shared" si="5"/>
        <v>'jdjcgyxxs3',</v>
      </c>
      <c r="BQ4" t="str">
        <f t="shared" si="5"/>
        <v>'rj3',</v>
      </c>
      <c r="BR4" t="str">
        <f t="shared" si="5"/>
        <v>'fdcglykf3',</v>
      </c>
      <c r="BS4" t="str">
        <f t="shared" si="5"/>
        <v>'smkxgjhfws3',</v>
      </c>
      <c r="BT4" t="str">
        <f t="shared" si="5"/>
        <v>'hkhyywls3',</v>
      </c>
      <c r="BU4" t="str">
        <f t="shared" si="5"/>
        <v>'xxjsfw3',</v>
      </c>
      <c r="BV4" t="str">
        <f t="shared" si="5"/>
        <v>'jx3',</v>
      </c>
      <c r="BW4" t="str">
        <f t="shared" si="5"/>
        <v>'dyhls3',</v>
      </c>
      <c r="BX4" t="str">
        <f t="shared" si="5"/>
        <v>'rqs3',</v>
      </c>
      <c r="BY4" t="str">
        <f t="shared" si="5"/>
        <v>'zylmcp3',</v>
      </c>
      <c r="BZ4" t="str">
        <f t="shared" si="5"/>
        <v>'hys3',</v>
      </c>
      <c r="CA4" t="str">
        <f t="shared" si="5"/>
        <v>'ylbjsbyyp3',</v>
      </c>
      <c r="CB4" t="str">
        <f t="shared" si="5"/>
        <v>'mygsygypjxss3',</v>
      </c>
      <c r="CC4" t="str">
        <f t="shared" ref="CC4:EN4" si="6">"'"&amp;CC1&amp;"'"&amp;","</f>
        <v>'fhxgysys3',</v>
      </c>
      <c r="CD4" t="str">
        <f t="shared" si="6"/>
        <v>'dnywwsb3',</v>
      </c>
      <c r="CE4" t="str">
        <f t="shared" si="6"/>
        <v>'jsjfjsyck3',</v>
      </c>
      <c r="CF4" t="str">
        <f t="shared" si="6"/>
        <v>'ylbjtgsyfw3',</v>
      </c>
      <c r="CG4" t="str">
        <f t="shared" si="6"/>
        <v>'bdtcpybdtsb3',</v>
      </c>
      <c r="CH4" t="str">
        <f t="shared" si="6"/>
        <v>'zyls3',</v>
      </c>
      <c r="CI4" t="str">
        <f t="shared" si="6"/>
        <v>'syjtrqygxfyrl3',</v>
      </c>
      <c r="CJ4" t="str">
        <f t="shared" si="6"/>
        <v>'ylbjjss3',</v>
      </c>
      <c r="CK4" t="str">
        <f t="shared" si="6"/>
        <v>'zhls3',</v>
      </c>
      <c r="CL4" t="str">
        <f t="shared" si="6"/>
        <v>'xxsbyyp3',</v>
      </c>
      <c r="CM4" t="str">
        <f t="shared" si="6"/>
        <v>'zhxfzfws3',</v>
      </c>
      <c r="CN4" t="str">
        <f t="shared" si="6"/>
        <v>'xfpjxss3',</v>
      </c>
      <c r="CO4" t="str">
        <f t="shared" si="6"/>
        <v>'dyjrfw3',</v>
      </c>
      <c r="CP4" t="str">
        <f t="shared" si="6"/>
        <v>'jtyps3',</v>
      </c>
      <c r="CQ4" t="str">
        <f t="shared" si="6"/>
        <v>'wxdxyws3',</v>
      </c>
      <c r="CR4" t="str">
        <f t="shared" si="6"/>
        <v>'hlwyshmlls3',</v>
      </c>
      <c r="CS4" t="str">
        <f t="shared" si="6"/>
        <v>'hkhtygfs3',</v>
      </c>
      <c r="CT4" t="str">
        <f t="shared" si="6"/>
        <v>'dyhyx4',</v>
      </c>
      <c r="CU4" t="str">
        <f t="shared" si="6"/>
        <v>'gryp4',</v>
      </c>
      <c r="CV4" t="str">
        <f t="shared" si="6"/>
        <v>'jydq4',</v>
      </c>
      <c r="CW4" t="str">
        <f t="shared" si="6"/>
        <v>'tzyxyyjjy4',</v>
      </c>
      <c r="CX4" t="str">
        <f t="shared" si="6"/>
        <v>'qyxyx4',</v>
      </c>
      <c r="CY4" t="str">
        <f t="shared" si="6"/>
        <v>'dl4',</v>
      </c>
      <c r="CZ4" t="str">
        <f t="shared" si="6"/>
        <v>'jtylrj4',</v>
      </c>
      <c r="DA4" t="str">
        <f t="shared" si="6"/>
        <v>'qczz4',</v>
      </c>
      <c r="DB4" t="str">
        <f t="shared" si="6"/>
        <v>'mts4',</v>
      </c>
      <c r="DC4" t="str">
        <f t="shared" si="6"/>
        <v>'zcglytgyx4',</v>
      </c>
      <c r="DD4" t="str">
        <f t="shared" si="6"/>
        <v>'tlys4',</v>
      </c>
      <c r="DE4" t="str">
        <f t="shared" si="6"/>
        <v>'hk4',</v>
      </c>
      <c r="DF4" t="str">
        <f t="shared" si="6"/>
        <v>'xnyfdyz4',</v>
      </c>
      <c r="DG4" t="str">
        <f t="shared" si="6"/>
        <v>'dyhbx4',</v>
      </c>
      <c r="DH4" t="str">
        <f t="shared" si="6"/>
        <v>'bjyptj4',</v>
      </c>
      <c r="DI4" t="str">
        <f t="shared" si="6"/>
        <v>'syytrqdcchys4',</v>
      </c>
      <c r="DJ4" t="str">
        <f t="shared" si="6"/>
        <v>'glytl4',</v>
      </c>
      <c r="DK4" t="str">
        <f t="shared" si="6"/>
        <v>'jcfw4',</v>
      </c>
      <c r="DL4" t="str">
        <f t="shared" si="6"/>
        <v>'fzjfsyscp4',</v>
      </c>
      <c r="DM4" t="str">
        <f t="shared" si="6"/>
        <v>'rsyjkbx4',</v>
      </c>
      <c r="DN4" t="str">
        <f t="shared" si="6"/>
        <v>'xxss4',</v>
      </c>
      <c r="DO4" t="str">
        <f t="shared" si="6"/>
        <v>'ryl4',</v>
      </c>
      <c r="DP4" t="str">
        <f t="shared" si="6"/>
        <v>'tzhg4',</v>
      </c>
      <c r="DQ4" t="str">
        <f t="shared" si="6"/>
        <v>'zy4',</v>
      </c>
      <c r="DR4" t="str">
        <f t="shared" si="6"/>
        <v>'jtzsp4',</v>
      </c>
      <c r="DS4" t="str">
        <f t="shared" si="6"/>
        <v>'jzygc4',</v>
      </c>
      <c r="DT4" t="str">
        <f t="shared" si="6"/>
        <v>'zxdqsb4',</v>
      </c>
      <c r="DU4" t="str">
        <f t="shared" si="6"/>
        <v>'dyhg4',</v>
      </c>
      <c r="DV4" t="str">
        <f t="shared" si="6"/>
        <v>'hlwrjyfw4',</v>
      </c>
      <c r="DW4" t="str">
        <f t="shared" si="6"/>
        <v>'swkj4',</v>
      </c>
      <c r="DX4" t="str">
        <f t="shared" si="6"/>
        <v>'fctdxyys4',</v>
      </c>
      <c r="DY4" t="str">
        <f t="shared" si="6"/>
        <v>'jsyblrq4',</v>
      </c>
      <c r="DZ4" t="str">
        <f t="shared" si="6"/>
        <v>'ltyxj4',</v>
      </c>
      <c r="EA4" t="str">
        <f t="shared" si="6"/>
        <v>'mtczz4',</v>
      </c>
      <c r="EB4" t="str">
        <f t="shared" si="6"/>
        <v>'bgfwyyp4',</v>
      </c>
      <c r="EC4" t="str">
        <f t="shared" si="6"/>
        <v>'ypls4',</v>
      </c>
      <c r="ED4" t="str">
        <f t="shared" si="6"/>
        <v>'xy4',</v>
      </c>
      <c r="EE4" t="str">
        <f t="shared" si="6"/>
        <v>'xfdzcp4',</v>
      </c>
      <c r="EF4" t="str">
        <f t="shared" si="6"/>
        <v>'ylbjyp4',</v>
      </c>
      <c r="EG4" t="str">
        <f t="shared" si="6"/>
        <v>'hfynyhg4',</v>
      </c>
      <c r="EH4" t="str">
        <f t="shared" si="6"/>
        <v>'bjhlss4',</v>
      </c>
      <c r="EI4" t="str">
        <f t="shared" si="6"/>
        <v>'ncp4',</v>
      </c>
      <c r="EJ4" t="str">
        <f t="shared" si="6"/>
        <v>'cb4',</v>
      </c>
      <c r="EK4" t="str">
        <f t="shared" si="6"/>
        <v>'spjgyrl4',</v>
      </c>
      <c r="EL4" t="str">
        <f t="shared" si="6"/>
        <v>'sw4',</v>
      </c>
      <c r="EM4" t="str">
        <f t="shared" si="6"/>
        <v>'jchg4',</v>
      </c>
      <c r="EN4" t="str">
        <f t="shared" si="6"/>
        <v>'sytrqsbyfw4',</v>
      </c>
      <c r="EO4" t="str">
        <f t="shared" ref="EO4:GZ4" si="7">"'"&amp;EO1&amp;"'"&amp;","</f>
        <v>'jc4',</v>
      </c>
      <c r="EP4" t="str">
        <f t="shared" si="7"/>
        <v>'dzyj4',</v>
      </c>
      <c r="EQ4" t="str">
        <f t="shared" si="7"/>
        <v>'dnccywwsb4',</v>
      </c>
      <c r="ER4" t="str">
        <f t="shared" si="7"/>
        <v>'gt4',</v>
      </c>
      <c r="ES4" t="str">
        <f t="shared" si="7"/>
        <v>'dqbjysb4',</v>
      </c>
      <c r="ET4" t="str">
        <f t="shared" si="7"/>
        <v>'hjyssfw4',</v>
      </c>
      <c r="EU4" t="str">
        <f t="shared" si="7"/>
        <v>'dyyyl4',</v>
      </c>
      <c r="EV4" t="str">
        <f t="shared" si="7"/>
        <v>'syys4',</v>
      </c>
      <c r="EW4" t="str">
        <f t="shared" si="7"/>
        <v>'jdclpjysb4',</v>
      </c>
      <c r="EX4" t="str">
        <f t="shared" si="7"/>
        <v>'syytrqdlzhxs4',</v>
      </c>
      <c r="EY4" t="str">
        <f t="shared" si="7"/>
        <v>'jzcp4',</v>
      </c>
      <c r="EZ4" t="str">
        <f t="shared" si="7"/>
        <v>'ccyywshbx4',</v>
      </c>
      <c r="FA4" t="str">
        <f t="shared" si="7"/>
        <v>'txsb4',</v>
      </c>
      <c r="FB4" t="str">
        <f t="shared" si="7"/>
        <v>'mtyxfyrl4',</v>
      </c>
      <c r="FC4" t="str">
        <f t="shared" si="7"/>
        <v>'dchzxfw4',</v>
      </c>
      <c r="FD4" t="str">
        <f t="shared" si="7"/>
        <v>'zhdxfw4',</v>
      </c>
      <c r="FE4" t="str">
        <f t="shared" si="7"/>
        <v>'yxhwxds4',</v>
      </c>
      <c r="FF4" t="str">
        <f t="shared" si="7"/>
        <v>'zzp4',</v>
      </c>
      <c r="FG4" t="str">
        <f t="shared" si="7"/>
        <v>'fdcfw4',</v>
      </c>
      <c r="FH4" t="str">
        <f t="shared" si="7"/>
        <v>'xl4',</v>
      </c>
      <c r="FI4" t="str">
        <f t="shared" si="7"/>
        <v>'hgyfw4',</v>
      </c>
      <c r="FJ4" t="str">
        <f t="shared" si="7"/>
        <v>'fdckf4',</v>
      </c>
      <c r="FK4" t="str">
        <f t="shared" si="7"/>
        <v>'jzjxyzxkc4',</v>
      </c>
      <c r="FL4" t="str">
        <f t="shared" si="7"/>
        <v>'smkxgjhfw4',</v>
      </c>
      <c r="FM4" t="str">
        <f t="shared" si="7"/>
        <v>'xxkjzxyqtfw4',</v>
      </c>
      <c r="FN4" t="str">
        <f t="shared" si="7"/>
        <v>'hkhyywl4',</v>
      </c>
      <c r="FO4" t="str">
        <f t="shared" si="7"/>
        <v>'syyp4',</v>
      </c>
      <c r="FP4" t="str">
        <f t="shared" si="7"/>
        <v>'bhsd4',</v>
      </c>
      <c r="FQ4" t="str">
        <f t="shared" si="7"/>
        <v>'jdjdjcyhhyl4',</v>
      </c>
      <c r="FR4" t="str">
        <f t="shared" si="7"/>
        <v>'sjclywbfw4',</v>
      </c>
      <c r="FS4" t="str">
        <f t="shared" si="7"/>
        <v>'l4',</v>
      </c>
      <c r="FT4" t="str">
        <f t="shared" si="7"/>
        <v>'gyjx4',</v>
      </c>
      <c r="FU4" t="str">
        <f t="shared" si="7"/>
        <v>'fzp4',</v>
      </c>
      <c r="FV4" t="str">
        <f t="shared" si="7"/>
        <v>'rq4',</v>
      </c>
      <c r="FW4" t="str">
        <f t="shared" si="7"/>
        <v>'yyrj4',</v>
      </c>
      <c r="FX4" t="str">
        <f t="shared" si="7"/>
        <v>'hy4',</v>
      </c>
      <c r="FY4" t="str">
        <f t="shared" si="7"/>
        <v>'mygsygypjxs4',</v>
      </c>
      <c r="FZ4" t="str">
        <f t="shared" si="7"/>
        <v>'dzsbhyq4',</v>
      </c>
      <c r="GA4" t="str">
        <f t="shared" si="7"/>
        <v>'fhxgysy4',</v>
      </c>
      <c r="GB4" t="str">
        <f t="shared" si="7"/>
        <v>'ylbjsb4',</v>
      </c>
      <c r="GC4" t="str">
        <f t="shared" si="7"/>
        <v>'fdcjygs4',</v>
      </c>
      <c r="GD4" t="str">
        <f t="shared" si="7"/>
        <v>'bdtcp4',</v>
      </c>
      <c r="GE4" t="str">
        <f t="shared" si="7"/>
        <v>'hx4',</v>
      </c>
      <c r="GF4" t="str">
        <f t="shared" si="7"/>
        <v>'dzzzfw4',</v>
      </c>
      <c r="GG4" t="str">
        <f t="shared" si="7"/>
        <v>'qcls4',</v>
      </c>
      <c r="GH4" t="str">
        <f t="shared" si="7"/>
        <v>'dlykg4',</v>
      </c>
      <c r="GI4" t="str">
        <f t="shared" si="7"/>
        <v>'zzjz4',</v>
      </c>
      <c r="GJ4" t="str">
        <f t="shared" si="7"/>
        <v>'jyqjytsxfp4',</v>
      </c>
      <c r="GK4" t="str">
        <f t="shared" si="7"/>
        <v>'dnydzcpls4',</v>
      </c>
      <c r="GL4" t="str">
        <f t="shared" si="7"/>
        <v>'nynyjx4',</v>
      </c>
      <c r="GM4" t="str">
        <f t="shared" si="7"/>
        <v>'zbz4',</v>
      </c>
      <c r="GN4" t="str">
        <f t="shared" si="7"/>
        <v>'ylbjjs4',</v>
      </c>
      <c r="GO4" t="str">
        <f t="shared" si="7"/>
        <v>'zhlxy4',</v>
      </c>
      <c r="GP4" t="str">
        <f t="shared" si="7"/>
        <v>'jyfw4',</v>
      </c>
      <c r="GQ4" t="str">
        <f t="shared" si="7"/>
        <v>'dmcycs4',</v>
      </c>
      <c r="GR4" t="str">
        <f t="shared" si="7"/>
        <v>'xfpjxs4',</v>
      </c>
      <c r="GS4" t="str">
        <f t="shared" si="7"/>
        <v>'zhzcfw4',</v>
      </c>
      <c r="GT4" t="str">
        <f t="shared" si="7"/>
        <v>'xxyp4',</v>
      </c>
      <c r="GU4" t="str">
        <f t="shared" si="7"/>
        <v>'lmcp4',</v>
      </c>
      <c r="GV4" t="str">
        <f t="shared" si="7"/>
        <v>'dnyj4',</v>
      </c>
      <c r="GW4" t="str">
        <f t="shared" si="7"/>
        <v>'zhxsytrq4',</v>
      </c>
      <c r="GX4" t="str">
        <f t="shared" si="7"/>
        <v>'hj4',</v>
      </c>
      <c r="GY4" t="str">
        <f t="shared" si="7"/>
        <v>'pj4',</v>
      </c>
      <c r="GZ4" t="str">
        <f t="shared" si="7"/>
        <v>'gg4',</v>
      </c>
      <c r="HA4" t="str">
        <f t="shared" ref="HA4:HT4" si="8">"'"&amp;HA1&amp;"'"&amp;","</f>
        <v>'jtyp4',</v>
      </c>
      <c r="HB4" t="str">
        <f t="shared" si="8"/>
        <v>'jsfjs4',</v>
      </c>
      <c r="HC4" t="str">
        <f t="shared" si="8"/>
        <v>'wxdxyw4',</v>
      </c>
      <c r="HD4" t="str">
        <f t="shared" si="8"/>
        <v>'by4',</v>
      </c>
      <c r="HE4" t="str">
        <f t="shared" si="8"/>
        <v>'bdtsb4',</v>
      </c>
      <c r="HF4" t="str">
        <f t="shared" si="8"/>
        <v>'gjsyks4',</v>
      </c>
      <c r="HG4" t="str">
        <f t="shared" si="8"/>
        <v>'spfxs4',</v>
      </c>
      <c r="HH4" t="str">
        <f t="shared" si="8"/>
        <v>'hlwls4',</v>
      </c>
      <c r="HI4" t="str">
        <f t="shared" si="8"/>
        <v>'glys4',</v>
      </c>
      <c r="HJ4" t="str">
        <f t="shared" si="8"/>
        <v>'sytrqktysc4',</v>
      </c>
      <c r="HK4" t="str">
        <f t="shared" si="8"/>
        <v>'bjhlfw4',</v>
      </c>
      <c r="HL4" t="str">
        <f t="shared" si="8"/>
        <v>'jscpjxs4',</v>
      </c>
      <c r="HM4" t="str">
        <f t="shared" si="8"/>
        <v>'cg4',</v>
      </c>
      <c r="HN4" t="str">
        <f t="shared" si="8"/>
        <v>'hthkygf4',</v>
      </c>
      <c r="HO4" t="str">
        <f t="shared" si="8"/>
        <v>'zhhpsd4',</v>
      </c>
      <c r="HP4" t="str">
        <f t="shared" si="8"/>
        <v>'gyqt4',</v>
      </c>
      <c r="HQ4" t="str">
        <f t="shared" si="8"/>
        <v>'dldlscsynymys4',</v>
      </c>
      <c r="HR4" t="str">
        <f t="shared" si="8"/>
        <v>'shmlls4',</v>
      </c>
      <c r="HS4" t="str">
        <f t="shared" si="8"/>
        <v>'qtdyjrfw4',</v>
      </c>
      <c r="HT4" t="str">
        <f t="shared" si="8"/>
        <v>'zmd4',</v>
      </c>
    </row>
    <row r="5" spans="1:228">
      <c r="A5" t="str">
        <f>"'"&amp;A2&amp;"'"&amp;","</f>
        <v>'行业1 金融',</v>
      </c>
      <c r="B5" t="str">
        <f t="shared" ref="B5:P5" si="9">"'"&amp;B2&amp;"'"&amp;","</f>
        <v>'行业1 公用事业',</v>
      </c>
      <c r="C5" t="str">
        <f t="shared" si="9"/>
        <v>'行业1 可选消费',</v>
      </c>
      <c r="D5" t="str">
        <f t="shared" si="9"/>
        <v>'行业1 日常消费',</v>
      </c>
      <c r="E5" t="str">
        <f t="shared" si="9"/>
        <v>'行业1 医疗保健',</v>
      </c>
      <c r="F5" t="str">
        <f t="shared" si="9"/>
        <v>'行业1 工业',</v>
      </c>
      <c r="G5" t="str">
        <f t="shared" si="9"/>
        <v>'行业1 电信服务',</v>
      </c>
      <c r="H5" t="str">
        <f t="shared" si="9"/>
        <v>'行业1 材料',</v>
      </c>
      <c r="I5" t="str">
        <f t="shared" si="9"/>
        <v>'行业1 信息技术',</v>
      </c>
      <c r="J5" t="str">
        <f t="shared" si="9"/>
        <v>'行业1 能源',</v>
      </c>
      <c r="K5" t="str">
        <f t="shared" si="9"/>
        <v>'行业2 银行',</v>
      </c>
      <c r="L5" t="str">
        <f t="shared" si="9"/>
        <v>'行业2 多元金融',</v>
      </c>
      <c r="M5" t="str">
        <f t="shared" si="9"/>
        <v>'行业2 公用事业Ⅱ',</v>
      </c>
      <c r="N5" t="str">
        <f t="shared" si="9"/>
        <v>'行业2 家庭与个人用品',</v>
      </c>
      <c r="O5" t="str">
        <f t="shared" si="9"/>
        <v>'行业2 汽车与汽车零部件',</v>
      </c>
      <c r="P5" t="str">
        <f t="shared" si="9"/>
        <v>'行业2 保险Ⅱ',</v>
      </c>
      <c r="Q5" t="str">
        <f t="shared" ref="Q5:CB5" si="10">"'"&amp;Q2&amp;"'"&amp;","</f>
        <v>'行业2 耐用消费品与服装',</v>
      </c>
      <c r="R5" t="str">
        <f t="shared" si="10"/>
        <v>'行业2 运输',</v>
      </c>
      <c r="S5" t="str">
        <f t="shared" si="10"/>
        <v>'行业2 制药、生物科技与生命科学',</v>
      </c>
      <c r="T5" t="str">
        <f t="shared" si="10"/>
        <v>'行业2 食品、饮料与烟草',</v>
      </c>
      <c r="U5" t="str">
        <f t="shared" si="10"/>
        <v>'行业2 商业和专业服务',</v>
      </c>
      <c r="V5" t="str">
        <f t="shared" si="10"/>
        <v>'行业2 软件与服务',</v>
      </c>
      <c r="W5" t="str">
        <f t="shared" si="10"/>
        <v>'行业2 食品与主要用品零售Ⅱ',</v>
      </c>
      <c r="X5" t="str">
        <f t="shared" si="10"/>
        <v>'行业2 电信服务Ⅱ',</v>
      </c>
      <c r="Y5" t="str">
        <f t="shared" si="10"/>
        <v>'行业2 媒体Ⅱ',</v>
      </c>
      <c r="Z5" t="str">
        <f t="shared" si="10"/>
        <v>'行业2 资本货物',</v>
      </c>
      <c r="AA5" t="str">
        <f t="shared" si="10"/>
        <v>'行业2 材料Ⅱ',</v>
      </c>
      <c r="AB5" t="str">
        <f t="shared" si="10"/>
        <v>'行业2 技术硬件与设备',</v>
      </c>
      <c r="AC5" t="str">
        <f t="shared" si="10"/>
        <v>'行业2 消费者服务Ⅱ',</v>
      </c>
      <c r="AD5" t="str">
        <f t="shared" si="10"/>
        <v>'行业2 房地产',</v>
      </c>
      <c r="AE5" t="str">
        <f t="shared" si="10"/>
        <v>'行业2 医疗保健设备与服务',</v>
      </c>
      <c r="AF5" t="str">
        <f t="shared" si="10"/>
        <v>'行业2 能源Ⅱ',</v>
      </c>
      <c r="AG5" t="str">
        <f t="shared" si="10"/>
        <v>'行业2 零售业',</v>
      </c>
      <c r="AH5" t="str">
        <f t="shared" si="10"/>
        <v>'行业2 半导体与半导体生产设备',</v>
      </c>
      <c r="AI5" t="str">
        <f t="shared" si="10"/>
        <v>'行业3 商业银行',</v>
      </c>
      <c r="AJ5" t="str">
        <f t="shared" si="10"/>
        <v>'行业3 个人用品Ⅲ',</v>
      </c>
      <c r="AK5" t="str">
        <f t="shared" si="10"/>
        <v>'行业3 资本市场',</v>
      </c>
      <c r="AL5" t="str">
        <f t="shared" si="10"/>
        <v>'行业3 电力Ⅲ',</v>
      </c>
      <c r="AM5" t="str">
        <f t="shared" si="10"/>
        <v>'行业3 汽车',</v>
      </c>
      <c r="AN5" t="str">
        <f t="shared" si="10"/>
        <v>'行业3 航空Ⅲ',</v>
      </c>
      <c r="AO5" t="str">
        <f t="shared" si="10"/>
        <v>'行业3 家庭耐用消费品',</v>
      </c>
      <c r="AP5" t="str">
        <f t="shared" si="10"/>
        <v>'行业3 独立电力生产商与能源贸易商Ⅲ',</v>
      </c>
      <c r="AQ5" t="str">
        <f t="shared" si="10"/>
        <v>'行业3 保险Ⅲ',</v>
      </c>
      <c r="AR5" t="str">
        <f t="shared" si="10"/>
        <v>'行业3 公路与铁路运输',</v>
      </c>
      <c r="AS5" t="str">
        <f t="shared" si="10"/>
        <v>'行业3 饮料',</v>
      </c>
      <c r="AT5" t="str">
        <f t="shared" si="10"/>
        <v>'行业3 建筑与工程Ⅲ',</v>
      </c>
      <c r="AU5" t="str">
        <f t="shared" si="10"/>
        <v>'行业3 互联网软件与服务Ⅲ',</v>
      </c>
      <c r="AV5" t="str">
        <f t="shared" si="10"/>
        <v>'行业3 生物科技Ⅲ',</v>
      </c>
      <c r="AW5" t="str">
        <f t="shared" si="10"/>
        <v>'行业3 制药',</v>
      </c>
      <c r="AX5" t="str">
        <f t="shared" si="10"/>
        <v>'行业3 纺织品、服装与奢侈品',</v>
      </c>
      <c r="AY5" t="str">
        <f t="shared" si="10"/>
        <v>'行业3 交通基础设施',</v>
      </c>
      <c r="AZ5" t="str">
        <f t="shared" si="10"/>
        <v>'行业3 电气设备',</v>
      </c>
      <c r="BA5" t="str">
        <f t="shared" si="10"/>
        <v>'行业3 化工',</v>
      </c>
      <c r="BB5" t="str">
        <f t="shared" si="10"/>
        <v>'行业3 食品',</v>
      </c>
      <c r="BC5" t="str">
        <f t="shared" si="10"/>
        <v>'行业3 水务Ⅲ',</v>
      </c>
      <c r="BD5" t="str">
        <f t="shared" si="10"/>
        <v>'行业3 容器与包装',</v>
      </c>
      <c r="BE5" t="str">
        <f t="shared" si="10"/>
        <v>'行业3 能源设备与服务',</v>
      </c>
      <c r="BF5" t="str">
        <f t="shared" si="10"/>
        <v>'行业3 建材Ⅲ',</v>
      </c>
      <c r="BG5" t="str">
        <f t="shared" si="10"/>
        <v>'行业3 汽车零配件',</v>
      </c>
      <c r="BH5" t="str">
        <f t="shared" si="10"/>
        <v>'行业3 商业服务与用品',</v>
      </c>
      <c r="BI5" t="str">
        <f t="shared" si="10"/>
        <v>'行业3 多元电信服务',</v>
      </c>
      <c r="BJ5" t="str">
        <f t="shared" si="10"/>
        <v>'行业3 食品与主要用品零售Ⅲ',</v>
      </c>
      <c r="BK5" t="str">
        <f t="shared" si="10"/>
        <v>'行业3 媒体Ⅲ',</v>
      </c>
      <c r="BL5" t="str">
        <f t="shared" si="10"/>
        <v>'行业3 建筑产品Ⅲ',</v>
      </c>
      <c r="BM5" t="str">
        <f t="shared" si="10"/>
        <v>'行业3 通信设备Ⅲ',</v>
      </c>
      <c r="BN5" t="str">
        <f t="shared" si="10"/>
        <v>'行业3 电子设备、仪器和元件',</v>
      </c>
      <c r="BO5" t="str">
        <f t="shared" si="10"/>
        <v>'行业3 专业服务',</v>
      </c>
      <c r="BP5" t="str">
        <f t="shared" si="10"/>
        <v>'行业3 酒店、餐馆与休闲Ⅲ',</v>
      </c>
      <c r="BQ5" t="str">
        <f t="shared" si="10"/>
        <v>'行业3 软件',</v>
      </c>
      <c r="BR5" t="str">
        <f t="shared" si="10"/>
        <v>'行业3 房地产管理与开发',</v>
      </c>
      <c r="BS5" t="str">
        <f t="shared" si="10"/>
        <v>'行业3 生命科学工具和服务Ⅲ',</v>
      </c>
      <c r="BT5" t="str">
        <f t="shared" si="10"/>
        <v>'行业3 航空货运与物流Ⅲ',</v>
      </c>
      <c r="BU5" t="str">
        <f t="shared" si="10"/>
        <v>'行业3 信息技术服务',</v>
      </c>
      <c r="BV5" t="str">
        <f t="shared" si="10"/>
        <v>'行业3 机械',</v>
      </c>
      <c r="BW5" t="str">
        <f t="shared" si="10"/>
        <v>'行业3 多元化零售',</v>
      </c>
      <c r="BX5" t="str">
        <f t="shared" si="10"/>
        <v>'行业3 燃气Ⅲ',</v>
      </c>
      <c r="BY5" t="str">
        <f t="shared" si="10"/>
        <v>'行业3 纸与林木产品',</v>
      </c>
      <c r="BZ5" t="str">
        <f t="shared" si="10"/>
        <v>'行业3 海运Ⅲ',</v>
      </c>
      <c r="CA5" t="str">
        <f t="shared" si="10"/>
        <v>'行业3 医疗保健设备与用品',</v>
      </c>
      <c r="CB5" t="str">
        <f t="shared" si="10"/>
        <v>'行业3 贸易公司与工业品经销商Ⅲ',</v>
      </c>
      <c r="CC5" t="str">
        <f t="shared" ref="CC5:EN5" si="11">"'"&amp;CC2&amp;"'"&amp;","</f>
        <v>'行业3 复合型公用事业Ⅲ',</v>
      </c>
      <c r="CD5" t="str">
        <f t="shared" si="11"/>
        <v>'行业3 电脑与外围设备',</v>
      </c>
      <c r="CE5" t="str">
        <f t="shared" si="11"/>
        <v>'行业3 金属、非金属与采矿',</v>
      </c>
      <c r="CF5" t="str">
        <f t="shared" si="11"/>
        <v>'行业3 医疗保健提供商与服务',</v>
      </c>
      <c r="CG5" t="str">
        <f t="shared" si="11"/>
        <v>'行业3 半导体产品与半导体设备',</v>
      </c>
      <c r="CH5" t="str">
        <f t="shared" si="11"/>
        <v>'行业3 专营零售',</v>
      </c>
      <c r="CI5" t="str">
        <f t="shared" si="11"/>
        <v>'行业3 石油、天然气与供消费用燃料',</v>
      </c>
      <c r="CJ5" t="str">
        <f t="shared" si="11"/>
        <v>'行业3 医疗保健技术Ⅲ',</v>
      </c>
      <c r="CK5" t="str">
        <f t="shared" si="11"/>
        <v>'行业3 综合类Ⅲ',</v>
      </c>
      <c r="CL5" t="str">
        <f t="shared" si="11"/>
        <v>'行业3 休闲设备与用品',</v>
      </c>
      <c r="CM5" t="str">
        <f t="shared" si="11"/>
        <v>'行业3 综合消费者服务Ⅲ',</v>
      </c>
      <c r="CN5" t="str">
        <f t="shared" si="11"/>
        <v>'行业3 消费品经销商Ⅲ',</v>
      </c>
      <c r="CO5" t="str">
        <f t="shared" si="11"/>
        <v>'行业3 多元金融服务',</v>
      </c>
      <c r="CP5" t="str">
        <f t="shared" si="11"/>
        <v>'行业3 家庭用品Ⅲ',</v>
      </c>
      <c r="CQ5" t="str">
        <f t="shared" si="11"/>
        <v>'行业3 无线电信业务Ⅲ',</v>
      </c>
      <c r="CR5" t="str">
        <f t="shared" si="11"/>
        <v>'行业3 互联网与售货目录零售',</v>
      </c>
      <c r="CS5" t="str">
        <f t="shared" si="11"/>
        <v>'行业3 航空航天与国防Ⅲ',</v>
      </c>
      <c r="CT5" t="str">
        <f t="shared" si="11"/>
        <v>'行业4 多元化银行',</v>
      </c>
      <c r="CU5" t="str">
        <f t="shared" si="11"/>
        <v>'行业4 个人用品',</v>
      </c>
      <c r="CV5" t="str">
        <f t="shared" si="11"/>
        <v>'行业4 家用电器',</v>
      </c>
      <c r="CW5" t="str">
        <f t="shared" si="11"/>
        <v>'行业4 投资银行业与经纪业',</v>
      </c>
      <c r="CX5" t="str">
        <f t="shared" si="11"/>
        <v>'行业4 区域性银行',</v>
      </c>
      <c r="CY5" t="str">
        <f t="shared" si="11"/>
        <v>'行业4 电力',</v>
      </c>
      <c r="CZ5" t="str">
        <f t="shared" si="11"/>
        <v>'行业4 家庭娱乐软件',</v>
      </c>
      <c r="DA5" t="str">
        <f t="shared" si="11"/>
        <v>'行业4 汽车制造',</v>
      </c>
      <c r="DB5" t="str">
        <f t="shared" si="11"/>
        <v>'行业4 媒体Ⅲ',</v>
      </c>
      <c r="DC5" t="str">
        <f t="shared" si="11"/>
        <v>'行业4 资产管理与托管银行',</v>
      </c>
      <c r="DD5" t="str">
        <f t="shared" si="11"/>
        <v>'行业4 铁路运输',</v>
      </c>
      <c r="DE5" t="str">
        <f t="shared" si="11"/>
        <v>'行业4 航空',</v>
      </c>
      <c r="DF5" t="str">
        <f t="shared" si="11"/>
        <v>'行业4 新能源发电业者',</v>
      </c>
      <c r="DG5" t="str">
        <f t="shared" si="11"/>
        <v>'行业4 多元化保险',</v>
      </c>
      <c r="DH5" t="str">
        <f t="shared" si="11"/>
        <v>'行业4 白酒与葡萄酒',</v>
      </c>
      <c r="DI5" t="str">
        <f t="shared" si="11"/>
        <v>'行业4 石油与天然气的储存和运输',</v>
      </c>
      <c r="DJ5" t="str">
        <f t="shared" si="11"/>
        <v>'行业4 公路与铁路',</v>
      </c>
      <c r="DK5" t="str">
        <f t="shared" si="11"/>
        <v>'行业4 机场服务',</v>
      </c>
      <c r="DL5" t="str">
        <f t="shared" si="11"/>
        <v>'行业4 服装、服饰与奢侈品',</v>
      </c>
      <c r="DM5" t="str">
        <f t="shared" si="11"/>
        <v>'行业4 人寿与健康保险',</v>
      </c>
      <c r="DN5" t="str">
        <f t="shared" si="11"/>
        <v>'行业4 休闲设施',</v>
      </c>
      <c r="DO5" t="str">
        <f t="shared" si="11"/>
        <v>'行业4 软饮料',</v>
      </c>
      <c r="DP5" t="str">
        <f t="shared" si="11"/>
        <v>'行业4 特种化工',</v>
      </c>
      <c r="DQ5" t="str">
        <f t="shared" si="11"/>
        <v>'行业4 中药',</v>
      </c>
      <c r="DR5" t="str">
        <f t="shared" si="11"/>
        <v>'行业4 家庭装饰品',</v>
      </c>
      <c r="DS5" t="str">
        <f t="shared" si="11"/>
        <v>'行业4 建筑与工程',</v>
      </c>
      <c r="DT5" t="str">
        <f t="shared" si="11"/>
        <v>'行业4 重型电气设备',</v>
      </c>
      <c r="DU5" t="str">
        <f t="shared" si="11"/>
        <v>'行业4 多元化工',</v>
      </c>
      <c r="DV5" t="str">
        <f t="shared" si="11"/>
        <v>'行业4 互联网软件与服务',</v>
      </c>
      <c r="DW5" t="str">
        <f t="shared" si="11"/>
        <v>'行业4 生物科技',</v>
      </c>
      <c r="DX5" t="str">
        <f t="shared" si="11"/>
        <v>'行业4 非传统电信运营商',</v>
      </c>
      <c r="DY5" t="str">
        <f t="shared" si="11"/>
        <v>'行业4 金属与玻璃容器',</v>
      </c>
      <c r="DZ5" t="str">
        <f t="shared" si="11"/>
        <v>'行业4 轮胎与橡胶',</v>
      </c>
      <c r="EA5" t="str">
        <f t="shared" si="11"/>
        <v>'行业4 摩托车制造',</v>
      </c>
      <c r="EB5" t="str">
        <f t="shared" si="11"/>
        <v>'行业4 办公服务与用品',</v>
      </c>
      <c r="EC5" t="str">
        <f t="shared" si="11"/>
        <v>'行业4 药品零售',</v>
      </c>
      <c r="ED5" t="str">
        <f t="shared" si="11"/>
        <v>'行业4 西药',</v>
      </c>
      <c r="EE5" t="str">
        <f t="shared" si="11"/>
        <v>'行业4 消费电子产品',</v>
      </c>
      <c r="EF5" t="str">
        <f t="shared" si="11"/>
        <v>'行业4 医疗保健用品',</v>
      </c>
      <c r="EG5" t="str">
        <f t="shared" si="11"/>
        <v>'行业4 化肥与农用化工',</v>
      </c>
      <c r="EH5" t="str">
        <f t="shared" si="11"/>
        <v>'行业4 保健护理设施',</v>
      </c>
      <c r="EI5" t="str">
        <f t="shared" si="11"/>
        <v>'行业4 农产品',</v>
      </c>
      <c r="EJ5" t="str">
        <f t="shared" si="11"/>
        <v>'行业4 出版',</v>
      </c>
      <c r="EK5" t="str">
        <f t="shared" si="11"/>
        <v>'行业4 食品加工与肉类',</v>
      </c>
      <c r="EL5" t="str">
        <f t="shared" si="11"/>
        <v>'行业4 水务',</v>
      </c>
      <c r="EM5" t="str">
        <f t="shared" si="11"/>
        <v>'行业4 基础化工',</v>
      </c>
      <c r="EN5" t="str">
        <f t="shared" si="11"/>
        <v>'行业4 石油天然气设备与服务',</v>
      </c>
      <c r="EO5" t="str">
        <f t="shared" ref="EO5:GZ5" si="12">"'"&amp;EO2&amp;"'"&amp;","</f>
        <v>'行业4 建材',</v>
      </c>
      <c r="EP5" t="str">
        <f t="shared" si="12"/>
        <v>'行业4 电子元件',</v>
      </c>
      <c r="EQ5" t="str">
        <f t="shared" si="12"/>
        <v>'行业4 电脑存储与外围设备',</v>
      </c>
      <c r="ER5" t="str">
        <f t="shared" si="12"/>
        <v>'行业4 钢铁',</v>
      </c>
      <c r="ES5" t="str">
        <f t="shared" si="12"/>
        <v>'行业4 电气部件与设备',</v>
      </c>
      <c r="ET5" t="str">
        <f t="shared" si="12"/>
        <v>'行业4 环境与设施服务',</v>
      </c>
      <c r="EU5" t="str">
        <f t="shared" si="12"/>
        <v>'行业4 电影与娱乐',</v>
      </c>
      <c r="EV5" t="str">
        <f t="shared" si="12"/>
        <v>'行业4 商业印刷',</v>
      </c>
      <c r="EW5" t="str">
        <f t="shared" si="12"/>
        <v>'行业4 机动车零配件与设备',</v>
      </c>
      <c r="EX5" t="str">
        <f t="shared" si="12"/>
        <v>'行业4 石油与天然气的炼制和销售',</v>
      </c>
      <c r="EY5" t="str">
        <f t="shared" si="12"/>
        <v>'行业4 建筑产品',</v>
      </c>
      <c r="EZ5" t="str">
        <f t="shared" si="12"/>
        <v>'行业4 财产与意外伤害保险',</v>
      </c>
      <c r="FA5" t="str">
        <f t="shared" si="12"/>
        <v>'行业4 通信设备',</v>
      </c>
      <c r="FB5" t="str">
        <f t="shared" si="12"/>
        <v>'行业4 煤炭与消费用燃料',</v>
      </c>
      <c r="FC5" t="str">
        <f t="shared" si="12"/>
        <v>'行业4 调查和咨询服务',</v>
      </c>
      <c r="FD5" t="str">
        <f t="shared" si="12"/>
        <v>'行业4 综合电信服务',</v>
      </c>
      <c r="FE5" t="str">
        <f t="shared" si="12"/>
        <v>'行业4 有线和卫星电视',</v>
      </c>
      <c r="FF5" t="str">
        <f t="shared" si="12"/>
        <v>'行业4 纸制品',</v>
      </c>
      <c r="FG5" t="str">
        <f t="shared" si="12"/>
        <v>'行业4 房地产服务',</v>
      </c>
      <c r="FH5" t="str">
        <f t="shared" si="12"/>
        <v>'行业4 鞋类',</v>
      </c>
      <c r="FI5" t="str">
        <f t="shared" si="12"/>
        <v>'行业4 海港与服务',</v>
      </c>
      <c r="FJ5" t="str">
        <f t="shared" si="12"/>
        <v>'行业4 房地产开发',</v>
      </c>
      <c r="FK5" t="str">
        <f t="shared" si="12"/>
        <v>'行业4 建筑机械与重型卡车',</v>
      </c>
      <c r="FL5" t="str">
        <f t="shared" si="12"/>
        <v>'行业4 生命科学工具和服务',</v>
      </c>
      <c r="FM5" t="str">
        <f t="shared" si="12"/>
        <v>'行业4 信息科技咨询与其它服务',</v>
      </c>
      <c r="FN5" t="str">
        <f t="shared" si="12"/>
        <v>'行业4 航空货运与物流',</v>
      </c>
      <c r="FO5" t="str">
        <f t="shared" si="12"/>
        <v>'行业4 摄影用品',</v>
      </c>
      <c r="FP5" t="str">
        <f t="shared" si="12"/>
        <v>'行业4 百货商店',</v>
      </c>
      <c r="FQ5" t="str">
        <f t="shared" si="12"/>
        <v>'行业4 酒店、度假村与豪华游轮',</v>
      </c>
      <c r="FR5" t="str">
        <f t="shared" si="12"/>
        <v>'行业4 数据处理与外包服务',</v>
      </c>
      <c r="FS5" t="str">
        <f t="shared" si="12"/>
        <v>'行业4 铝',</v>
      </c>
      <c r="FT5" t="str">
        <f t="shared" si="12"/>
        <v>'行业4 工业机械',</v>
      </c>
      <c r="FU5" t="str">
        <f t="shared" si="12"/>
        <v>'行业4 纺织品',</v>
      </c>
      <c r="FV5" t="str">
        <f t="shared" si="12"/>
        <v>'行业4 燃气',</v>
      </c>
      <c r="FW5" t="str">
        <f t="shared" si="12"/>
        <v>'行业4 应用软件',</v>
      </c>
      <c r="FX5" t="str">
        <f t="shared" si="12"/>
        <v>'行业4 海运',</v>
      </c>
      <c r="FY5" t="str">
        <f t="shared" si="12"/>
        <v>'行业4 贸易公司与工业品经销商',</v>
      </c>
      <c r="FZ5" t="str">
        <f t="shared" si="12"/>
        <v>'行业4 电子设备和仪器',</v>
      </c>
      <c r="GA5" t="str">
        <f t="shared" si="12"/>
        <v>'行业4 复合型公用事业',</v>
      </c>
      <c r="GB5" t="str">
        <f t="shared" si="12"/>
        <v>'行业4 医疗保健设备',</v>
      </c>
      <c r="GC5" t="str">
        <f t="shared" si="12"/>
        <v>'行业4 房地产经营公司',</v>
      </c>
      <c r="GD5" t="str">
        <f t="shared" si="12"/>
        <v>'行业4 半导体产品',</v>
      </c>
      <c r="GE5" t="str">
        <f t="shared" si="12"/>
        <v>'行业4 化纤',</v>
      </c>
      <c r="GF5" t="str">
        <f t="shared" si="12"/>
        <v>'行业4 电子制造服务',</v>
      </c>
      <c r="GG5" t="str">
        <f t="shared" si="12"/>
        <v>'行业4 汽车零售',</v>
      </c>
      <c r="GH5" t="str">
        <f t="shared" si="12"/>
        <v>'行业4 多领域控股',</v>
      </c>
      <c r="GI5" t="str">
        <f t="shared" si="12"/>
        <v>'行业4 住宅建筑',</v>
      </c>
      <c r="GJ5" t="str">
        <f t="shared" si="12"/>
        <v>'行业4 家用器具与特殊消费品',</v>
      </c>
      <c r="GK5" t="str">
        <f t="shared" si="12"/>
        <v>'行业4 电脑与电子产品零售',</v>
      </c>
      <c r="GL5" t="str">
        <f t="shared" si="12"/>
        <v>'行业4 农用农业机械',</v>
      </c>
      <c r="GM5" t="str">
        <f t="shared" si="12"/>
        <v>'行业4 纸包装',</v>
      </c>
      <c r="GN5" t="str">
        <f t="shared" si="12"/>
        <v>'行业4 医疗保健技术',</v>
      </c>
      <c r="GO5" t="str">
        <f t="shared" si="12"/>
        <v>'行业4 综合类行业',</v>
      </c>
      <c r="GP5" t="str">
        <f t="shared" si="12"/>
        <v>'行业4 教育服务',</v>
      </c>
      <c r="GQ5" t="str">
        <f t="shared" si="12"/>
        <v>'行业4 大卖场与超市',</v>
      </c>
      <c r="GR5" t="str">
        <f t="shared" si="12"/>
        <v>'行业4 消费品经销商',</v>
      </c>
      <c r="GS5" t="str">
        <f t="shared" si="12"/>
        <v>'行业4 综合支持服务',</v>
      </c>
      <c r="GT5" t="str">
        <f t="shared" si="12"/>
        <v>'行业4 休闲用品',</v>
      </c>
      <c r="GU5" t="str">
        <f t="shared" si="12"/>
        <v>'行业4 林木产品',</v>
      </c>
      <c r="GV5" t="str">
        <f t="shared" si="12"/>
        <v>'行业4 电脑硬件',</v>
      </c>
      <c r="GW5" t="str">
        <f t="shared" si="12"/>
        <v>'行业4 综合性石油天然气',</v>
      </c>
      <c r="GX5" t="str">
        <f t="shared" si="12"/>
        <v>'行业4 黄金',</v>
      </c>
      <c r="GY5" t="str">
        <f t="shared" si="12"/>
        <v>'行业4 啤酒',</v>
      </c>
      <c r="GZ5" t="str">
        <f t="shared" si="12"/>
        <v>'行业4 广告',</v>
      </c>
      <c r="HA5" t="str">
        <f t="shared" ref="HA5:HT5" si="13">"'"&amp;HA2&amp;"'"&amp;","</f>
        <v>'行业4 家庭用品',</v>
      </c>
      <c r="HB5" t="str">
        <f t="shared" si="13"/>
        <v>'行业4 金属非金属',</v>
      </c>
      <c r="HC5" t="str">
        <f t="shared" si="13"/>
        <v>'行业4 无线电信业务',</v>
      </c>
      <c r="HD5" t="str">
        <f t="shared" si="13"/>
        <v>'行业4 白银',</v>
      </c>
      <c r="HE5" t="str">
        <f t="shared" si="13"/>
        <v>'行业4 半导体设备',</v>
      </c>
      <c r="HF5" t="str">
        <f t="shared" si="13"/>
        <v>'行业4 贵金属与矿石',</v>
      </c>
      <c r="HG5" t="str">
        <f t="shared" si="13"/>
        <v>'行业4 食品分销商',</v>
      </c>
      <c r="HH5" t="str">
        <f t="shared" si="13"/>
        <v>'行业4 互联网零售',</v>
      </c>
      <c r="HI5" t="str">
        <f t="shared" si="13"/>
        <v>'行业4 公路运输',</v>
      </c>
      <c r="HJ5" t="str">
        <f t="shared" si="13"/>
        <v>'行业4 石油天然气勘探与生产',</v>
      </c>
      <c r="HK5" t="str">
        <f t="shared" si="13"/>
        <v>'行业4 保健护理服务',</v>
      </c>
      <c r="HL5" t="str">
        <f t="shared" si="13"/>
        <v>'行业4 技术产品经销商',</v>
      </c>
      <c r="HM5" t="str">
        <f t="shared" si="13"/>
        <v>'行业4 餐馆',</v>
      </c>
      <c r="HN5" t="str">
        <f t="shared" si="13"/>
        <v>'行业4 航天航空与国防',</v>
      </c>
      <c r="HO5" t="str">
        <f t="shared" si="13"/>
        <v>'行业4 综合货品商店',</v>
      </c>
      <c r="HP5" t="str">
        <f t="shared" si="13"/>
        <v>'行业4 工业气体',</v>
      </c>
      <c r="HQ5" t="str">
        <f t="shared" si="13"/>
        <v>'行业4 独立电力生产商与能源贸易商',</v>
      </c>
      <c r="HR5" t="str">
        <f t="shared" si="13"/>
        <v>'行业4 售货目录零售',</v>
      </c>
      <c r="HS5" t="str">
        <f t="shared" si="13"/>
        <v>'行业4 其他多元金融服务',</v>
      </c>
      <c r="HT5" t="str">
        <f t="shared" si="13"/>
        <v>'行业4 专卖店',</v>
      </c>
    </row>
  </sheetData>
  <phoneticPr fontId="3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4" x14ac:dyDescent="0"/>
  <sheetData/>
  <phoneticPr fontId="3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Jiangang</dc:creator>
  <cp:lastModifiedBy>Wu Jiangang</cp:lastModifiedBy>
  <dcterms:created xsi:type="dcterms:W3CDTF">2016-02-13T04:01:30Z</dcterms:created>
  <dcterms:modified xsi:type="dcterms:W3CDTF">2016-03-25T18:15:08Z</dcterms:modified>
</cp:coreProperties>
</file>